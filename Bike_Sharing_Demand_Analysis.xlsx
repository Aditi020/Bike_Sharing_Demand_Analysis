
<file path=[Content_Types].xml><?xml version="1.0" encoding="utf-8"?>
<Types xmlns="http://schemas.openxmlformats.org/package/2006/content-types">
  <Default Extension="bin" ContentType="application/vnd.openxmlformats-officedocument.spreadsheetml.printerSettings"/>
  <Default Extension="jpg" ContentType="image/jpeg"/>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tables/table5.xml" ContentType="application/vnd.openxmlformats-officedocument.spreadsheetml.table+xml"/>
  <Override PartName="/xl/queryTables/queryTable5.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chart6.xml" ContentType="application/vnd.openxmlformats-officedocument.drawingml.chart+xml"/>
  <Override PartName="/xl/charts/style4.xml" ContentType="application/vnd.ms-office.chartstyle+xml"/>
  <Override PartName="/xl/charts/colors4.xml" ContentType="application/vnd.ms-office.chartcolorstyle+xml"/>
  <Override PartName="/xl/charts/chart7.xml" ContentType="application/vnd.openxmlformats-officedocument.drawingml.chart+xml"/>
  <Override PartName="/xl/charts/style5.xml" ContentType="application/vnd.ms-office.chartstyle+xml"/>
  <Override PartName="/xl/charts/colors5.xml" ContentType="application/vnd.ms-office.chartcolorstyle+xml"/>
  <Override PartName="/xl/charts/chart8.xml" ContentType="application/vnd.openxmlformats-officedocument.drawingml.chart+xml"/>
  <Override PartName="/xl/charts/style6.xml" ContentType="application/vnd.ms-office.chartstyle+xml"/>
  <Override PartName="/xl/charts/colors6.xml" ContentType="application/vnd.ms-office.chartcolorstyle+xml"/>
  <Override PartName="/xl/charts/chartEx1.xml" ContentType="application/vnd.ms-office.chartex+xml"/>
  <Override PartName="/xl/charts/style7.xml" ContentType="application/vnd.ms-office.chartstyle+xml"/>
  <Override PartName="/xl/charts/colors7.xml" ContentType="application/vnd.ms-office.chartcolorstyle+xml"/>
  <Override PartName="/xl/drawings/drawing3.xml" ContentType="application/vnd.openxmlformats-officedocument.drawing+xml"/>
  <Override PartName="/xl/tables/table6.xml" ContentType="application/vnd.openxmlformats-officedocument.spreadsheetml.table+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drawings/drawing4.xml" ContentType="application/vnd.openxmlformats-officedocument.drawing+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drawings/drawing5.xml" ContentType="application/vnd.openxmlformats-officedocument.drawing+xml"/>
  <Override PartName="/xl/slicers/slicer1.xml" ContentType="application/vnd.ms-excel.slicer+xml"/>
  <Override PartName="/xl/timelines/timeline1.xml" ContentType="application/vnd.ms-excel.timeline+xml"/>
  <Override PartName="/xl/charts/chart11.xml" ContentType="application/vnd.openxmlformats-officedocument.drawingml.chart+xml"/>
  <Override PartName="/xl/charts/chart12.xml" ContentType="application/vnd.openxmlformats-officedocument.drawingml.chart+xml"/>
  <Override PartName="/xl/charts/style10.xml" ContentType="application/vnd.ms-office.chartstyle+xml"/>
  <Override PartName="/xl/charts/colors10.xml" ContentType="application/vnd.ms-office.chartcolorstyle+xml"/>
  <Override PartName="/xl/charts/chart13.xml" ContentType="application/vnd.openxmlformats-officedocument.drawingml.chart+xml"/>
  <Override PartName="/xl/charts/style11.xml" ContentType="application/vnd.ms-office.chartstyle+xml"/>
  <Override PartName="/xl/charts/colors11.xml" ContentType="application/vnd.ms-office.chartcolorstyle+xml"/>
  <Override PartName="/xl/charts/chart14.xml" ContentType="application/vnd.openxmlformats-officedocument.drawingml.chart+xml"/>
  <Override PartName="/xl/charts/style12.xml" ContentType="application/vnd.ms-office.chartstyle+xml"/>
  <Override PartName="/xl/charts/colors12.xml" ContentType="application/vnd.ms-office.chartcolorstyle+xml"/>
  <Override PartName="/xl/charts/chart15.xml" ContentType="application/vnd.openxmlformats-officedocument.drawingml.chart+xml"/>
  <Override PartName="/xl/charts/style13.xml" ContentType="application/vnd.ms-office.chartstyle+xml"/>
  <Override PartName="/xl/charts/colors13.xml" ContentType="application/vnd.ms-office.chartcolorstyle+xml"/>
  <Override PartName="/xl/tables/table7.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mc:AlternateContent xmlns:mc="http://schemas.openxmlformats.org/markup-compatibility/2006">
    <mc:Choice Requires="x15">
      <x15ac:absPath xmlns:x15ac="http://schemas.microsoft.com/office/spreadsheetml/2010/11/ac" url="C:\Users\aditi\Desktop\Internship\1.Excel\"/>
    </mc:Choice>
  </mc:AlternateContent>
  <xr:revisionPtr revIDLastSave="0" documentId="13_ncr:1_{046B3118-0E21-464C-B410-88FE6F3182B1}" xr6:coauthVersionLast="47" xr6:coauthVersionMax="47" xr10:uidLastSave="{00000000-0000-0000-0000-000000000000}"/>
  <bookViews>
    <workbookView xWindow="-103" yWindow="-103" windowWidth="27634" windowHeight="17349" firstSheet="3" activeTab="5" xr2:uid="{00000000-000D-0000-FFFF-FFFF00000000}"/>
  </bookViews>
  <sheets>
    <sheet name="Readme" sheetId="29" r:id="rId1"/>
    <sheet name="Clean_Dataset1" sheetId="2" r:id="rId2"/>
    <sheet name="Cleaned_Dataset2" sheetId="4" r:id="rId3"/>
    <sheet name="Cleaned_Dataset3" sheetId="11" r:id="rId4"/>
    <sheet name="Cleaned_DatasetA" sheetId="12" r:id="rId5"/>
    <sheet name="Cleaned_DatasetB" sheetId="13" r:id="rId6"/>
    <sheet name="Lookup_Tables" sheetId="1" r:id="rId7"/>
    <sheet name="Calculations" sheetId="3" r:id="rId8"/>
    <sheet name="Pivot_Analysis" sheetId="6" r:id="rId9"/>
    <sheet name="Charts and Analysis" sheetId="17" r:id="rId10"/>
    <sheet name="Forecast" sheetId="19" r:id="rId11"/>
    <sheet name="Anomaly" sheetId="28" r:id="rId12"/>
    <sheet name="Dashboard" sheetId="22" r:id="rId13"/>
    <sheet name="Forecast_Table" sheetId="20" state="hidden" r:id="rId14"/>
  </sheets>
  <definedNames>
    <definedName name="_xlchart.v2.0" hidden="1">'Charts and Analysis'!$AA$71</definedName>
    <definedName name="_xlchart.v2.1" hidden="1">'Charts and Analysis'!$AA$72:$AA$75</definedName>
    <definedName name="_xlchart.v2.2" hidden="1">'Charts and Analysis'!$Z$72:$Z$75</definedName>
    <definedName name="ExternalData_1" localSheetId="1" hidden="1">Clean_Dataset1!$A$1:$J$611</definedName>
    <definedName name="ExternalData_1" localSheetId="2" hidden="1">'Cleaned_Dataset2'!$A$1:$G$611</definedName>
    <definedName name="ExternalData_1" localSheetId="3" hidden="1">'Cleaned_Dataset3'!$A$1:$P$391</definedName>
    <definedName name="ExternalData_1" localSheetId="4" hidden="1">'Cleaned_DatasetA'!$A$1:$P$611</definedName>
    <definedName name="ExternalData_1" localSheetId="5" hidden="1">'Cleaned_DatasetB'!$A$1:$Q$1001</definedName>
    <definedName name="NativeTimeline_Date">#N/A</definedName>
    <definedName name="Slicer_Day_Name1">#N/A</definedName>
    <definedName name="Slicer_Day_Type1">#N/A</definedName>
    <definedName name="Slicer_Is_Holiday1">#N/A</definedName>
    <definedName name="Slicer_Temperature1">#N/A</definedName>
    <definedName name="Slicer_Weather_Description">#N/A</definedName>
  </definedNames>
  <calcPr calcId="191029"/>
  <pivotCaches>
    <pivotCache cacheId="0" r:id="rId15"/>
  </pivotCaches>
  <extLst>
    <ext xmlns:x14="http://schemas.microsoft.com/office/spreadsheetml/2009/9/main" uri="{BBE1A952-AA13-448e-AADC-164F8A28A991}">
      <x14:slicerCaches>
        <x14:slicerCache r:id="rId16"/>
        <x14:slicerCache r:id="rId17"/>
        <x14:slicerCache r:id="rId18"/>
        <x14:slicerCache r:id="rId19"/>
        <x14:slicerCache r:id="rId20"/>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21"/>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I2" i="13" l="1"/>
  <c r="I3" i="13"/>
  <c r="I4" i="13"/>
  <c r="I5" i="13"/>
  <c r="I6" i="13"/>
  <c r="I7" i="13"/>
  <c r="I8" i="13"/>
  <c r="I9" i="13"/>
  <c r="I10" i="13"/>
  <c r="I11" i="13"/>
  <c r="I12" i="13"/>
  <c r="I13" i="13"/>
  <c r="I14" i="13"/>
  <c r="I15" i="13"/>
  <c r="I16" i="13"/>
  <c r="I17" i="13"/>
  <c r="I18" i="13"/>
  <c r="I19" i="13"/>
  <c r="I20" i="13"/>
  <c r="I21" i="13"/>
  <c r="I22" i="13"/>
  <c r="I23" i="13"/>
  <c r="I24" i="13"/>
  <c r="I25" i="13"/>
  <c r="I26" i="13"/>
  <c r="I27" i="13"/>
  <c r="I28" i="13"/>
  <c r="I29" i="13"/>
  <c r="I30" i="13"/>
  <c r="I31" i="13"/>
  <c r="I32" i="13"/>
  <c r="I33" i="13"/>
  <c r="I34" i="13"/>
  <c r="I35" i="13"/>
  <c r="I36" i="13"/>
  <c r="I37" i="13"/>
  <c r="I38" i="13"/>
  <c r="I39" i="13"/>
  <c r="I40" i="13"/>
  <c r="I41" i="13"/>
  <c r="I42" i="13"/>
  <c r="I43" i="13"/>
  <c r="I44" i="13"/>
  <c r="I45" i="13"/>
  <c r="I46" i="13"/>
  <c r="I47" i="13"/>
  <c r="I48" i="13"/>
  <c r="I49" i="13"/>
  <c r="I50" i="13"/>
  <c r="I51" i="13"/>
  <c r="I52" i="13"/>
  <c r="I53" i="13"/>
  <c r="I54" i="13"/>
  <c r="I55" i="13"/>
  <c r="I56" i="13"/>
  <c r="I57" i="13"/>
  <c r="I58" i="13"/>
  <c r="I59" i="13"/>
  <c r="I60" i="13"/>
  <c r="I61" i="13"/>
  <c r="I62" i="13"/>
  <c r="I63" i="13"/>
  <c r="I64" i="13"/>
  <c r="I65" i="13"/>
  <c r="I66" i="13"/>
  <c r="I67" i="13"/>
  <c r="I68" i="13"/>
  <c r="I69" i="13"/>
  <c r="I70" i="13"/>
  <c r="I71" i="13"/>
  <c r="I72" i="13"/>
  <c r="I73" i="13"/>
  <c r="I74" i="13"/>
  <c r="I75" i="13"/>
  <c r="I76" i="13"/>
  <c r="I77" i="13"/>
  <c r="I78" i="13"/>
  <c r="I79" i="13"/>
  <c r="I80" i="13"/>
  <c r="I81" i="13"/>
  <c r="I82" i="13"/>
  <c r="I83" i="13"/>
  <c r="I84" i="13"/>
  <c r="I85" i="13"/>
  <c r="I86" i="13"/>
  <c r="I87" i="13"/>
  <c r="I88" i="13"/>
  <c r="I89" i="13"/>
  <c r="I90" i="13"/>
  <c r="I91" i="13"/>
  <c r="I92" i="13"/>
  <c r="I93" i="13"/>
  <c r="I94" i="13"/>
  <c r="I95" i="13"/>
  <c r="I96" i="13"/>
  <c r="I97" i="13"/>
  <c r="I98" i="13"/>
  <c r="I99" i="13"/>
  <c r="I100" i="13"/>
  <c r="I101" i="13"/>
  <c r="I102" i="13"/>
  <c r="I103" i="13"/>
  <c r="I104" i="13"/>
  <c r="I105" i="13"/>
  <c r="I106" i="13"/>
  <c r="I107" i="13"/>
  <c r="I108" i="13"/>
  <c r="I109" i="13"/>
  <c r="I110" i="13"/>
  <c r="I111" i="13"/>
  <c r="I112" i="13"/>
  <c r="I113" i="13"/>
  <c r="I114" i="13"/>
  <c r="I115" i="13"/>
  <c r="I116" i="13"/>
  <c r="I117" i="13"/>
  <c r="I118" i="13"/>
  <c r="I119" i="13"/>
  <c r="I120" i="13"/>
  <c r="I121" i="13"/>
  <c r="I122" i="13"/>
  <c r="I123" i="13"/>
  <c r="I124" i="13"/>
  <c r="I125" i="13"/>
  <c r="I126" i="13"/>
  <c r="I127" i="13"/>
  <c r="I128" i="13"/>
  <c r="I129" i="13"/>
  <c r="I130" i="13"/>
  <c r="I131" i="13"/>
  <c r="I132" i="13"/>
  <c r="I133" i="13"/>
  <c r="I134" i="13"/>
  <c r="I135" i="13"/>
  <c r="I136" i="13"/>
  <c r="I137" i="13"/>
  <c r="I138" i="13"/>
  <c r="I139" i="13"/>
  <c r="I140" i="13"/>
  <c r="I141" i="13"/>
  <c r="I142" i="13"/>
  <c r="I143" i="13"/>
  <c r="I144" i="13"/>
  <c r="I145" i="13"/>
  <c r="I146" i="13"/>
  <c r="I147" i="13"/>
  <c r="I148" i="13"/>
  <c r="I149" i="13"/>
  <c r="I150" i="13"/>
  <c r="I151" i="13"/>
  <c r="I152" i="13"/>
  <c r="I153" i="13"/>
  <c r="I154" i="13"/>
  <c r="I155" i="13"/>
  <c r="I156" i="13"/>
  <c r="I157" i="13"/>
  <c r="I158" i="13"/>
  <c r="I159" i="13"/>
  <c r="I160" i="13"/>
  <c r="I161" i="13"/>
  <c r="I162" i="13"/>
  <c r="I163" i="13"/>
  <c r="I164" i="13"/>
  <c r="I165" i="13"/>
  <c r="I166" i="13"/>
  <c r="I167" i="13"/>
  <c r="I168" i="13"/>
  <c r="I169" i="13"/>
  <c r="I170" i="13"/>
  <c r="I171" i="13"/>
  <c r="I172" i="13"/>
  <c r="I173" i="13"/>
  <c r="I174" i="13"/>
  <c r="I175" i="13"/>
  <c r="I176" i="13"/>
  <c r="I177" i="13"/>
  <c r="I178" i="13"/>
  <c r="I179" i="13"/>
  <c r="I180" i="13"/>
  <c r="I181" i="13"/>
  <c r="I182" i="13"/>
  <c r="I183" i="13"/>
  <c r="I184" i="13"/>
  <c r="I185" i="13"/>
  <c r="I186" i="13"/>
  <c r="I187" i="13"/>
  <c r="I188" i="13"/>
  <c r="I189" i="13"/>
  <c r="I190" i="13"/>
  <c r="I191" i="13"/>
  <c r="I192" i="13"/>
  <c r="I193" i="13"/>
  <c r="I194" i="13"/>
  <c r="I195" i="13"/>
  <c r="I196" i="13"/>
  <c r="I197" i="13"/>
  <c r="I198" i="13"/>
  <c r="I199" i="13"/>
  <c r="I200" i="13"/>
  <c r="I201" i="13"/>
  <c r="I202" i="13"/>
  <c r="I203" i="13"/>
  <c r="I204" i="13"/>
  <c r="I205" i="13"/>
  <c r="I206" i="13"/>
  <c r="I207" i="13"/>
  <c r="I208" i="13"/>
  <c r="I209" i="13"/>
  <c r="I210" i="13"/>
  <c r="I211" i="13"/>
  <c r="I212" i="13"/>
  <c r="I213" i="13"/>
  <c r="I214" i="13"/>
  <c r="I215" i="13"/>
  <c r="I216" i="13"/>
  <c r="I217" i="13"/>
  <c r="I218" i="13"/>
  <c r="I219" i="13"/>
  <c r="I220" i="13"/>
  <c r="I221" i="13"/>
  <c r="I222" i="13"/>
  <c r="I223" i="13"/>
  <c r="I224" i="13"/>
  <c r="I225" i="13"/>
  <c r="I226" i="13"/>
  <c r="I227" i="13"/>
  <c r="I228" i="13"/>
  <c r="I229" i="13"/>
  <c r="I230" i="13"/>
  <c r="I231" i="13"/>
  <c r="I232" i="13"/>
  <c r="I233" i="13"/>
  <c r="I234" i="13"/>
  <c r="I235" i="13"/>
  <c r="I236" i="13"/>
  <c r="I237" i="13"/>
  <c r="I238" i="13"/>
  <c r="I239" i="13"/>
  <c r="I240" i="13"/>
  <c r="I241" i="13"/>
  <c r="I242" i="13"/>
  <c r="I243" i="13"/>
  <c r="I244" i="13"/>
  <c r="I245" i="13"/>
  <c r="I246" i="13"/>
  <c r="I247" i="13"/>
  <c r="I248" i="13"/>
  <c r="I249" i="13"/>
  <c r="I250" i="13"/>
  <c r="I251" i="13"/>
  <c r="I252" i="13"/>
  <c r="I253" i="13"/>
  <c r="I254" i="13"/>
  <c r="I255" i="13"/>
  <c r="I256" i="13"/>
  <c r="I257" i="13"/>
  <c r="I258" i="13"/>
  <c r="I259" i="13"/>
  <c r="I260" i="13"/>
  <c r="I261" i="13"/>
  <c r="I262" i="13"/>
  <c r="I263" i="13"/>
  <c r="I264" i="13"/>
  <c r="I265" i="13"/>
  <c r="I266" i="13"/>
  <c r="I267" i="13"/>
  <c r="I268" i="13"/>
  <c r="I269" i="13"/>
  <c r="I270" i="13"/>
  <c r="I271" i="13"/>
  <c r="I272" i="13"/>
  <c r="I273" i="13"/>
  <c r="I274" i="13"/>
  <c r="I275" i="13"/>
  <c r="I276" i="13"/>
  <c r="I277" i="13"/>
  <c r="I278" i="13"/>
  <c r="I279" i="13"/>
  <c r="I280" i="13"/>
  <c r="I281" i="13"/>
  <c r="I282" i="13"/>
  <c r="I283" i="13"/>
  <c r="I284" i="13"/>
  <c r="I285" i="13"/>
  <c r="I286" i="13"/>
  <c r="I287" i="13"/>
  <c r="I288" i="13"/>
  <c r="I289" i="13"/>
  <c r="I290" i="13"/>
  <c r="I291" i="13"/>
  <c r="I292" i="13"/>
  <c r="I293" i="13"/>
  <c r="I294" i="13"/>
  <c r="I295" i="13"/>
  <c r="I296" i="13"/>
  <c r="I297" i="13"/>
  <c r="I298" i="13"/>
  <c r="I299" i="13"/>
  <c r="I300" i="13"/>
  <c r="I301" i="13"/>
  <c r="I302" i="13"/>
  <c r="I303" i="13"/>
  <c r="I304" i="13"/>
  <c r="I305" i="13"/>
  <c r="I306" i="13"/>
  <c r="I307" i="13"/>
  <c r="I308" i="13"/>
  <c r="I309" i="13"/>
  <c r="I310" i="13"/>
  <c r="I311" i="13"/>
  <c r="I312" i="13"/>
  <c r="I313" i="13"/>
  <c r="I314" i="13"/>
  <c r="I315" i="13"/>
  <c r="I316" i="13"/>
  <c r="I317" i="13"/>
  <c r="I318" i="13"/>
  <c r="I319" i="13"/>
  <c r="I320" i="13"/>
  <c r="I321" i="13"/>
  <c r="I322" i="13"/>
  <c r="I323" i="13"/>
  <c r="I324" i="13"/>
  <c r="I325" i="13"/>
  <c r="I326" i="13"/>
  <c r="I327" i="13"/>
  <c r="I328" i="13"/>
  <c r="I329" i="13"/>
  <c r="I330" i="13"/>
  <c r="I331" i="13"/>
  <c r="I332" i="13"/>
  <c r="I333" i="13"/>
  <c r="I334" i="13"/>
  <c r="I335" i="13"/>
  <c r="I336" i="13"/>
  <c r="I337" i="13"/>
  <c r="I338" i="13"/>
  <c r="I339" i="13"/>
  <c r="I340" i="13"/>
  <c r="I341" i="13"/>
  <c r="I342" i="13"/>
  <c r="I343" i="13"/>
  <c r="I344" i="13"/>
  <c r="I345" i="13"/>
  <c r="I346" i="13"/>
  <c r="I347" i="13"/>
  <c r="I348" i="13"/>
  <c r="I349" i="13"/>
  <c r="I350" i="13"/>
  <c r="I351" i="13"/>
  <c r="I352" i="13"/>
  <c r="I353" i="13"/>
  <c r="I354" i="13"/>
  <c r="I355" i="13"/>
  <c r="I356" i="13"/>
  <c r="I357" i="13"/>
  <c r="I358" i="13"/>
  <c r="I359" i="13"/>
  <c r="I360" i="13"/>
  <c r="I361" i="13"/>
  <c r="I362" i="13"/>
  <c r="I363" i="13"/>
  <c r="I364" i="13"/>
  <c r="I365" i="13"/>
  <c r="I366" i="13"/>
  <c r="I367" i="13"/>
  <c r="I368" i="13"/>
  <c r="I369" i="13"/>
  <c r="I370" i="13"/>
  <c r="I371" i="13"/>
  <c r="I372" i="13"/>
  <c r="I373" i="13"/>
  <c r="I374" i="13"/>
  <c r="I375" i="13"/>
  <c r="I376" i="13"/>
  <c r="I377" i="13"/>
  <c r="I378" i="13"/>
  <c r="I379" i="13"/>
  <c r="I380" i="13"/>
  <c r="I381" i="13"/>
  <c r="I382" i="13"/>
  <c r="I383" i="13"/>
  <c r="I384" i="13"/>
  <c r="I385" i="13"/>
  <c r="I386" i="13"/>
  <c r="I387" i="13"/>
  <c r="I388" i="13"/>
  <c r="I389" i="13"/>
  <c r="I390" i="13"/>
  <c r="I391" i="13"/>
  <c r="I392" i="13"/>
  <c r="I393" i="13"/>
  <c r="I394" i="13"/>
  <c r="I395" i="13"/>
  <c r="I396" i="13"/>
  <c r="I397" i="13"/>
  <c r="I398" i="13"/>
  <c r="I399" i="13"/>
  <c r="I400" i="13"/>
  <c r="I401" i="13"/>
  <c r="I402" i="13"/>
  <c r="I403" i="13"/>
  <c r="I404" i="13"/>
  <c r="I405" i="13"/>
  <c r="I406" i="13"/>
  <c r="I407" i="13"/>
  <c r="I408" i="13"/>
  <c r="I409" i="13"/>
  <c r="I410" i="13"/>
  <c r="I411" i="13"/>
  <c r="I412" i="13"/>
  <c r="I413" i="13"/>
  <c r="I414" i="13"/>
  <c r="I415" i="13"/>
  <c r="I416" i="13"/>
  <c r="I417" i="13"/>
  <c r="I418" i="13"/>
  <c r="I419" i="13"/>
  <c r="I420" i="13"/>
  <c r="I421" i="13"/>
  <c r="I422" i="13"/>
  <c r="I423" i="13"/>
  <c r="I424" i="13"/>
  <c r="I425" i="13"/>
  <c r="I426" i="13"/>
  <c r="I427" i="13"/>
  <c r="I428" i="13"/>
  <c r="I429" i="13"/>
  <c r="I430" i="13"/>
  <c r="I431" i="13"/>
  <c r="I432" i="13"/>
  <c r="I433" i="13"/>
  <c r="I434" i="13"/>
  <c r="I435" i="13"/>
  <c r="I436" i="13"/>
  <c r="I437" i="13"/>
  <c r="I438" i="13"/>
  <c r="I439" i="13"/>
  <c r="I440" i="13"/>
  <c r="I441" i="13"/>
  <c r="I442" i="13"/>
  <c r="I443" i="13"/>
  <c r="I444" i="13"/>
  <c r="I445" i="13"/>
  <c r="I446" i="13"/>
  <c r="I447" i="13"/>
  <c r="I448" i="13"/>
  <c r="I449" i="13"/>
  <c r="I450" i="13"/>
  <c r="I451" i="13"/>
  <c r="I452" i="13"/>
  <c r="I453" i="13"/>
  <c r="I454" i="13"/>
  <c r="I455" i="13"/>
  <c r="I456" i="13"/>
  <c r="I457" i="13"/>
  <c r="I458" i="13"/>
  <c r="I459" i="13"/>
  <c r="I460" i="13"/>
  <c r="I461" i="13"/>
  <c r="I462" i="13"/>
  <c r="I463" i="13"/>
  <c r="I464" i="13"/>
  <c r="I465" i="13"/>
  <c r="I466" i="13"/>
  <c r="I467" i="13"/>
  <c r="I468" i="13"/>
  <c r="I469" i="13"/>
  <c r="I470" i="13"/>
  <c r="I471" i="13"/>
  <c r="I472" i="13"/>
  <c r="I473" i="13"/>
  <c r="I474" i="13"/>
  <c r="I475" i="13"/>
  <c r="I476" i="13"/>
  <c r="I477" i="13"/>
  <c r="I478" i="13"/>
  <c r="I479" i="13"/>
  <c r="I480" i="13"/>
  <c r="I481" i="13"/>
  <c r="I482" i="13"/>
  <c r="I483" i="13"/>
  <c r="I484" i="13"/>
  <c r="I485" i="13"/>
  <c r="I486" i="13"/>
  <c r="I487" i="13"/>
  <c r="I488" i="13"/>
  <c r="I489" i="13"/>
  <c r="I490" i="13"/>
  <c r="I491" i="13"/>
  <c r="I492" i="13"/>
  <c r="I493" i="13"/>
  <c r="I494" i="13"/>
  <c r="I495" i="13"/>
  <c r="I496" i="13"/>
  <c r="I497" i="13"/>
  <c r="I498" i="13"/>
  <c r="I499" i="13"/>
  <c r="I500" i="13"/>
  <c r="I501" i="13"/>
  <c r="I502" i="13"/>
  <c r="I503" i="13"/>
  <c r="I504" i="13"/>
  <c r="I505" i="13"/>
  <c r="I506" i="13"/>
  <c r="I507" i="13"/>
  <c r="I508" i="13"/>
  <c r="I509" i="13"/>
  <c r="I510" i="13"/>
  <c r="I511" i="13"/>
  <c r="I512" i="13"/>
  <c r="I513" i="13"/>
  <c r="I514" i="13"/>
  <c r="I515" i="13"/>
  <c r="I516" i="13"/>
  <c r="I517" i="13"/>
  <c r="I518" i="13"/>
  <c r="I519" i="13"/>
  <c r="I520" i="13"/>
  <c r="I521" i="13"/>
  <c r="I522" i="13"/>
  <c r="I523" i="13"/>
  <c r="I524" i="13"/>
  <c r="I525" i="13"/>
  <c r="I526" i="13"/>
  <c r="I527" i="13"/>
  <c r="I528" i="13"/>
  <c r="I529" i="13"/>
  <c r="I530" i="13"/>
  <c r="I531" i="13"/>
  <c r="I532" i="13"/>
  <c r="I533" i="13"/>
  <c r="I534" i="13"/>
  <c r="I535" i="13"/>
  <c r="I536" i="13"/>
  <c r="I537" i="13"/>
  <c r="I538" i="13"/>
  <c r="I539" i="13"/>
  <c r="I540" i="13"/>
  <c r="I541" i="13"/>
  <c r="I542" i="13"/>
  <c r="I543" i="13"/>
  <c r="I544" i="13"/>
  <c r="I545" i="13"/>
  <c r="I546" i="13"/>
  <c r="I547" i="13"/>
  <c r="I548" i="13"/>
  <c r="I549" i="13"/>
  <c r="I550" i="13"/>
  <c r="I551" i="13"/>
  <c r="I552" i="13"/>
  <c r="I553" i="13"/>
  <c r="I554" i="13"/>
  <c r="I555" i="13"/>
  <c r="I556" i="13"/>
  <c r="I557" i="13"/>
  <c r="I558" i="13"/>
  <c r="I559" i="13"/>
  <c r="I560" i="13"/>
  <c r="I561" i="13"/>
  <c r="I562" i="13"/>
  <c r="I563" i="13"/>
  <c r="I564" i="13"/>
  <c r="I565" i="13"/>
  <c r="I566" i="13"/>
  <c r="I567" i="13"/>
  <c r="I568" i="13"/>
  <c r="I569" i="13"/>
  <c r="I570" i="13"/>
  <c r="I571" i="13"/>
  <c r="I572" i="13"/>
  <c r="I573" i="13"/>
  <c r="I574" i="13"/>
  <c r="I575" i="13"/>
  <c r="I576" i="13"/>
  <c r="I577" i="13"/>
  <c r="I578" i="13"/>
  <c r="I579" i="13"/>
  <c r="I580" i="13"/>
  <c r="I581" i="13"/>
  <c r="I582" i="13"/>
  <c r="I583" i="13"/>
  <c r="I584" i="13"/>
  <c r="I585" i="13"/>
  <c r="I586" i="13"/>
  <c r="I587" i="13"/>
  <c r="I588" i="13"/>
  <c r="I589" i="13"/>
  <c r="I590" i="13"/>
  <c r="I591" i="13"/>
  <c r="I592" i="13"/>
  <c r="I593" i="13"/>
  <c r="I594" i="13"/>
  <c r="I595" i="13"/>
  <c r="I596" i="13"/>
  <c r="I597" i="13"/>
  <c r="I598" i="13"/>
  <c r="I599" i="13"/>
  <c r="I600" i="13"/>
  <c r="I601" i="13"/>
  <c r="I602" i="13"/>
  <c r="I603" i="13"/>
  <c r="I604" i="13"/>
  <c r="I605" i="13"/>
  <c r="I606" i="13"/>
  <c r="I607" i="13"/>
  <c r="I608" i="13"/>
  <c r="I609" i="13"/>
  <c r="I610" i="13"/>
  <c r="I611" i="13"/>
  <c r="I612" i="13"/>
  <c r="I613" i="13"/>
  <c r="I614" i="13"/>
  <c r="I615" i="13"/>
  <c r="I616" i="13"/>
  <c r="I617" i="13"/>
  <c r="I618" i="13"/>
  <c r="I619" i="13"/>
  <c r="I620" i="13"/>
  <c r="I621" i="13"/>
  <c r="I622" i="13"/>
  <c r="I623" i="13"/>
  <c r="I624" i="13"/>
  <c r="I625" i="13"/>
  <c r="I626" i="13"/>
  <c r="I627" i="13"/>
  <c r="I628" i="13"/>
  <c r="I629" i="13"/>
  <c r="I630" i="13"/>
  <c r="I631" i="13"/>
  <c r="I632" i="13"/>
  <c r="I633" i="13"/>
  <c r="I634" i="13"/>
  <c r="I635" i="13"/>
  <c r="I636" i="13"/>
  <c r="I637" i="13"/>
  <c r="I638" i="13"/>
  <c r="I639" i="13"/>
  <c r="I640" i="13"/>
  <c r="I641" i="13"/>
  <c r="I642" i="13"/>
  <c r="I643" i="13"/>
  <c r="I644" i="13"/>
  <c r="I645" i="13"/>
  <c r="I646" i="13"/>
  <c r="I647" i="13"/>
  <c r="I648" i="13"/>
  <c r="I649" i="13"/>
  <c r="I650" i="13"/>
  <c r="I651" i="13"/>
  <c r="I652" i="13"/>
  <c r="I653" i="13"/>
  <c r="I654" i="13"/>
  <c r="I655" i="13"/>
  <c r="I656" i="13"/>
  <c r="I657" i="13"/>
  <c r="I658" i="13"/>
  <c r="I659" i="13"/>
  <c r="I660" i="13"/>
  <c r="I661" i="13"/>
  <c r="I662" i="13"/>
  <c r="I663" i="13"/>
  <c r="I664" i="13"/>
  <c r="I665" i="13"/>
  <c r="I666" i="13"/>
  <c r="I667" i="13"/>
  <c r="I668" i="13"/>
  <c r="I669" i="13"/>
  <c r="I670" i="13"/>
  <c r="I671" i="13"/>
  <c r="I672" i="13"/>
  <c r="I673" i="13"/>
  <c r="I674" i="13"/>
  <c r="I675" i="13"/>
  <c r="I676" i="13"/>
  <c r="I677" i="13"/>
  <c r="I678" i="13"/>
  <c r="I679" i="13"/>
  <c r="I680" i="13"/>
  <c r="I681" i="13"/>
  <c r="I682" i="13"/>
  <c r="I683" i="13"/>
  <c r="I684" i="13"/>
  <c r="I685" i="13"/>
  <c r="I686" i="13"/>
  <c r="I687" i="13"/>
  <c r="I688" i="13"/>
  <c r="I689" i="13"/>
  <c r="I690" i="13"/>
  <c r="I691" i="13"/>
  <c r="I692" i="13"/>
  <c r="I693" i="13"/>
  <c r="I694" i="13"/>
  <c r="I695" i="13"/>
  <c r="I696" i="13"/>
  <c r="I697" i="13"/>
  <c r="I698" i="13"/>
  <c r="I699" i="13"/>
  <c r="I700" i="13"/>
  <c r="I701" i="13"/>
  <c r="I702" i="13"/>
  <c r="I703" i="13"/>
  <c r="I704" i="13"/>
  <c r="I705" i="13"/>
  <c r="I706" i="13"/>
  <c r="I707" i="13"/>
  <c r="I708" i="13"/>
  <c r="I709" i="13"/>
  <c r="I710" i="13"/>
  <c r="I711" i="13"/>
  <c r="I712" i="13"/>
  <c r="I713" i="13"/>
  <c r="I714" i="13"/>
  <c r="I715" i="13"/>
  <c r="I716" i="13"/>
  <c r="I717" i="13"/>
  <c r="I718" i="13"/>
  <c r="I719" i="13"/>
  <c r="I720" i="13"/>
  <c r="I721" i="13"/>
  <c r="I722" i="13"/>
  <c r="I723" i="13"/>
  <c r="I724" i="13"/>
  <c r="I725" i="13"/>
  <c r="I726" i="13"/>
  <c r="I727" i="13"/>
  <c r="I728" i="13"/>
  <c r="I729" i="13"/>
  <c r="I730" i="13"/>
  <c r="I731" i="13"/>
  <c r="I732" i="13"/>
  <c r="I733" i="13"/>
  <c r="I734" i="13"/>
  <c r="I735" i="13"/>
  <c r="I736" i="13"/>
  <c r="I737" i="13"/>
  <c r="I738" i="13"/>
  <c r="I739" i="13"/>
  <c r="I740" i="13"/>
  <c r="I741" i="13"/>
  <c r="I742" i="13"/>
  <c r="I743" i="13"/>
  <c r="I744" i="13"/>
  <c r="I745" i="13"/>
  <c r="I746" i="13"/>
  <c r="I747" i="13"/>
  <c r="I748" i="13"/>
  <c r="I749" i="13"/>
  <c r="I750" i="13"/>
  <c r="I751" i="13"/>
  <c r="I752" i="13"/>
  <c r="I753" i="13"/>
  <c r="I754" i="13"/>
  <c r="I755" i="13"/>
  <c r="I756" i="13"/>
  <c r="I757" i="13"/>
  <c r="I758" i="13"/>
  <c r="I759" i="13"/>
  <c r="I760" i="13"/>
  <c r="I761" i="13"/>
  <c r="I762" i="13"/>
  <c r="I763" i="13"/>
  <c r="I764" i="13"/>
  <c r="I765" i="13"/>
  <c r="I766" i="13"/>
  <c r="I767" i="13"/>
  <c r="I768" i="13"/>
  <c r="I769" i="13"/>
  <c r="I770" i="13"/>
  <c r="I771" i="13"/>
  <c r="I772" i="13"/>
  <c r="I773" i="13"/>
  <c r="I774" i="13"/>
  <c r="I775" i="13"/>
  <c r="I776" i="13"/>
  <c r="I777" i="13"/>
  <c r="I778" i="13"/>
  <c r="I779" i="13"/>
  <c r="I780" i="13"/>
  <c r="I781" i="13"/>
  <c r="I782" i="13"/>
  <c r="I783" i="13"/>
  <c r="I784" i="13"/>
  <c r="I785" i="13"/>
  <c r="I786" i="13"/>
  <c r="I787" i="13"/>
  <c r="I788" i="13"/>
  <c r="I789" i="13"/>
  <c r="I790" i="13"/>
  <c r="I791" i="13"/>
  <c r="I792" i="13"/>
  <c r="I793" i="13"/>
  <c r="I794" i="13"/>
  <c r="I795" i="13"/>
  <c r="I796" i="13"/>
  <c r="I797" i="13"/>
  <c r="I798" i="13"/>
  <c r="I799" i="13"/>
  <c r="I800" i="13"/>
  <c r="I801" i="13"/>
  <c r="I802" i="13"/>
  <c r="I803" i="13"/>
  <c r="I804" i="13"/>
  <c r="I805" i="13"/>
  <c r="I806" i="13"/>
  <c r="I807" i="13"/>
  <c r="I808" i="13"/>
  <c r="I809" i="13"/>
  <c r="I810" i="13"/>
  <c r="I811" i="13"/>
  <c r="I812" i="13"/>
  <c r="I813" i="13"/>
  <c r="I814" i="13"/>
  <c r="I815" i="13"/>
  <c r="I816" i="13"/>
  <c r="I817" i="13"/>
  <c r="I818" i="13"/>
  <c r="I819" i="13"/>
  <c r="I820" i="13"/>
  <c r="I821" i="13"/>
  <c r="I822" i="13"/>
  <c r="I823" i="13"/>
  <c r="I824" i="13"/>
  <c r="I825" i="13"/>
  <c r="I826" i="13"/>
  <c r="I827" i="13"/>
  <c r="I828" i="13"/>
  <c r="I829" i="13"/>
  <c r="I830" i="13"/>
  <c r="I831" i="13"/>
  <c r="I832" i="13"/>
  <c r="I833" i="13"/>
  <c r="I834" i="13"/>
  <c r="I835" i="13"/>
  <c r="I836" i="13"/>
  <c r="I837" i="13"/>
  <c r="I838" i="13"/>
  <c r="I839" i="13"/>
  <c r="I840" i="13"/>
  <c r="I841" i="13"/>
  <c r="I842" i="13"/>
  <c r="I843" i="13"/>
  <c r="I844" i="13"/>
  <c r="I845" i="13"/>
  <c r="I846" i="13"/>
  <c r="I847" i="13"/>
  <c r="I848" i="13"/>
  <c r="I849" i="13"/>
  <c r="I850" i="13"/>
  <c r="I851" i="13"/>
  <c r="I852" i="13"/>
  <c r="I853" i="13"/>
  <c r="I854" i="13"/>
  <c r="I855" i="13"/>
  <c r="I856" i="13"/>
  <c r="I857" i="13"/>
  <c r="I858" i="13"/>
  <c r="I859" i="13"/>
  <c r="I860" i="13"/>
  <c r="I861" i="13"/>
  <c r="I862" i="13"/>
  <c r="I863" i="13"/>
  <c r="I864" i="13"/>
  <c r="I865" i="13"/>
  <c r="I866" i="13"/>
  <c r="I867" i="13"/>
  <c r="I868" i="13"/>
  <c r="I869" i="13"/>
  <c r="I870" i="13"/>
  <c r="I871" i="13"/>
  <c r="I872" i="13"/>
  <c r="I873" i="13"/>
  <c r="I874" i="13"/>
  <c r="I875" i="13"/>
  <c r="I876" i="13"/>
  <c r="I877" i="13"/>
  <c r="I878" i="13"/>
  <c r="I879" i="13"/>
  <c r="I880" i="13"/>
  <c r="I881" i="13"/>
  <c r="I882" i="13"/>
  <c r="I883" i="13"/>
  <c r="I884" i="13"/>
  <c r="I885" i="13"/>
  <c r="I886" i="13"/>
  <c r="I887" i="13"/>
  <c r="I888" i="13"/>
  <c r="I889" i="13"/>
  <c r="I890" i="13"/>
  <c r="I891" i="13"/>
  <c r="I892" i="13"/>
  <c r="I893" i="13"/>
  <c r="I894" i="13"/>
  <c r="I895" i="13"/>
  <c r="I896" i="13"/>
  <c r="I897" i="13"/>
  <c r="I898" i="13"/>
  <c r="I899" i="13"/>
  <c r="I900" i="13"/>
  <c r="I901" i="13"/>
  <c r="I902" i="13"/>
  <c r="I903" i="13"/>
  <c r="I904" i="13"/>
  <c r="I905" i="13"/>
  <c r="I906" i="13"/>
  <c r="I907" i="13"/>
  <c r="I908" i="13"/>
  <c r="I909" i="13"/>
  <c r="I910" i="13"/>
  <c r="I911" i="13"/>
  <c r="I912" i="13"/>
  <c r="I913" i="13"/>
  <c r="I914" i="13"/>
  <c r="I915" i="13"/>
  <c r="I916" i="13"/>
  <c r="I917" i="13"/>
  <c r="I918" i="13"/>
  <c r="I919" i="13"/>
  <c r="I920" i="13"/>
  <c r="I921" i="13"/>
  <c r="I922" i="13"/>
  <c r="I923" i="13"/>
  <c r="I924" i="13"/>
  <c r="I925" i="13"/>
  <c r="I926" i="13"/>
  <c r="I927" i="13"/>
  <c r="I928" i="13"/>
  <c r="I929" i="13"/>
  <c r="I930" i="13"/>
  <c r="I931" i="13"/>
  <c r="I932" i="13"/>
  <c r="I933" i="13"/>
  <c r="I934" i="13"/>
  <c r="I935" i="13"/>
  <c r="I936" i="13"/>
  <c r="I937" i="13"/>
  <c r="I938" i="13"/>
  <c r="I939" i="13"/>
  <c r="I940" i="13"/>
  <c r="I941" i="13"/>
  <c r="I942" i="13"/>
  <c r="I943" i="13"/>
  <c r="I944" i="13"/>
  <c r="I945" i="13"/>
  <c r="I946" i="13"/>
  <c r="I947" i="13"/>
  <c r="I948" i="13"/>
  <c r="I949" i="13"/>
  <c r="I950" i="13"/>
  <c r="I951" i="13"/>
  <c r="I952" i="13"/>
  <c r="I953" i="13"/>
  <c r="I954" i="13"/>
  <c r="I955" i="13"/>
  <c r="I956" i="13"/>
  <c r="I957" i="13"/>
  <c r="I958" i="13"/>
  <c r="I959" i="13"/>
  <c r="I960" i="13"/>
  <c r="I961" i="13"/>
  <c r="I962" i="13"/>
  <c r="I963" i="13"/>
  <c r="I964" i="13"/>
  <c r="I965" i="13"/>
  <c r="I966" i="13"/>
  <c r="I967" i="13"/>
  <c r="I968" i="13"/>
  <c r="I969" i="13"/>
  <c r="I970" i="13"/>
  <c r="I971" i="13"/>
  <c r="I972" i="13"/>
  <c r="I973" i="13"/>
  <c r="I974" i="13"/>
  <c r="I975" i="13"/>
  <c r="I976" i="13"/>
  <c r="I977" i="13"/>
  <c r="I978" i="13"/>
  <c r="I979" i="13"/>
  <c r="I980" i="13"/>
  <c r="I981" i="13"/>
  <c r="I982" i="13"/>
  <c r="I983" i="13"/>
  <c r="I984" i="13"/>
  <c r="I985" i="13"/>
  <c r="I986" i="13"/>
  <c r="I987" i="13"/>
  <c r="I988" i="13"/>
  <c r="I989" i="13"/>
  <c r="I990" i="13"/>
  <c r="I991" i="13"/>
  <c r="I992" i="13"/>
  <c r="I993" i="13"/>
  <c r="I994" i="13"/>
  <c r="I995" i="13"/>
  <c r="I996" i="13"/>
  <c r="I997" i="13"/>
  <c r="I998" i="13"/>
  <c r="I999" i="13"/>
  <c r="I1000" i="13"/>
  <c r="I1001" i="13"/>
  <c r="R2" i="13"/>
  <c r="R3" i="13"/>
  <c r="R4" i="13"/>
  <c r="R5" i="13"/>
  <c r="R6" i="13"/>
  <c r="R7" i="13"/>
  <c r="R8" i="13"/>
  <c r="R9" i="13"/>
  <c r="R10" i="13"/>
  <c r="R11" i="13"/>
  <c r="R12" i="13"/>
  <c r="R13" i="13"/>
  <c r="R14" i="13"/>
  <c r="R15" i="13"/>
  <c r="R16" i="13"/>
  <c r="R17" i="13"/>
  <c r="R18" i="13"/>
  <c r="R19" i="13"/>
  <c r="R20" i="13"/>
  <c r="R21" i="13"/>
  <c r="R22" i="13"/>
  <c r="R23" i="13"/>
  <c r="R24" i="13"/>
  <c r="R25" i="13"/>
  <c r="R26" i="13"/>
  <c r="R27" i="13"/>
  <c r="R28" i="13"/>
  <c r="R29" i="13"/>
  <c r="R30" i="13"/>
  <c r="R31" i="13"/>
  <c r="R32" i="13"/>
  <c r="R33" i="13"/>
  <c r="R34" i="13"/>
  <c r="R35" i="13"/>
  <c r="R36" i="13"/>
  <c r="R37" i="13"/>
  <c r="R38" i="13"/>
  <c r="R39" i="13"/>
  <c r="R40" i="13"/>
  <c r="R41" i="13"/>
  <c r="R42" i="13"/>
  <c r="R43" i="13"/>
  <c r="R44" i="13"/>
  <c r="R45" i="13"/>
  <c r="R46" i="13"/>
  <c r="R47" i="13"/>
  <c r="R48" i="13"/>
  <c r="R49" i="13"/>
  <c r="R50" i="13"/>
  <c r="R51" i="13"/>
  <c r="R52" i="13"/>
  <c r="R53" i="13"/>
  <c r="R54" i="13"/>
  <c r="R55" i="13"/>
  <c r="R56" i="13"/>
  <c r="R57" i="13"/>
  <c r="R58" i="13"/>
  <c r="R59" i="13"/>
  <c r="R60" i="13"/>
  <c r="R61" i="13"/>
  <c r="R62" i="13"/>
  <c r="R63" i="13"/>
  <c r="R64" i="13"/>
  <c r="R65" i="13"/>
  <c r="R66" i="13"/>
  <c r="R67" i="13"/>
  <c r="R68" i="13"/>
  <c r="R69" i="13"/>
  <c r="R70" i="13"/>
  <c r="R71" i="13"/>
  <c r="R72" i="13"/>
  <c r="R73" i="13"/>
  <c r="R74" i="13"/>
  <c r="R75" i="13"/>
  <c r="R76" i="13"/>
  <c r="R77" i="13"/>
  <c r="R78" i="13"/>
  <c r="R79" i="13"/>
  <c r="R80" i="13"/>
  <c r="R81" i="13"/>
  <c r="R82" i="13"/>
  <c r="R83" i="13"/>
  <c r="R84" i="13"/>
  <c r="R85" i="13"/>
  <c r="R86" i="13"/>
  <c r="R87" i="13"/>
  <c r="R88" i="13"/>
  <c r="R89" i="13"/>
  <c r="R90" i="13"/>
  <c r="R91" i="13"/>
  <c r="R92" i="13"/>
  <c r="R93" i="13"/>
  <c r="R94" i="13"/>
  <c r="R95" i="13"/>
  <c r="R96" i="13"/>
  <c r="R97" i="13"/>
  <c r="R98" i="13"/>
  <c r="R99" i="13"/>
  <c r="R100" i="13"/>
  <c r="R101" i="13"/>
  <c r="R102" i="13"/>
  <c r="R103" i="13"/>
  <c r="R104" i="13"/>
  <c r="R105" i="13"/>
  <c r="R106" i="13"/>
  <c r="R107" i="13"/>
  <c r="R108" i="13"/>
  <c r="R109" i="13"/>
  <c r="R110" i="13"/>
  <c r="R111" i="13"/>
  <c r="R112" i="13"/>
  <c r="R113" i="13"/>
  <c r="R114" i="13"/>
  <c r="R115" i="13"/>
  <c r="R116" i="13"/>
  <c r="R117" i="13"/>
  <c r="R118" i="13"/>
  <c r="R119" i="13"/>
  <c r="R120" i="13"/>
  <c r="R121" i="13"/>
  <c r="R122" i="13"/>
  <c r="R123" i="13"/>
  <c r="R124" i="13"/>
  <c r="R125" i="13"/>
  <c r="R126" i="13"/>
  <c r="R127" i="13"/>
  <c r="R128" i="13"/>
  <c r="R129" i="13"/>
  <c r="R130" i="13"/>
  <c r="R131" i="13"/>
  <c r="R132" i="13"/>
  <c r="R133" i="13"/>
  <c r="R134" i="13"/>
  <c r="R135" i="13"/>
  <c r="R136" i="13"/>
  <c r="R137" i="13"/>
  <c r="R138" i="13"/>
  <c r="R139" i="13"/>
  <c r="R140" i="13"/>
  <c r="R141" i="13"/>
  <c r="R142" i="13"/>
  <c r="R143" i="13"/>
  <c r="R144" i="13"/>
  <c r="R145" i="13"/>
  <c r="R146" i="13"/>
  <c r="R147" i="13"/>
  <c r="R148" i="13"/>
  <c r="R149" i="13"/>
  <c r="R150" i="13"/>
  <c r="R151" i="13"/>
  <c r="R152" i="13"/>
  <c r="R153" i="13"/>
  <c r="R154" i="13"/>
  <c r="R155" i="13"/>
  <c r="R156" i="13"/>
  <c r="R157" i="13"/>
  <c r="R158" i="13"/>
  <c r="R159" i="13"/>
  <c r="R160" i="13"/>
  <c r="R161" i="13"/>
  <c r="R162" i="13"/>
  <c r="R163" i="13"/>
  <c r="R164" i="13"/>
  <c r="R165" i="13"/>
  <c r="R166" i="13"/>
  <c r="R167" i="13"/>
  <c r="R168" i="13"/>
  <c r="R169" i="13"/>
  <c r="R170" i="13"/>
  <c r="R171" i="13"/>
  <c r="R172" i="13"/>
  <c r="R173" i="13"/>
  <c r="R174" i="13"/>
  <c r="R175" i="13"/>
  <c r="R176" i="13"/>
  <c r="R177" i="13"/>
  <c r="R178" i="13"/>
  <c r="R179" i="13"/>
  <c r="R180" i="13"/>
  <c r="R181" i="13"/>
  <c r="R182" i="13"/>
  <c r="R183" i="13"/>
  <c r="R184" i="13"/>
  <c r="R185" i="13"/>
  <c r="R186" i="13"/>
  <c r="R187" i="13"/>
  <c r="R188" i="13"/>
  <c r="R189" i="13"/>
  <c r="R190" i="13"/>
  <c r="R191" i="13"/>
  <c r="R192" i="13"/>
  <c r="R193" i="13"/>
  <c r="R194" i="13"/>
  <c r="R195" i="13"/>
  <c r="R196" i="13"/>
  <c r="R197" i="13"/>
  <c r="R198" i="13"/>
  <c r="R199" i="13"/>
  <c r="R200" i="13"/>
  <c r="R201" i="13"/>
  <c r="R202" i="13"/>
  <c r="R203" i="13"/>
  <c r="R204" i="13"/>
  <c r="R205" i="13"/>
  <c r="R206" i="13"/>
  <c r="R207" i="13"/>
  <c r="R208" i="13"/>
  <c r="R209" i="13"/>
  <c r="R210" i="13"/>
  <c r="R211" i="13"/>
  <c r="R212" i="13"/>
  <c r="R213" i="13"/>
  <c r="R214" i="13"/>
  <c r="R215" i="13"/>
  <c r="R216" i="13"/>
  <c r="R217" i="13"/>
  <c r="R218" i="13"/>
  <c r="R219" i="13"/>
  <c r="R220" i="13"/>
  <c r="R221" i="13"/>
  <c r="R222" i="13"/>
  <c r="R223" i="13"/>
  <c r="R224" i="13"/>
  <c r="R225" i="13"/>
  <c r="R226" i="13"/>
  <c r="R227" i="13"/>
  <c r="R228" i="13"/>
  <c r="R229" i="13"/>
  <c r="R230" i="13"/>
  <c r="R231" i="13"/>
  <c r="R232" i="13"/>
  <c r="R233" i="13"/>
  <c r="R234" i="13"/>
  <c r="R235" i="13"/>
  <c r="R236" i="13"/>
  <c r="R237" i="13"/>
  <c r="R238" i="13"/>
  <c r="R239" i="13"/>
  <c r="R240" i="13"/>
  <c r="R241" i="13"/>
  <c r="R242" i="13"/>
  <c r="R243" i="13"/>
  <c r="R244" i="13"/>
  <c r="R245" i="13"/>
  <c r="R246" i="13"/>
  <c r="R247" i="13"/>
  <c r="R248" i="13"/>
  <c r="R249" i="13"/>
  <c r="R250" i="13"/>
  <c r="R251" i="13"/>
  <c r="R252" i="13"/>
  <c r="R253" i="13"/>
  <c r="R254" i="13"/>
  <c r="R255" i="13"/>
  <c r="R256" i="13"/>
  <c r="R257" i="13"/>
  <c r="R258" i="13"/>
  <c r="R259" i="13"/>
  <c r="R260" i="13"/>
  <c r="R261" i="13"/>
  <c r="R262" i="13"/>
  <c r="R263" i="13"/>
  <c r="R264" i="13"/>
  <c r="R265" i="13"/>
  <c r="R266" i="13"/>
  <c r="R267" i="13"/>
  <c r="R268" i="13"/>
  <c r="R269" i="13"/>
  <c r="R270" i="13"/>
  <c r="R271" i="13"/>
  <c r="R272" i="13"/>
  <c r="R273" i="13"/>
  <c r="R274" i="13"/>
  <c r="R275" i="13"/>
  <c r="R276" i="13"/>
  <c r="R277" i="13"/>
  <c r="R278" i="13"/>
  <c r="R279" i="13"/>
  <c r="R280" i="13"/>
  <c r="R281" i="13"/>
  <c r="R282" i="13"/>
  <c r="R283" i="13"/>
  <c r="R284" i="13"/>
  <c r="R285" i="13"/>
  <c r="R286" i="13"/>
  <c r="R287" i="13"/>
  <c r="R288" i="13"/>
  <c r="R289" i="13"/>
  <c r="R290" i="13"/>
  <c r="R291" i="13"/>
  <c r="R292" i="13"/>
  <c r="R293" i="13"/>
  <c r="R294" i="13"/>
  <c r="R295" i="13"/>
  <c r="R296" i="13"/>
  <c r="R297" i="13"/>
  <c r="R298" i="13"/>
  <c r="R299" i="13"/>
  <c r="R300" i="13"/>
  <c r="R301" i="13"/>
  <c r="R302" i="13"/>
  <c r="R303" i="13"/>
  <c r="R304" i="13"/>
  <c r="R305" i="13"/>
  <c r="R306" i="13"/>
  <c r="R307" i="13"/>
  <c r="R308" i="13"/>
  <c r="R309" i="13"/>
  <c r="R310" i="13"/>
  <c r="R311" i="13"/>
  <c r="R312" i="13"/>
  <c r="R313" i="13"/>
  <c r="R314" i="13"/>
  <c r="R315" i="13"/>
  <c r="R316" i="13"/>
  <c r="R317" i="13"/>
  <c r="R318" i="13"/>
  <c r="R319" i="13"/>
  <c r="R320" i="13"/>
  <c r="R321" i="13"/>
  <c r="R322" i="13"/>
  <c r="R323" i="13"/>
  <c r="R324" i="13"/>
  <c r="R325" i="13"/>
  <c r="R326" i="13"/>
  <c r="R327" i="13"/>
  <c r="R328" i="13"/>
  <c r="R329" i="13"/>
  <c r="R330" i="13"/>
  <c r="R331" i="13"/>
  <c r="R332" i="13"/>
  <c r="R333" i="13"/>
  <c r="R334" i="13"/>
  <c r="R335" i="13"/>
  <c r="R336" i="13"/>
  <c r="R337" i="13"/>
  <c r="R338" i="13"/>
  <c r="R339" i="13"/>
  <c r="R340" i="13"/>
  <c r="R341" i="13"/>
  <c r="R342" i="13"/>
  <c r="R343" i="13"/>
  <c r="R344" i="13"/>
  <c r="R345" i="13"/>
  <c r="R346" i="13"/>
  <c r="R347" i="13"/>
  <c r="R348" i="13"/>
  <c r="R349" i="13"/>
  <c r="R350" i="13"/>
  <c r="R351" i="13"/>
  <c r="R352" i="13"/>
  <c r="R353" i="13"/>
  <c r="R354" i="13"/>
  <c r="R355" i="13"/>
  <c r="R356" i="13"/>
  <c r="R357" i="13"/>
  <c r="R358" i="13"/>
  <c r="R359" i="13"/>
  <c r="R360" i="13"/>
  <c r="R361" i="13"/>
  <c r="R362" i="13"/>
  <c r="R363" i="13"/>
  <c r="R364" i="13"/>
  <c r="R365" i="13"/>
  <c r="R366" i="13"/>
  <c r="R367" i="13"/>
  <c r="R368" i="13"/>
  <c r="R369" i="13"/>
  <c r="R370" i="13"/>
  <c r="R371" i="13"/>
  <c r="R372" i="13"/>
  <c r="R373" i="13"/>
  <c r="R374" i="13"/>
  <c r="R375" i="13"/>
  <c r="R376" i="13"/>
  <c r="R377" i="13"/>
  <c r="R378" i="13"/>
  <c r="R379" i="13"/>
  <c r="R380" i="13"/>
  <c r="R381" i="13"/>
  <c r="R382" i="13"/>
  <c r="R383" i="13"/>
  <c r="R384" i="13"/>
  <c r="R385" i="13"/>
  <c r="R386" i="13"/>
  <c r="R387" i="13"/>
  <c r="R388" i="13"/>
  <c r="R389" i="13"/>
  <c r="R390" i="13"/>
  <c r="R391" i="13"/>
  <c r="R392" i="13"/>
  <c r="R393" i="13"/>
  <c r="R394" i="13"/>
  <c r="R395" i="13"/>
  <c r="R396" i="13"/>
  <c r="R397" i="13"/>
  <c r="R398" i="13"/>
  <c r="R399" i="13"/>
  <c r="R400" i="13"/>
  <c r="R401" i="13"/>
  <c r="R402" i="13"/>
  <c r="R403" i="13"/>
  <c r="R404" i="13"/>
  <c r="R405" i="13"/>
  <c r="R406" i="13"/>
  <c r="R407" i="13"/>
  <c r="R408" i="13"/>
  <c r="R409" i="13"/>
  <c r="R410" i="13"/>
  <c r="R411" i="13"/>
  <c r="R412" i="13"/>
  <c r="R413" i="13"/>
  <c r="R414" i="13"/>
  <c r="R415" i="13"/>
  <c r="R416" i="13"/>
  <c r="R417" i="13"/>
  <c r="R418" i="13"/>
  <c r="R419" i="13"/>
  <c r="R420" i="13"/>
  <c r="R421" i="13"/>
  <c r="R422" i="13"/>
  <c r="R423" i="13"/>
  <c r="R424" i="13"/>
  <c r="R425" i="13"/>
  <c r="R426" i="13"/>
  <c r="R427" i="13"/>
  <c r="R428" i="13"/>
  <c r="R429" i="13"/>
  <c r="R430" i="13"/>
  <c r="R431" i="13"/>
  <c r="R432" i="13"/>
  <c r="R433" i="13"/>
  <c r="R434" i="13"/>
  <c r="R435" i="13"/>
  <c r="R436" i="13"/>
  <c r="R437" i="13"/>
  <c r="R438" i="13"/>
  <c r="R439" i="13"/>
  <c r="R440" i="13"/>
  <c r="R441" i="13"/>
  <c r="R442" i="13"/>
  <c r="R443" i="13"/>
  <c r="R444" i="13"/>
  <c r="R445" i="13"/>
  <c r="R446" i="13"/>
  <c r="R447" i="13"/>
  <c r="R448" i="13"/>
  <c r="R449" i="13"/>
  <c r="R450" i="13"/>
  <c r="R451" i="13"/>
  <c r="R452" i="13"/>
  <c r="R453" i="13"/>
  <c r="R454" i="13"/>
  <c r="R455" i="13"/>
  <c r="R456" i="13"/>
  <c r="R457" i="13"/>
  <c r="R458" i="13"/>
  <c r="R459" i="13"/>
  <c r="R460" i="13"/>
  <c r="R461" i="13"/>
  <c r="R462" i="13"/>
  <c r="R463" i="13"/>
  <c r="R464" i="13"/>
  <c r="R465" i="13"/>
  <c r="R466" i="13"/>
  <c r="R467" i="13"/>
  <c r="R468" i="13"/>
  <c r="R469" i="13"/>
  <c r="R470" i="13"/>
  <c r="R471" i="13"/>
  <c r="R472" i="13"/>
  <c r="R473" i="13"/>
  <c r="R474" i="13"/>
  <c r="R475" i="13"/>
  <c r="R476" i="13"/>
  <c r="R477" i="13"/>
  <c r="R478" i="13"/>
  <c r="R479" i="13"/>
  <c r="R480" i="13"/>
  <c r="R481" i="13"/>
  <c r="R482" i="13"/>
  <c r="R483" i="13"/>
  <c r="R484" i="13"/>
  <c r="R485" i="13"/>
  <c r="R486" i="13"/>
  <c r="R487" i="13"/>
  <c r="R488" i="13"/>
  <c r="R489" i="13"/>
  <c r="R490" i="13"/>
  <c r="R491" i="13"/>
  <c r="R492" i="13"/>
  <c r="R493" i="13"/>
  <c r="R494" i="13"/>
  <c r="R495" i="13"/>
  <c r="R496" i="13"/>
  <c r="R497" i="13"/>
  <c r="R498" i="13"/>
  <c r="R499" i="13"/>
  <c r="R500" i="13"/>
  <c r="R501" i="13"/>
  <c r="R502" i="13"/>
  <c r="R503" i="13"/>
  <c r="R504" i="13"/>
  <c r="R505" i="13"/>
  <c r="R506" i="13"/>
  <c r="R507" i="13"/>
  <c r="R508" i="13"/>
  <c r="R509" i="13"/>
  <c r="R510" i="13"/>
  <c r="R511" i="13"/>
  <c r="R512" i="13"/>
  <c r="R513" i="13"/>
  <c r="R514" i="13"/>
  <c r="R515" i="13"/>
  <c r="R516" i="13"/>
  <c r="R517" i="13"/>
  <c r="R518" i="13"/>
  <c r="R519" i="13"/>
  <c r="R520" i="13"/>
  <c r="R521" i="13"/>
  <c r="R522" i="13"/>
  <c r="R523" i="13"/>
  <c r="R524" i="13"/>
  <c r="R525" i="13"/>
  <c r="R526" i="13"/>
  <c r="R527" i="13"/>
  <c r="R528" i="13"/>
  <c r="R529" i="13"/>
  <c r="R530" i="13"/>
  <c r="R531" i="13"/>
  <c r="R532" i="13"/>
  <c r="R533" i="13"/>
  <c r="R534" i="13"/>
  <c r="R535" i="13"/>
  <c r="R536" i="13"/>
  <c r="R537" i="13"/>
  <c r="R538" i="13"/>
  <c r="R539" i="13"/>
  <c r="R540" i="13"/>
  <c r="R541" i="13"/>
  <c r="R542" i="13"/>
  <c r="R543" i="13"/>
  <c r="R544" i="13"/>
  <c r="R545" i="13"/>
  <c r="R546" i="13"/>
  <c r="R547" i="13"/>
  <c r="R548" i="13"/>
  <c r="R549" i="13"/>
  <c r="R550" i="13"/>
  <c r="R551" i="13"/>
  <c r="R552" i="13"/>
  <c r="R553" i="13"/>
  <c r="R554" i="13"/>
  <c r="R555" i="13"/>
  <c r="R556" i="13"/>
  <c r="R557" i="13"/>
  <c r="R558" i="13"/>
  <c r="R559" i="13"/>
  <c r="R560" i="13"/>
  <c r="R561" i="13"/>
  <c r="R562" i="13"/>
  <c r="R563" i="13"/>
  <c r="R564" i="13"/>
  <c r="R565" i="13"/>
  <c r="R566" i="13"/>
  <c r="R567" i="13"/>
  <c r="R568" i="13"/>
  <c r="R569" i="13"/>
  <c r="R570" i="13"/>
  <c r="R571" i="13"/>
  <c r="R572" i="13"/>
  <c r="R573" i="13"/>
  <c r="R574" i="13"/>
  <c r="R575" i="13"/>
  <c r="R576" i="13"/>
  <c r="R577" i="13"/>
  <c r="R578" i="13"/>
  <c r="R579" i="13"/>
  <c r="R580" i="13"/>
  <c r="R581" i="13"/>
  <c r="R582" i="13"/>
  <c r="R583" i="13"/>
  <c r="R584" i="13"/>
  <c r="R585" i="13"/>
  <c r="R586" i="13"/>
  <c r="R587" i="13"/>
  <c r="R588" i="13"/>
  <c r="R589" i="13"/>
  <c r="R590" i="13"/>
  <c r="R591" i="13"/>
  <c r="R592" i="13"/>
  <c r="R593" i="13"/>
  <c r="R594" i="13"/>
  <c r="R595" i="13"/>
  <c r="R596" i="13"/>
  <c r="R597" i="13"/>
  <c r="R598" i="13"/>
  <c r="R599" i="13"/>
  <c r="R600" i="13"/>
  <c r="R601" i="13"/>
  <c r="R602" i="13"/>
  <c r="R603" i="13"/>
  <c r="R604" i="13"/>
  <c r="R605" i="13"/>
  <c r="R606" i="13"/>
  <c r="R607" i="13"/>
  <c r="R608" i="13"/>
  <c r="R609" i="13"/>
  <c r="R610" i="13"/>
  <c r="R611" i="13"/>
  <c r="R612" i="13"/>
  <c r="R613" i="13"/>
  <c r="R614" i="13"/>
  <c r="R615" i="13"/>
  <c r="R616" i="13"/>
  <c r="R617" i="13"/>
  <c r="R618" i="13"/>
  <c r="R619" i="13"/>
  <c r="R620" i="13"/>
  <c r="R621" i="13"/>
  <c r="R622" i="13"/>
  <c r="R623" i="13"/>
  <c r="R624" i="13"/>
  <c r="R625" i="13"/>
  <c r="R626" i="13"/>
  <c r="R627" i="13"/>
  <c r="R628" i="13"/>
  <c r="R629" i="13"/>
  <c r="R630" i="13"/>
  <c r="R631" i="13"/>
  <c r="R632" i="13"/>
  <c r="R633" i="13"/>
  <c r="R634" i="13"/>
  <c r="R635" i="13"/>
  <c r="R636" i="13"/>
  <c r="R637" i="13"/>
  <c r="R638" i="13"/>
  <c r="R639" i="13"/>
  <c r="R640" i="13"/>
  <c r="R641" i="13"/>
  <c r="R642" i="13"/>
  <c r="R643" i="13"/>
  <c r="R644" i="13"/>
  <c r="R645" i="13"/>
  <c r="R646" i="13"/>
  <c r="R647" i="13"/>
  <c r="R648" i="13"/>
  <c r="R649" i="13"/>
  <c r="R650" i="13"/>
  <c r="R651" i="13"/>
  <c r="R652" i="13"/>
  <c r="R653" i="13"/>
  <c r="R654" i="13"/>
  <c r="R655" i="13"/>
  <c r="R656" i="13"/>
  <c r="R657" i="13"/>
  <c r="R658" i="13"/>
  <c r="R659" i="13"/>
  <c r="R660" i="13"/>
  <c r="R661" i="13"/>
  <c r="R662" i="13"/>
  <c r="R663" i="13"/>
  <c r="R664" i="13"/>
  <c r="R665" i="13"/>
  <c r="R666" i="13"/>
  <c r="R667" i="13"/>
  <c r="R668" i="13"/>
  <c r="R669" i="13"/>
  <c r="R670" i="13"/>
  <c r="R671" i="13"/>
  <c r="R672" i="13"/>
  <c r="R673" i="13"/>
  <c r="R674" i="13"/>
  <c r="R675" i="13"/>
  <c r="R676" i="13"/>
  <c r="R677" i="13"/>
  <c r="R678" i="13"/>
  <c r="R679" i="13"/>
  <c r="R680" i="13"/>
  <c r="R681" i="13"/>
  <c r="R682" i="13"/>
  <c r="R683" i="13"/>
  <c r="R684" i="13"/>
  <c r="R685" i="13"/>
  <c r="R686" i="13"/>
  <c r="R687" i="13"/>
  <c r="R688" i="13"/>
  <c r="R689" i="13"/>
  <c r="R690" i="13"/>
  <c r="R691" i="13"/>
  <c r="R692" i="13"/>
  <c r="R693" i="13"/>
  <c r="R694" i="13"/>
  <c r="R695" i="13"/>
  <c r="R696" i="13"/>
  <c r="R697" i="13"/>
  <c r="R698" i="13"/>
  <c r="R699" i="13"/>
  <c r="R700" i="13"/>
  <c r="R701" i="13"/>
  <c r="R702" i="13"/>
  <c r="R703" i="13"/>
  <c r="R704" i="13"/>
  <c r="R705" i="13"/>
  <c r="R706" i="13"/>
  <c r="R707" i="13"/>
  <c r="R708" i="13"/>
  <c r="R709" i="13"/>
  <c r="R710" i="13"/>
  <c r="R711" i="13"/>
  <c r="R712" i="13"/>
  <c r="R713" i="13"/>
  <c r="R714" i="13"/>
  <c r="R715" i="13"/>
  <c r="R716" i="13"/>
  <c r="R717" i="13"/>
  <c r="R718" i="13"/>
  <c r="R719" i="13"/>
  <c r="R720" i="13"/>
  <c r="R721" i="13"/>
  <c r="R722" i="13"/>
  <c r="R723" i="13"/>
  <c r="R724" i="13"/>
  <c r="R725" i="13"/>
  <c r="R726" i="13"/>
  <c r="R727" i="13"/>
  <c r="R728" i="13"/>
  <c r="R729" i="13"/>
  <c r="R730" i="13"/>
  <c r="R731" i="13"/>
  <c r="R732" i="13"/>
  <c r="R733" i="13"/>
  <c r="R734" i="13"/>
  <c r="R735" i="13"/>
  <c r="R736" i="13"/>
  <c r="R737" i="13"/>
  <c r="R738" i="13"/>
  <c r="R739" i="13"/>
  <c r="R740" i="13"/>
  <c r="R741" i="13"/>
  <c r="R742" i="13"/>
  <c r="R743" i="13"/>
  <c r="R744" i="13"/>
  <c r="R745" i="13"/>
  <c r="R746" i="13"/>
  <c r="R747" i="13"/>
  <c r="R748" i="13"/>
  <c r="R749" i="13"/>
  <c r="R750" i="13"/>
  <c r="R751" i="13"/>
  <c r="R752" i="13"/>
  <c r="R753" i="13"/>
  <c r="R754" i="13"/>
  <c r="R755" i="13"/>
  <c r="R756" i="13"/>
  <c r="R757" i="13"/>
  <c r="R758" i="13"/>
  <c r="R759" i="13"/>
  <c r="R760" i="13"/>
  <c r="R761" i="13"/>
  <c r="R762" i="13"/>
  <c r="R763" i="13"/>
  <c r="R764" i="13"/>
  <c r="R765" i="13"/>
  <c r="R766" i="13"/>
  <c r="R767" i="13"/>
  <c r="R768" i="13"/>
  <c r="R769" i="13"/>
  <c r="R770" i="13"/>
  <c r="R771" i="13"/>
  <c r="R772" i="13"/>
  <c r="R773" i="13"/>
  <c r="R774" i="13"/>
  <c r="R775" i="13"/>
  <c r="R776" i="13"/>
  <c r="R777" i="13"/>
  <c r="R778" i="13"/>
  <c r="R779" i="13"/>
  <c r="R780" i="13"/>
  <c r="R781" i="13"/>
  <c r="R782" i="13"/>
  <c r="R783" i="13"/>
  <c r="R784" i="13"/>
  <c r="R785" i="13"/>
  <c r="R786" i="13"/>
  <c r="R787" i="13"/>
  <c r="R788" i="13"/>
  <c r="R789" i="13"/>
  <c r="R790" i="13"/>
  <c r="R791" i="13"/>
  <c r="R792" i="13"/>
  <c r="R793" i="13"/>
  <c r="R794" i="13"/>
  <c r="R795" i="13"/>
  <c r="R796" i="13"/>
  <c r="R797" i="13"/>
  <c r="R798" i="13"/>
  <c r="R799" i="13"/>
  <c r="R800" i="13"/>
  <c r="R801" i="13"/>
  <c r="R802" i="13"/>
  <c r="R803" i="13"/>
  <c r="R804" i="13"/>
  <c r="R805" i="13"/>
  <c r="R806" i="13"/>
  <c r="R807" i="13"/>
  <c r="R808" i="13"/>
  <c r="R809" i="13"/>
  <c r="R810" i="13"/>
  <c r="R811" i="13"/>
  <c r="R812" i="13"/>
  <c r="R813" i="13"/>
  <c r="R814" i="13"/>
  <c r="R815" i="13"/>
  <c r="R816" i="13"/>
  <c r="R817" i="13"/>
  <c r="R818" i="13"/>
  <c r="R819" i="13"/>
  <c r="R820" i="13"/>
  <c r="R821" i="13"/>
  <c r="R822" i="13"/>
  <c r="R823" i="13"/>
  <c r="R824" i="13"/>
  <c r="R825" i="13"/>
  <c r="R826" i="13"/>
  <c r="R827" i="13"/>
  <c r="R828" i="13"/>
  <c r="R829" i="13"/>
  <c r="R830" i="13"/>
  <c r="R831" i="13"/>
  <c r="R832" i="13"/>
  <c r="R833" i="13"/>
  <c r="R834" i="13"/>
  <c r="R835" i="13"/>
  <c r="R836" i="13"/>
  <c r="R837" i="13"/>
  <c r="R838" i="13"/>
  <c r="R839" i="13"/>
  <c r="R840" i="13"/>
  <c r="R841" i="13"/>
  <c r="R842" i="13"/>
  <c r="R843" i="13"/>
  <c r="R844" i="13"/>
  <c r="R845" i="13"/>
  <c r="R846" i="13"/>
  <c r="R847" i="13"/>
  <c r="R848" i="13"/>
  <c r="R849" i="13"/>
  <c r="R850" i="13"/>
  <c r="R851" i="13"/>
  <c r="R852" i="13"/>
  <c r="R853" i="13"/>
  <c r="R854" i="13"/>
  <c r="R855" i="13"/>
  <c r="R856" i="13"/>
  <c r="R857" i="13"/>
  <c r="R858" i="13"/>
  <c r="R859" i="13"/>
  <c r="R860" i="13"/>
  <c r="R861" i="13"/>
  <c r="R862" i="13"/>
  <c r="R863" i="13"/>
  <c r="R864" i="13"/>
  <c r="R865" i="13"/>
  <c r="R866" i="13"/>
  <c r="R867" i="13"/>
  <c r="R868" i="13"/>
  <c r="R869" i="13"/>
  <c r="R870" i="13"/>
  <c r="R871" i="13"/>
  <c r="R872" i="13"/>
  <c r="R873" i="13"/>
  <c r="R874" i="13"/>
  <c r="R875" i="13"/>
  <c r="R876" i="13"/>
  <c r="R877" i="13"/>
  <c r="R878" i="13"/>
  <c r="R879" i="13"/>
  <c r="R880" i="13"/>
  <c r="R881" i="13"/>
  <c r="R882" i="13"/>
  <c r="R883" i="13"/>
  <c r="R884" i="13"/>
  <c r="R885" i="13"/>
  <c r="R886" i="13"/>
  <c r="R887" i="13"/>
  <c r="R888" i="13"/>
  <c r="R889" i="13"/>
  <c r="R890" i="13"/>
  <c r="R891" i="13"/>
  <c r="R892" i="13"/>
  <c r="R893" i="13"/>
  <c r="R894" i="13"/>
  <c r="R895" i="13"/>
  <c r="R896" i="13"/>
  <c r="R897" i="13"/>
  <c r="R898" i="13"/>
  <c r="R899" i="13"/>
  <c r="R900" i="13"/>
  <c r="R901" i="13"/>
  <c r="R902" i="13"/>
  <c r="R903" i="13"/>
  <c r="R904" i="13"/>
  <c r="R905" i="13"/>
  <c r="R906" i="13"/>
  <c r="R907" i="13"/>
  <c r="R908" i="13"/>
  <c r="R909" i="13"/>
  <c r="R910" i="13"/>
  <c r="R911" i="13"/>
  <c r="R912" i="13"/>
  <c r="R913" i="13"/>
  <c r="R914" i="13"/>
  <c r="R915" i="13"/>
  <c r="R916" i="13"/>
  <c r="R917" i="13"/>
  <c r="R918" i="13"/>
  <c r="R919" i="13"/>
  <c r="R920" i="13"/>
  <c r="R921" i="13"/>
  <c r="R922" i="13"/>
  <c r="R923" i="13"/>
  <c r="R924" i="13"/>
  <c r="R925" i="13"/>
  <c r="R926" i="13"/>
  <c r="R927" i="13"/>
  <c r="R928" i="13"/>
  <c r="R929" i="13"/>
  <c r="R930" i="13"/>
  <c r="R931" i="13"/>
  <c r="R932" i="13"/>
  <c r="R933" i="13"/>
  <c r="R934" i="13"/>
  <c r="R935" i="13"/>
  <c r="R936" i="13"/>
  <c r="R937" i="13"/>
  <c r="R938" i="13"/>
  <c r="R939" i="13"/>
  <c r="R940" i="13"/>
  <c r="R941" i="13"/>
  <c r="R942" i="13"/>
  <c r="R943" i="13"/>
  <c r="R944" i="13"/>
  <c r="R945" i="13"/>
  <c r="R946" i="13"/>
  <c r="R947" i="13"/>
  <c r="R948" i="13"/>
  <c r="R949" i="13"/>
  <c r="R950" i="13"/>
  <c r="R951" i="13"/>
  <c r="R952" i="13"/>
  <c r="R953" i="13"/>
  <c r="R954" i="13"/>
  <c r="R955" i="13"/>
  <c r="R956" i="13"/>
  <c r="R957" i="13"/>
  <c r="R958" i="13"/>
  <c r="R959" i="13"/>
  <c r="R960" i="13"/>
  <c r="R961" i="13"/>
  <c r="R962" i="13"/>
  <c r="R963" i="13"/>
  <c r="R964" i="13"/>
  <c r="R965" i="13"/>
  <c r="R966" i="13"/>
  <c r="R967" i="13"/>
  <c r="R968" i="13"/>
  <c r="R969" i="13"/>
  <c r="R970" i="13"/>
  <c r="R971" i="13"/>
  <c r="R972" i="13"/>
  <c r="R973" i="13"/>
  <c r="R974" i="13"/>
  <c r="R975" i="13"/>
  <c r="R976" i="13"/>
  <c r="R977" i="13"/>
  <c r="R978" i="13"/>
  <c r="R979" i="13"/>
  <c r="R980" i="13"/>
  <c r="R981" i="13"/>
  <c r="R982" i="13"/>
  <c r="R983" i="13"/>
  <c r="R984" i="13"/>
  <c r="R985" i="13"/>
  <c r="R986" i="13"/>
  <c r="R987" i="13"/>
  <c r="R988" i="13"/>
  <c r="R989" i="13"/>
  <c r="R990" i="13"/>
  <c r="R991" i="13"/>
  <c r="R992" i="13"/>
  <c r="R993" i="13"/>
  <c r="R994" i="13"/>
  <c r="R995" i="13"/>
  <c r="R996" i="13"/>
  <c r="R997" i="13"/>
  <c r="R998" i="13"/>
  <c r="R999" i="13"/>
  <c r="R1000" i="13"/>
  <c r="R1001" i="13"/>
  <c r="S2" i="13"/>
  <c r="S3" i="13"/>
  <c r="S4" i="13"/>
  <c r="S5" i="13"/>
  <c r="S6" i="13"/>
  <c r="S7" i="13"/>
  <c r="S8" i="13"/>
  <c r="S9" i="13"/>
  <c r="S10" i="13"/>
  <c r="S11" i="13"/>
  <c r="S12" i="13"/>
  <c r="S13" i="13"/>
  <c r="S14" i="13"/>
  <c r="S15" i="13"/>
  <c r="S16" i="13"/>
  <c r="S17" i="13"/>
  <c r="S18" i="13"/>
  <c r="S19" i="13"/>
  <c r="S20" i="13"/>
  <c r="S21" i="13"/>
  <c r="S22" i="13"/>
  <c r="S23" i="13"/>
  <c r="S24" i="13"/>
  <c r="S25" i="13"/>
  <c r="S26" i="13"/>
  <c r="S27" i="13"/>
  <c r="S28" i="13"/>
  <c r="S29" i="13"/>
  <c r="S30" i="13"/>
  <c r="S31" i="13"/>
  <c r="S32" i="13"/>
  <c r="S33" i="13"/>
  <c r="S34" i="13"/>
  <c r="S35" i="13"/>
  <c r="S36" i="13"/>
  <c r="S37" i="13"/>
  <c r="S38" i="13"/>
  <c r="S39" i="13"/>
  <c r="S40" i="13"/>
  <c r="S41" i="13"/>
  <c r="S42" i="13"/>
  <c r="S43" i="13"/>
  <c r="S44" i="13"/>
  <c r="S45" i="13"/>
  <c r="S46" i="13"/>
  <c r="S47" i="13"/>
  <c r="S48" i="13"/>
  <c r="S49" i="13"/>
  <c r="S50" i="13"/>
  <c r="S51" i="13"/>
  <c r="S52" i="13"/>
  <c r="S53" i="13"/>
  <c r="S54" i="13"/>
  <c r="S55" i="13"/>
  <c r="S56" i="13"/>
  <c r="S57" i="13"/>
  <c r="S58" i="13"/>
  <c r="S59" i="13"/>
  <c r="S60" i="13"/>
  <c r="S61" i="13"/>
  <c r="S62" i="13"/>
  <c r="S63" i="13"/>
  <c r="S64" i="13"/>
  <c r="S65" i="13"/>
  <c r="S66" i="13"/>
  <c r="S67" i="13"/>
  <c r="S68" i="13"/>
  <c r="S69" i="13"/>
  <c r="S70" i="13"/>
  <c r="S71" i="13"/>
  <c r="S72" i="13"/>
  <c r="S73" i="13"/>
  <c r="S74" i="13"/>
  <c r="S75" i="13"/>
  <c r="S76" i="13"/>
  <c r="S77" i="13"/>
  <c r="S78" i="13"/>
  <c r="S79" i="13"/>
  <c r="S80" i="13"/>
  <c r="S81" i="13"/>
  <c r="S82" i="13"/>
  <c r="S83" i="13"/>
  <c r="S84" i="13"/>
  <c r="S85" i="13"/>
  <c r="S86" i="13"/>
  <c r="S87" i="13"/>
  <c r="S88" i="13"/>
  <c r="S89" i="13"/>
  <c r="S90" i="13"/>
  <c r="S91" i="13"/>
  <c r="S92" i="13"/>
  <c r="S93" i="13"/>
  <c r="S94" i="13"/>
  <c r="S95" i="13"/>
  <c r="S96" i="13"/>
  <c r="S97" i="13"/>
  <c r="S98" i="13"/>
  <c r="S99" i="13"/>
  <c r="S100" i="13"/>
  <c r="S101" i="13"/>
  <c r="S102" i="13"/>
  <c r="S103" i="13"/>
  <c r="S104" i="13"/>
  <c r="S105" i="13"/>
  <c r="S106" i="13"/>
  <c r="S107" i="13"/>
  <c r="S108" i="13"/>
  <c r="S109" i="13"/>
  <c r="S110" i="13"/>
  <c r="S111" i="13"/>
  <c r="S112" i="13"/>
  <c r="S113" i="13"/>
  <c r="S114" i="13"/>
  <c r="S115" i="13"/>
  <c r="S116" i="13"/>
  <c r="S117" i="13"/>
  <c r="S118" i="13"/>
  <c r="S119" i="13"/>
  <c r="S120" i="13"/>
  <c r="S121" i="13"/>
  <c r="S122" i="13"/>
  <c r="S123" i="13"/>
  <c r="S124" i="13"/>
  <c r="S125" i="13"/>
  <c r="S126" i="13"/>
  <c r="S127" i="13"/>
  <c r="S128" i="13"/>
  <c r="S129" i="13"/>
  <c r="S130" i="13"/>
  <c r="S131" i="13"/>
  <c r="S132" i="13"/>
  <c r="S133" i="13"/>
  <c r="S134" i="13"/>
  <c r="S135" i="13"/>
  <c r="S136" i="13"/>
  <c r="S137" i="13"/>
  <c r="S138" i="13"/>
  <c r="S139" i="13"/>
  <c r="S140" i="13"/>
  <c r="S141" i="13"/>
  <c r="S142" i="13"/>
  <c r="S143" i="13"/>
  <c r="S144" i="13"/>
  <c r="S145" i="13"/>
  <c r="S146" i="13"/>
  <c r="S147" i="13"/>
  <c r="S148" i="13"/>
  <c r="S149" i="13"/>
  <c r="S150" i="13"/>
  <c r="S151" i="13"/>
  <c r="S152" i="13"/>
  <c r="S153" i="13"/>
  <c r="S154" i="13"/>
  <c r="S155" i="13"/>
  <c r="S156" i="13"/>
  <c r="S157" i="13"/>
  <c r="S158" i="13"/>
  <c r="S159" i="13"/>
  <c r="S160" i="13"/>
  <c r="S161" i="13"/>
  <c r="S162" i="13"/>
  <c r="S163" i="13"/>
  <c r="S164" i="13"/>
  <c r="S165" i="13"/>
  <c r="S166" i="13"/>
  <c r="S167" i="13"/>
  <c r="S168" i="13"/>
  <c r="S169" i="13"/>
  <c r="S170" i="13"/>
  <c r="S171" i="13"/>
  <c r="S172" i="13"/>
  <c r="S173" i="13"/>
  <c r="S174" i="13"/>
  <c r="S175" i="13"/>
  <c r="S176" i="13"/>
  <c r="S177" i="13"/>
  <c r="S178" i="13"/>
  <c r="S179" i="13"/>
  <c r="S180" i="13"/>
  <c r="S181" i="13"/>
  <c r="S182" i="13"/>
  <c r="S183" i="13"/>
  <c r="S184" i="13"/>
  <c r="S185" i="13"/>
  <c r="S186" i="13"/>
  <c r="S187" i="13"/>
  <c r="S188" i="13"/>
  <c r="S189" i="13"/>
  <c r="S190" i="13"/>
  <c r="S191" i="13"/>
  <c r="S192" i="13"/>
  <c r="S193" i="13"/>
  <c r="S194" i="13"/>
  <c r="S195" i="13"/>
  <c r="S196" i="13"/>
  <c r="S197" i="13"/>
  <c r="S198" i="13"/>
  <c r="S199" i="13"/>
  <c r="S200" i="13"/>
  <c r="S201" i="13"/>
  <c r="S202" i="13"/>
  <c r="S203" i="13"/>
  <c r="S204" i="13"/>
  <c r="S205" i="13"/>
  <c r="S206" i="13"/>
  <c r="S207" i="13"/>
  <c r="S208" i="13"/>
  <c r="S209" i="13"/>
  <c r="S210" i="13"/>
  <c r="S211" i="13"/>
  <c r="S212" i="13"/>
  <c r="S213" i="13"/>
  <c r="S214" i="13"/>
  <c r="S215" i="13"/>
  <c r="S216" i="13"/>
  <c r="S217" i="13"/>
  <c r="S218" i="13"/>
  <c r="S219" i="13"/>
  <c r="S220" i="13"/>
  <c r="S221" i="13"/>
  <c r="S222" i="13"/>
  <c r="S223" i="13"/>
  <c r="S224" i="13"/>
  <c r="S225" i="13"/>
  <c r="S226" i="13"/>
  <c r="S227" i="13"/>
  <c r="S228" i="13"/>
  <c r="S229" i="13"/>
  <c r="S230" i="13"/>
  <c r="S231" i="13"/>
  <c r="S232" i="13"/>
  <c r="S233" i="13"/>
  <c r="S234" i="13"/>
  <c r="S235" i="13"/>
  <c r="S236" i="13"/>
  <c r="S237" i="13"/>
  <c r="S238" i="13"/>
  <c r="S239" i="13"/>
  <c r="S240" i="13"/>
  <c r="S241" i="13"/>
  <c r="S242" i="13"/>
  <c r="S243" i="13"/>
  <c r="S244" i="13"/>
  <c r="S245" i="13"/>
  <c r="S246" i="13"/>
  <c r="S247" i="13"/>
  <c r="S248" i="13"/>
  <c r="S249" i="13"/>
  <c r="S250" i="13"/>
  <c r="S251" i="13"/>
  <c r="S252" i="13"/>
  <c r="S253" i="13"/>
  <c r="S254" i="13"/>
  <c r="S255" i="13"/>
  <c r="S256" i="13"/>
  <c r="S257" i="13"/>
  <c r="S258" i="13"/>
  <c r="S259" i="13"/>
  <c r="S260" i="13"/>
  <c r="S261" i="13"/>
  <c r="S262" i="13"/>
  <c r="S263" i="13"/>
  <c r="S264" i="13"/>
  <c r="S265" i="13"/>
  <c r="S266" i="13"/>
  <c r="S267" i="13"/>
  <c r="S268" i="13"/>
  <c r="S269" i="13"/>
  <c r="S270" i="13"/>
  <c r="S271" i="13"/>
  <c r="S272" i="13"/>
  <c r="S273" i="13"/>
  <c r="S274" i="13"/>
  <c r="S275" i="13"/>
  <c r="S276" i="13"/>
  <c r="S277" i="13"/>
  <c r="S278" i="13"/>
  <c r="S279" i="13"/>
  <c r="S280" i="13"/>
  <c r="S281" i="13"/>
  <c r="S282" i="13"/>
  <c r="S283" i="13"/>
  <c r="S284" i="13"/>
  <c r="S285" i="13"/>
  <c r="S286" i="13"/>
  <c r="S287" i="13"/>
  <c r="S288" i="13"/>
  <c r="S289" i="13"/>
  <c r="S290" i="13"/>
  <c r="S291" i="13"/>
  <c r="S292" i="13"/>
  <c r="S293" i="13"/>
  <c r="S294" i="13"/>
  <c r="S295" i="13"/>
  <c r="S296" i="13"/>
  <c r="S297" i="13"/>
  <c r="S298" i="13"/>
  <c r="S299" i="13"/>
  <c r="S300" i="13"/>
  <c r="S301" i="13"/>
  <c r="S302" i="13"/>
  <c r="S303" i="13"/>
  <c r="S304" i="13"/>
  <c r="S305" i="13"/>
  <c r="S306" i="13"/>
  <c r="S307" i="13"/>
  <c r="S308" i="13"/>
  <c r="S309" i="13"/>
  <c r="S310" i="13"/>
  <c r="S311" i="13"/>
  <c r="S312" i="13"/>
  <c r="S313" i="13"/>
  <c r="S314" i="13"/>
  <c r="S315" i="13"/>
  <c r="S316" i="13"/>
  <c r="S317" i="13"/>
  <c r="S318" i="13"/>
  <c r="S319" i="13"/>
  <c r="S320" i="13"/>
  <c r="S321" i="13"/>
  <c r="S322" i="13"/>
  <c r="S323" i="13"/>
  <c r="S324" i="13"/>
  <c r="S325" i="13"/>
  <c r="S326" i="13"/>
  <c r="S327" i="13"/>
  <c r="S328" i="13"/>
  <c r="S329" i="13"/>
  <c r="S330" i="13"/>
  <c r="S331" i="13"/>
  <c r="S332" i="13"/>
  <c r="S333" i="13"/>
  <c r="S334" i="13"/>
  <c r="S335" i="13"/>
  <c r="S336" i="13"/>
  <c r="S337" i="13"/>
  <c r="S338" i="13"/>
  <c r="S339" i="13"/>
  <c r="S340" i="13"/>
  <c r="S341" i="13"/>
  <c r="S342" i="13"/>
  <c r="S343" i="13"/>
  <c r="S344" i="13"/>
  <c r="S345" i="13"/>
  <c r="S346" i="13"/>
  <c r="S347" i="13"/>
  <c r="S348" i="13"/>
  <c r="S349" i="13"/>
  <c r="S350" i="13"/>
  <c r="S351" i="13"/>
  <c r="S352" i="13"/>
  <c r="S353" i="13"/>
  <c r="S354" i="13"/>
  <c r="S355" i="13"/>
  <c r="S356" i="13"/>
  <c r="S357" i="13"/>
  <c r="S358" i="13"/>
  <c r="S359" i="13"/>
  <c r="S360" i="13"/>
  <c r="S361" i="13"/>
  <c r="S362" i="13"/>
  <c r="S363" i="13"/>
  <c r="S364" i="13"/>
  <c r="S365" i="13"/>
  <c r="S366" i="13"/>
  <c r="S367" i="13"/>
  <c r="S368" i="13"/>
  <c r="S369" i="13"/>
  <c r="S370" i="13"/>
  <c r="S371" i="13"/>
  <c r="S372" i="13"/>
  <c r="S373" i="13"/>
  <c r="S374" i="13"/>
  <c r="S375" i="13"/>
  <c r="S376" i="13"/>
  <c r="S377" i="13"/>
  <c r="S378" i="13"/>
  <c r="S379" i="13"/>
  <c r="S380" i="13"/>
  <c r="S381" i="13"/>
  <c r="S382" i="13"/>
  <c r="S383" i="13"/>
  <c r="S384" i="13"/>
  <c r="S385" i="13"/>
  <c r="S386" i="13"/>
  <c r="S387" i="13"/>
  <c r="S388" i="13"/>
  <c r="S389" i="13"/>
  <c r="S390" i="13"/>
  <c r="S391" i="13"/>
  <c r="S392" i="13"/>
  <c r="S393" i="13"/>
  <c r="S394" i="13"/>
  <c r="S395" i="13"/>
  <c r="S396" i="13"/>
  <c r="S397" i="13"/>
  <c r="S398" i="13"/>
  <c r="S399" i="13"/>
  <c r="S400" i="13"/>
  <c r="S401" i="13"/>
  <c r="S402" i="13"/>
  <c r="S403" i="13"/>
  <c r="S404" i="13"/>
  <c r="S405" i="13"/>
  <c r="S406" i="13"/>
  <c r="S407" i="13"/>
  <c r="S408" i="13"/>
  <c r="S409" i="13"/>
  <c r="S410" i="13"/>
  <c r="S411" i="13"/>
  <c r="S412" i="13"/>
  <c r="S413" i="13"/>
  <c r="S414" i="13"/>
  <c r="S415" i="13"/>
  <c r="S416" i="13"/>
  <c r="S417" i="13"/>
  <c r="S418" i="13"/>
  <c r="S419" i="13"/>
  <c r="S420" i="13"/>
  <c r="S421" i="13"/>
  <c r="S422" i="13"/>
  <c r="S423" i="13"/>
  <c r="S424" i="13"/>
  <c r="S425" i="13"/>
  <c r="S426" i="13"/>
  <c r="S427" i="13"/>
  <c r="S428" i="13"/>
  <c r="S429" i="13"/>
  <c r="S430" i="13"/>
  <c r="S431" i="13"/>
  <c r="S432" i="13"/>
  <c r="S433" i="13"/>
  <c r="S434" i="13"/>
  <c r="S435" i="13"/>
  <c r="S436" i="13"/>
  <c r="S437" i="13"/>
  <c r="S438" i="13"/>
  <c r="S439" i="13"/>
  <c r="S440" i="13"/>
  <c r="S441" i="13"/>
  <c r="S442" i="13"/>
  <c r="S443" i="13"/>
  <c r="S444" i="13"/>
  <c r="S445" i="13"/>
  <c r="S446" i="13"/>
  <c r="S447" i="13"/>
  <c r="S448" i="13"/>
  <c r="S449" i="13"/>
  <c r="S450" i="13"/>
  <c r="S451" i="13"/>
  <c r="S452" i="13"/>
  <c r="S453" i="13"/>
  <c r="S454" i="13"/>
  <c r="S455" i="13"/>
  <c r="S456" i="13"/>
  <c r="S457" i="13"/>
  <c r="S458" i="13"/>
  <c r="S459" i="13"/>
  <c r="S460" i="13"/>
  <c r="S461" i="13"/>
  <c r="S462" i="13"/>
  <c r="S463" i="13"/>
  <c r="S464" i="13"/>
  <c r="S465" i="13"/>
  <c r="S466" i="13"/>
  <c r="S467" i="13"/>
  <c r="S468" i="13"/>
  <c r="S469" i="13"/>
  <c r="S470" i="13"/>
  <c r="S471" i="13"/>
  <c r="S472" i="13"/>
  <c r="S473" i="13"/>
  <c r="S474" i="13"/>
  <c r="S475" i="13"/>
  <c r="S476" i="13"/>
  <c r="S477" i="13"/>
  <c r="S478" i="13"/>
  <c r="S479" i="13"/>
  <c r="S480" i="13"/>
  <c r="S481" i="13"/>
  <c r="S482" i="13"/>
  <c r="S483" i="13"/>
  <c r="S484" i="13"/>
  <c r="S485" i="13"/>
  <c r="S486" i="13"/>
  <c r="S487" i="13"/>
  <c r="S488" i="13"/>
  <c r="S489" i="13"/>
  <c r="S490" i="13"/>
  <c r="S491" i="13"/>
  <c r="S492" i="13"/>
  <c r="S493" i="13"/>
  <c r="S494" i="13"/>
  <c r="S495" i="13"/>
  <c r="S496" i="13"/>
  <c r="S497" i="13"/>
  <c r="S498" i="13"/>
  <c r="S499" i="13"/>
  <c r="S500" i="13"/>
  <c r="S501" i="13"/>
  <c r="S502" i="13"/>
  <c r="S503" i="13"/>
  <c r="S504" i="13"/>
  <c r="S505" i="13"/>
  <c r="S506" i="13"/>
  <c r="S507" i="13"/>
  <c r="S508" i="13"/>
  <c r="S509" i="13"/>
  <c r="S510" i="13"/>
  <c r="S511" i="13"/>
  <c r="S512" i="13"/>
  <c r="S513" i="13"/>
  <c r="S514" i="13"/>
  <c r="S515" i="13"/>
  <c r="S516" i="13"/>
  <c r="S517" i="13"/>
  <c r="S518" i="13"/>
  <c r="S519" i="13"/>
  <c r="S520" i="13"/>
  <c r="S521" i="13"/>
  <c r="S522" i="13"/>
  <c r="S523" i="13"/>
  <c r="S524" i="13"/>
  <c r="S525" i="13"/>
  <c r="S526" i="13"/>
  <c r="S527" i="13"/>
  <c r="S528" i="13"/>
  <c r="S529" i="13"/>
  <c r="S530" i="13"/>
  <c r="S531" i="13"/>
  <c r="S532" i="13"/>
  <c r="S533" i="13"/>
  <c r="S534" i="13"/>
  <c r="S535" i="13"/>
  <c r="S536" i="13"/>
  <c r="S537" i="13"/>
  <c r="S538" i="13"/>
  <c r="S539" i="13"/>
  <c r="S540" i="13"/>
  <c r="S541" i="13"/>
  <c r="S542" i="13"/>
  <c r="S543" i="13"/>
  <c r="S544" i="13"/>
  <c r="S545" i="13"/>
  <c r="S546" i="13"/>
  <c r="S547" i="13"/>
  <c r="S548" i="13"/>
  <c r="S549" i="13"/>
  <c r="S550" i="13"/>
  <c r="S551" i="13"/>
  <c r="S552" i="13"/>
  <c r="S553" i="13"/>
  <c r="S554" i="13"/>
  <c r="S555" i="13"/>
  <c r="S556" i="13"/>
  <c r="S557" i="13"/>
  <c r="S558" i="13"/>
  <c r="S559" i="13"/>
  <c r="S560" i="13"/>
  <c r="S561" i="13"/>
  <c r="S562" i="13"/>
  <c r="S563" i="13"/>
  <c r="S564" i="13"/>
  <c r="S565" i="13"/>
  <c r="S566" i="13"/>
  <c r="S567" i="13"/>
  <c r="S568" i="13"/>
  <c r="S569" i="13"/>
  <c r="S570" i="13"/>
  <c r="S571" i="13"/>
  <c r="S572" i="13"/>
  <c r="S573" i="13"/>
  <c r="S574" i="13"/>
  <c r="S575" i="13"/>
  <c r="S576" i="13"/>
  <c r="S577" i="13"/>
  <c r="S578" i="13"/>
  <c r="S579" i="13"/>
  <c r="S580" i="13"/>
  <c r="S581" i="13"/>
  <c r="S582" i="13"/>
  <c r="S583" i="13"/>
  <c r="S584" i="13"/>
  <c r="S585" i="13"/>
  <c r="S586" i="13"/>
  <c r="S587" i="13"/>
  <c r="S588" i="13"/>
  <c r="S589" i="13"/>
  <c r="S590" i="13"/>
  <c r="S591" i="13"/>
  <c r="S592" i="13"/>
  <c r="S593" i="13"/>
  <c r="S594" i="13"/>
  <c r="S595" i="13"/>
  <c r="S596" i="13"/>
  <c r="S597" i="13"/>
  <c r="S598" i="13"/>
  <c r="S599" i="13"/>
  <c r="S600" i="13"/>
  <c r="S601" i="13"/>
  <c r="S602" i="13"/>
  <c r="S603" i="13"/>
  <c r="S604" i="13"/>
  <c r="S605" i="13"/>
  <c r="S606" i="13"/>
  <c r="S607" i="13"/>
  <c r="S608" i="13"/>
  <c r="S609" i="13"/>
  <c r="S610" i="13"/>
  <c r="S611" i="13"/>
  <c r="S612" i="13"/>
  <c r="S613" i="13"/>
  <c r="S614" i="13"/>
  <c r="S615" i="13"/>
  <c r="S616" i="13"/>
  <c r="S617" i="13"/>
  <c r="S618" i="13"/>
  <c r="S619" i="13"/>
  <c r="S620" i="13"/>
  <c r="S621" i="13"/>
  <c r="S622" i="13"/>
  <c r="S623" i="13"/>
  <c r="S624" i="13"/>
  <c r="S625" i="13"/>
  <c r="S626" i="13"/>
  <c r="S627" i="13"/>
  <c r="S628" i="13"/>
  <c r="S629" i="13"/>
  <c r="S630" i="13"/>
  <c r="S631" i="13"/>
  <c r="S632" i="13"/>
  <c r="S633" i="13"/>
  <c r="S634" i="13"/>
  <c r="S635" i="13"/>
  <c r="S636" i="13"/>
  <c r="S637" i="13"/>
  <c r="S638" i="13"/>
  <c r="S639" i="13"/>
  <c r="S640" i="13"/>
  <c r="S641" i="13"/>
  <c r="S642" i="13"/>
  <c r="S643" i="13"/>
  <c r="S644" i="13"/>
  <c r="S645" i="13"/>
  <c r="S646" i="13"/>
  <c r="S647" i="13"/>
  <c r="S648" i="13"/>
  <c r="S649" i="13"/>
  <c r="S650" i="13"/>
  <c r="S651" i="13"/>
  <c r="S652" i="13"/>
  <c r="S653" i="13"/>
  <c r="S654" i="13"/>
  <c r="S655" i="13"/>
  <c r="S656" i="13"/>
  <c r="S657" i="13"/>
  <c r="S658" i="13"/>
  <c r="S659" i="13"/>
  <c r="S660" i="13"/>
  <c r="S661" i="13"/>
  <c r="S662" i="13"/>
  <c r="S663" i="13"/>
  <c r="S664" i="13"/>
  <c r="S665" i="13"/>
  <c r="S666" i="13"/>
  <c r="S667" i="13"/>
  <c r="S668" i="13"/>
  <c r="S669" i="13"/>
  <c r="S670" i="13"/>
  <c r="S671" i="13"/>
  <c r="S672" i="13"/>
  <c r="S673" i="13"/>
  <c r="S674" i="13"/>
  <c r="S675" i="13"/>
  <c r="S676" i="13"/>
  <c r="S677" i="13"/>
  <c r="S678" i="13"/>
  <c r="S679" i="13"/>
  <c r="S680" i="13"/>
  <c r="S681" i="13"/>
  <c r="S682" i="13"/>
  <c r="S683" i="13"/>
  <c r="S684" i="13"/>
  <c r="S685" i="13"/>
  <c r="S686" i="13"/>
  <c r="S687" i="13"/>
  <c r="S688" i="13"/>
  <c r="S689" i="13"/>
  <c r="S690" i="13"/>
  <c r="S691" i="13"/>
  <c r="S692" i="13"/>
  <c r="S693" i="13"/>
  <c r="S694" i="13"/>
  <c r="S695" i="13"/>
  <c r="S696" i="13"/>
  <c r="S697" i="13"/>
  <c r="S698" i="13"/>
  <c r="S699" i="13"/>
  <c r="S700" i="13"/>
  <c r="S701" i="13"/>
  <c r="S702" i="13"/>
  <c r="S703" i="13"/>
  <c r="S704" i="13"/>
  <c r="S705" i="13"/>
  <c r="S706" i="13"/>
  <c r="S707" i="13"/>
  <c r="S708" i="13"/>
  <c r="S709" i="13"/>
  <c r="S710" i="13"/>
  <c r="S711" i="13"/>
  <c r="S712" i="13"/>
  <c r="S713" i="13"/>
  <c r="S714" i="13"/>
  <c r="S715" i="13"/>
  <c r="S716" i="13"/>
  <c r="S717" i="13"/>
  <c r="S718" i="13"/>
  <c r="S719" i="13"/>
  <c r="S720" i="13"/>
  <c r="S721" i="13"/>
  <c r="S722" i="13"/>
  <c r="S723" i="13"/>
  <c r="S724" i="13"/>
  <c r="S725" i="13"/>
  <c r="S726" i="13"/>
  <c r="S727" i="13"/>
  <c r="S728" i="13"/>
  <c r="S729" i="13"/>
  <c r="S730" i="13"/>
  <c r="S731" i="13"/>
  <c r="S732" i="13"/>
  <c r="S733" i="13"/>
  <c r="S734" i="13"/>
  <c r="S735" i="13"/>
  <c r="S736" i="13"/>
  <c r="S737" i="13"/>
  <c r="S738" i="13"/>
  <c r="S739" i="13"/>
  <c r="S740" i="13"/>
  <c r="S741" i="13"/>
  <c r="S742" i="13"/>
  <c r="S743" i="13"/>
  <c r="S744" i="13"/>
  <c r="S745" i="13"/>
  <c r="S746" i="13"/>
  <c r="S747" i="13"/>
  <c r="S748" i="13"/>
  <c r="S749" i="13"/>
  <c r="S750" i="13"/>
  <c r="S751" i="13"/>
  <c r="S752" i="13"/>
  <c r="S753" i="13"/>
  <c r="S754" i="13"/>
  <c r="S755" i="13"/>
  <c r="S756" i="13"/>
  <c r="S757" i="13"/>
  <c r="S758" i="13"/>
  <c r="S759" i="13"/>
  <c r="S760" i="13"/>
  <c r="S761" i="13"/>
  <c r="S762" i="13"/>
  <c r="S763" i="13"/>
  <c r="S764" i="13"/>
  <c r="S765" i="13"/>
  <c r="S766" i="13"/>
  <c r="S767" i="13"/>
  <c r="S768" i="13"/>
  <c r="S769" i="13"/>
  <c r="S770" i="13"/>
  <c r="S771" i="13"/>
  <c r="S772" i="13"/>
  <c r="S773" i="13"/>
  <c r="S774" i="13"/>
  <c r="S775" i="13"/>
  <c r="S776" i="13"/>
  <c r="S777" i="13"/>
  <c r="S778" i="13"/>
  <c r="S779" i="13"/>
  <c r="S780" i="13"/>
  <c r="S781" i="13"/>
  <c r="S782" i="13"/>
  <c r="S783" i="13"/>
  <c r="S784" i="13"/>
  <c r="S785" i="13"/>
  <c r="S786" i="13"/>
  <c r="S787" i="13"/>
  <c r="S788" i="13"/>
  <c r="S789" i="13"/>
  <c r="S790" i="13"/>
  <c r="S791" i="13"/>
  <c r="S792" i="13"/>
  <c r="S793" i="13"/>
  <c r="S794" i="13"/>
  <c r="S795" i="13"/>
  <c r="S796" i="13"/>
  <c r="S797" i="13"/>
  <c r="S798" i="13"/>
  <c r="S799" i="13"/>
  <c r="S800" i="13"/>
  <c r="S801" i="13"/>
  <c r="S802" i="13"/>
  <c r="S803" i="13"/>
  <c r="S804" i="13"/>
  <c r="S805" i="13"/>
  <c r="S806" i="13"/>
  <c r="S807" i="13"/>
  <c r="S808" i="13"/>
  <c r="S809" i="13"/>
  <c r="S810" i="13"/>
  <c r="S811" i="13"/>
  <c r="S812" i="13"/>
  <c r="S813" i="13"/>
  <c r="S814" i="13"/>
  <c r="S815" i="13"/>
  <c r="S816" i="13"/>
  <c r="S817" i="13"/>
  <c r="S818" i="13"/>
  <c r="S819" i="13"/>
  <c r="S820" i="13"/>
  <c r="S821" i="13"/>
  <c r="S822" i="13"/>
  <c r="S823" i="13"/>
  <c r="S824" i="13"/>
  <c r="S825" i="13"/>
  <c r="S826" i="13"/>
  <c r="S827" i="13"/>
  <c r="S828" i="13"/>
  <c r="S829" i="13"/>
  <c r="S830" i="13"/>
  <c r="S831" i="13"/>
  <c r="S832" i="13"/>
  <c r="S833" i="13"/>
  <c r="S834" i="13"/>
  <c r="S835" i="13"/>
  <c r="S836" i="13"/>
  <c r="S837" i="13"/>
  <c r="S838" i="13"/>
  <c r="S839" i="13"/>
  <c r="S840" i="13"/>
  <c r="S841" i="13"/>
  <c r="S842" i="13"/>
  <c r="S843" i="13"/>
  <c r="S844" i="13"/>
  <c r="S845" i="13"/>
  <c r="S846" i="13"/>
  <c r="S847" i="13"/>
  <c r="S848" i="13"/>
  <c r="S849" i="13"/>
  <c r="S850" i="13"/>
  <c r="S851" i="13"/>
  <c r="S852" i="13"/>
  <c r="S853" i="13"/>
  <c r="S854" i="13"/>
  <c r="S855" i="13"/>
  <c r="S856" i="13"/>
  <c r="S857" i="13"/>
  <c r="S858" i="13"/>
  <c r="S859" i="13"/>
  <c r="S860" i="13"/>
  <c r="S861" i="13"/>
  <c r="S862" i="13"/>
  <c r="S863" i="13"/>
  <c r="S864" i="13"/>
  <c r="S865" i="13"/>
  <c r="S866" i="13"/>
  <c r="S867" i="13"/>
  <c r="S868" i="13"/>
  <c r="S869" i="13"/>
  <c r="S870" i="13"/>
  <c r="S871" i="13"/>
  <c r="S872" i="13"/>
  <c r="S873" i="13"/>
  <c r="S874" i="13"/>
  <c r="S875" i="13"/>
  <c r="S876" i="13"/>
  <c r="S877" i="13"/>
  <c r="S878" i="13"/>
  <c r="S879" i="13"/>
  <c r="S880" i="13"/>
  <c r="S881" i="13"/>
  <c r="S882" i="13"/>
  <c r="S883" i="13"/>
  <c r="S884" i="13"/>
  <c r="S885" i="13"/>
  <c r="S886" i="13"/>
  <c r="S887" i="13"/>
  <c r="S888" i="13"/>
  <c r="S889" i="13"/>
  <c r="S890" i="13"/>
  <c r="S891" i="13"/>
  <c r="S892" i="13"/>
  <c r="S893" i="13"/>
  <c r="S894" i="13"/>
  <c r="S895" i="13"/>
  <c r="S896" i="13"/>
  <c r="S897" i="13"/>
  <c r="S898" i="13"/>
  <c r="S899" i="13"/>
  <c r="S900" i="13"/>
  <c r="S901" i="13"/>
  <c r="S902" i="13"/>
  <c r="S903" i="13"/>
  <c r="S904" i="13"/>
  <c r="S905" i="13"/>
  <c r="S906" i="13"/>
  <c r="S907" i="13"/>
  <c r="S908" i="13"/>
  <c r="S909" i="13"/>
  <c r="S910" i="13"/>
  <c r="S911" i="13"/>
  <c r="S912" i="13"/>
  <c r="S913" i="13"/>
  <c r="S914" i="13"/>
  <c r="S915" i="13"/>
  <c r="S916" i="13"/>
  <c r="S917" i="13"/>
  <c r="S918" i="13"/>
  <c r="S919" i="13"/>
  <c r="S920" i="13"/>
  <c r="S921" i="13"/>
  <c r="S922" i="13"/>
  <c r="S923" i="13"/>
  <c r="S924" i="13"/>
  <c r="S925" i="13"/>
  <c r="S926" i="13"/>
  <c r="S927" i="13"/>
  <c r="S928" i="13"/>
  <c r="S929" i="13"/>
  <c r="S930" i="13"/>
  <c r="S931" i="13"/>
  <c r="S932" i="13"/>
  <c r="S933" i="13"/>
  <c r="S934" i="13"/>
  <c r="S935" i="13"/>
  <c r="S936" i="13"/>
  <c r="S937" i="13"/>
  <c r="S938" i="13"/>
  <c r="S939" i="13"/>
  <c r="S940" i="13"/>
  <c r="S941" i="13"/>
  <c r="S942" i="13"/>
  <c r="S943" i="13"/>
  <c r="S944" i="13"/>
  <c r="S945" i="13"/>
  <c r="S946" i="13"/>
  <c r="S947" i="13"/>
  <c r="S948" i="13"/>
  <c r="S949" i="13"/>
  <c r="S950" i="13"/>
  <c r="S951" i="13"/>
  <c r="S952" i="13"/>
  <c r="S953" i="13"/>
  <c r="S954" i="13"/>
  <c r="S955" i="13"/>
  <c r="S956" i="13"/>
  <c r="S957" i="13"/>
  <c r="S958" i="13"/>
  <c r="S959" i="13"/>
  <c r="S960" i="13"/>
  <c r="S961" i="13"/>
  <c r="S962" i="13"/>
  <c r="S963" i="13"/>
  <c r="S964" i="13"/>
  <c r="S965" i="13"/>
  <c r="S966" i="13"/>
  <c r="S967" i="13"/>
  <c r="S968" i="13"/>
  <c r="S969" i="13"/>
  <c r="S970" i="13"/>
  <c r="S971" i="13"/>
  <c r="S972" i="13"/>
  <c r="S973" i="13"/>
  <c r="S974" i="13"/>
  <c r="S975" i="13"/>
  <c r="S976" i="13"/>
  <c r="S977" i="13"/>
  <c r="S978" i="13"/>
  <c r="S979" i="13"/>
  <c r="S980" i="13"/>
  <c r="S981" i="13"/>
  <c r="S982" i="13"/>
  <c r="S983" i="13"/>
  <c r="S984" i="13"/>
  <c r="S985" i="13"/>
  <c r="S986" i="13"/>
  <c r="S987" i="13"/>
  <c r="S988" i="13"/>
  <c r="S989" i="13"/>
  <c r="S990" i="13"/>
  <c r="S991" i="13"/>
  <c r="S992" i="13"/>
  <c r="S993" i="13"/>
  <c r="S994" i="13"/>
  <c r="S995" i="13"/>
  <c r="S996" i="13"/>
  <c r="S997" i="13"/>
  <c r="S998" i="13"/>
  <c r="S999" i="13"/>
  <c r="S1000" i="13"/>
  <c r="S1001" i="13"/>
  <c r="T2" i="13"/>
  <c r="T3" i="13"/>
  <c r="T4" i="13"/>
  <c r="T5" i="13"/>
  <c r="T6" i="13"/>
  <c r="T7" i="13"/>
  <c r="T8" i="13"/>
  <c r="T9" i="13"/>
  <c r="T10" i="13"/>
  <c r="T11" i="13"/>
  <c r="T12" i="13"/>
  <c r="T13" i="13"/>
  <c r="T14" i="13"/>
  <c r="T15" i="13"/>
  <c r="T16" i="13"/>
  <c r="T17" i="13"/>
  <c r="T18" i="13"/>
  <c r="T19" i="13"/>
  <c r="T20" i="13"/>
  <c r="T21" i="13"/>
  <c r="T22" i="13"/>
  <c r="T23" i="13"/>
  <c r="T24" i="13"/>
  <c r="T25" i="13"/>
  <c r="T26" i="13"/>
  <c r="T27" i="13"/>
  <c r="T28" i="13"/>
  <c r="T29" i="13"/>
  <c r="T30" i="13"/>
  <c r="T31" i="13"/>
  <c r="T32" i="13"/>
  <c r="T33" i="13"/>
  <c r="T34" i="13"/>
  <c r="T35" i="13"/>
  <c r="T36" i="13"/>
  <c r="T37" i="13"/>
  <c r="T38" i="13"/>
  <c r="T39" i="13"/>
  <c r="T40" i="13"/>
  <c r="T41" i="13"/>
  <c r="T42" i="13"/>
  <c r="T43" i="13"/>
  <c r="T44" i="13"/>
  <c r="T45" i="13"/>
  <c r="T46" i="13"/>
  <c r="T47" i="13"/>
  <c r="T48" i="13"/>
  <c r="T49" i="13"/>
  <c r="T50" i="13"/>
  <c r="T51" i="13"/>
  <c r="T52" i="13"/>
  <c r="T53" i="13"/>
  <c r="T54" i="13"/>
  <c r="T55" i="13"/>
  <c r="T56" i="13"/>
  <c r="T57" i="13"/>
  <c r="T58" i="13"/>
  <c r="T59" i="13"/>
  <c r="T60" i="13"/>
  <c r="T61" i="13"/>
  <c r="T62" i="13"/>
  <c r="T63" i="13"/>
  <c r="T64" i="13"/>
  <c r="T65" i="13"/>
  <c r="T66" i="13"/>
  <c r="T67" i="13"/>
  <c r="T68" i="13"/>
  <c r="T69" i="13"/>
  <c r="T70" i="13"/>
  <c r="T71" i="13"/>
  <c r="T72" i="13"/>
  <c r="T73" i="13"/>
  <c r="T74" i="13"/>
  <c r="T75" i="13"/>
  <c r="T76" i="13"/>
  <c r="T77" i="13"/>
  <c r="T78" i="13"/>
  <c r="T79" i="13"/>
  <c r="T80" i="13"/>
  <c r="T81" i="13"/>
  <c r="T82" i="13"/>
  <c r="T83" i="13"/>
  <c r="T84" i="13"/>
  <c r="T85" i="13"/>
  <c r="T86" i="13"/>
  <c r="T87" i="13"/>
  <c r="T88" i="13"/>
  <c r="T89" i="13"/>
  <c r="T90" i="13"/>
  <c r="T91" i="13"/>
  <c r="T92" i="13"/>
  <c r="T93" i="13"/>
  <c r="T94" i="13"/>
  <c r="T95" i="13"/>
  <c r="T96" i="13"/>
  <c r="T97" i="13"/>
  <c r="T98" i="13"/>
  <c r="T99" i="13"/>
  <c r="T100" i="13"/>
  <c r="T101" i="13"/>
  <c r="T102" i="13"/>
  <c r="T103" i="13"/>
  <c r="T104" i="13"/>
  <c r="T105" i="13"/>
  <c r="T106" i="13"/>
  <c r="T107" i="13"/>
  <c r="T108" i="13"/>
  <c r="T109" i="13"/>
  <c r="T110" i="13"/>
  <c r="T111" i="13"/>
  <c r="T112" i="13"/>
  <c r="T113" i="13"/>
  <c r="T114" i="13"/>
  <c r="T115" i="13"/>
  <c r="T116" i="13"/>
  <c r="T117" i="13"/>
  <c r="T118" i="13"/>
  <c r="T119" i="13"/>
  <c r="T120" i="13"/>
  <c r="T121" i="13"/>
  <c r="T122" i="13"/>
  <c r="T123" i="13"/>
  <c r="T124" i="13"/>
  <c r="T125" i="13"/>
  <c r="T126" i="13"/>
  <c r="T127" i="13"/>
  <c r="T128" i="13"/>
  <c r="T129" i="13"/>
  <c r="T130" i="13"/>
  <c r="T131" i="13"/>
  <c r="T132" i="13"/>
  <c r="T133" i="13"/>
  <c r="T134" i="13"/>
  <c r="T135" i="13"/>
  <c r="T136" i="13"/>
  <c r="T137" i="13"/>
  <c r="T138" i="13"/>
  <c r="T139" i="13"/>
  <c r="T140" i="13"/>
  <c r="T141" i="13"/>
  <c r="T142" i="13"/>
  <c r="T143" i="13"/>
  <c r="T144" i="13"/>
  <c r="T145" i="13"/>
  <c r="T146" i="13"/>
  <c r="T147" i="13"/>
  <c r="T148" i="13"/>
  <c r="T149" i="13"/>
  <c r="T150" i="13"/>
  <c r="T151" i="13"/>
  <c r="T152" i="13"/>
  <c r="T153" i="13"/>
  <c r="T154" i="13"/>
  <c r="T155" i="13"/>
  <c r="T156" i="13"/>
  <c r="T157" i="13"/>
  <c r="T158" i="13"/>
  <c r="T159" i="13"/>
  <c r="T160" i="13"/>
  <c r="T161" i="13"/>
  <c r="T162" i="13"/>
  <c r="T163" i="13"/>
  <c r="T164" i="13"/>
  <c r="T165" i="13"/>
  <c r="T166" i="13"/>
  <c r="T167" i="13"/>
  <c r="T168" i="13"/>
  <c r="T169" i="13"/>
  <c r="T170" i="13"/>
  <c r="T171" i="13"/>
  <c r="T172" i="13"/>
  <c r="T173" i="13"/>
  <c r="T174" i="13"/>
  <c r="T175" i="13"/>
  <c r="T176" i="13"/>
  <c r="T177" i="13"/>
  <c r="T178" i="13"/>
  <c r="T179" i="13"/>
  <c r="T180" i="13"/>
  <c r="T181" i="13"/>
  <c r="T182" i="13"/>
  <c r="T183" i="13"/>
  <c r="T184" i="13"/>
  <c r="T185" i="13"/>
  <c r="T186" i="13"/>
  <c r="T187" i="13"/>
  <c r="T188" i="13"/>
  <c r="T189" i="13"/>
  <c r="T190" i="13"/>
  <c r="T191" i="13"/>
  <c r="T192" i="13"/>
  <c r="T193" i="13"/>
  <c r="T194" i="13"/>
  <c r="T195" i="13"/>
  <c r="T196" i="13"/>
  <c r="T197" i="13"/>
  <c r="T198" i="13"/>
  <c r="T199" i="13"/>
  <c r="T200" i="13"/>
  <c r="T201" i="13"/>
  <c r="T202" i="13"/>
  <c r="T203" i="13"/>
  <c r="T204" i="13"/>
  <c r="T205" i="13"/>
  <c r="T206" i="13"/>
  <c r="T207" i="13"/>
  <c r="T208" i="13"/>
  <c r="T209" i="13"/>
  <c r="T210" i="13"/>
  <c r="T211" i="13"/>
  <c r="T212" i="13"/>
  <c r="T213" i="13"/>
  <c r="T214" i="13"/>
  <c r="T215" i="13"/>
  <c r="T216" i="13"/>
  <c r="T217" i="13"/>
  <c r="T218" i="13"/>
  <c r="T219" i="13"/>
  <c r="T220" i="13"/>
  <c r="T221" i="13"/>
  <c r="T222" i="13"/>
  <c r="T223" i="13"/>
  <c r="T224" i="13"/>
  <c r="T225" i="13"/>
  <c r="T226" i="13"/>
  <c r="T227" i="13"/>
  <c r="T228" i="13"/>
  <c r="T229" i="13"/>
  <c r="T230" i="13"/>
  <c r="T231" i="13"/>
  <c r="T232" i="13"/>
  <c r="T233" i="13"/>
  <c r="T234" i="13"/>
  <c r="T235" i="13"/>
  <c r="T236" i="13"/>
  <c r="T237" i="13"/>
  <c r="T238" i="13"/>
  <c r="T239" i="13"/>
  <c r="T240" i="13"/>
  <c r="T241" i="13"/>
  <c r="T242" i="13"/>
  <c r="T243" i="13"/>
  <c r="T244" i="13"/>
  <c r="T245" i="13"/>
  <c r="T246" i="13"/>
  <c r="T247" i="13"/>
  <c r="T248" i="13"/>
  <c r="T249" i="13"/>
  <c r="T250" i="13"/>
  <c r="T251" i="13"/>
  <c r="T252" i="13"/>
  <c r="T253" i="13"/>
  <c r="T254" i="13"/>
  <c r="T255" i="13"/>
  <c r="T256" i="13"/>
  <c r="T257" i="13"/>
  <c r="T258" i="13"/>
  <c r="T259" i="13"/>
  <c r="T260" i="13"/>
  <c r="T261" i="13"/>
  <c r="T262" i="13"/>
  <c r="T263" i="13"/>
  <c r="T264" i="13"/>
  <c r="T265" i="13"/>
  <c r="T266" i="13"/>
  <c r="T267" i="13"/>
  <c r="T268" i="13"/>
  <c r="T269" i="13"/>
  <c r="T270" i="13"/>
  <c r="T271" i="13"/>
  <c r="T272" i="13"/>
  <c r="T273" i="13"/>
  <c r="T274" i="13"/>
  <c r="T275" i="13"/>
  <c r="T276" i="13"/>
  <c r="T277" i="13"/>
  <c r="T278" i="13"/>
  <c r="T279" i="13"/>
  <c r="T280" i="13"/>
  <c r="T281" i="13"/>
  <c r="T282" i="13"/>
  <c r="T283" i="13"/>
  <c r="T284" i="13"/>
  <c r="T285" i="13"/>
  <c r="T286" i="13"/>
  <c r="T287" i="13"/>
  <c r="T288" i="13"/>
  <c r="T289" i="13"/>
  <c r="T290" i="13"/>
  <c r="T291" i="13"/>
  <c r="T292" i="13"/>
  <c r="T293" i="13"/>
  <c r="T294" i="13"/>
  <c r="T295" i="13"/>
  <c r="T296" i="13"/>
  <c r="T297" i="13"/>
  <c r="T298" i="13"/>
  <c r="T299" i="13"/>
  <c r="T300" i="13"/>
  <c r="T301" i="13"/>
  <c r="T302" i="13"/>
  <c r="T303" i="13"/>
  <c r="T304" i="13"/>
  <c r="T305" i="13"/>
  <c r="T306" i="13"/>
  <c r="T307" i="13"/>
  <c r="T308" i="13"/>
  <c r="T309" i="13"/>
  <c r="T310" i="13"/>
  <c r="T311" i="13"/>
  <c r="T312" i="13"/>
  <c r="T313" i="13"/>
  <c r="T314" i="13"/>
  <c r="T315" i="13"/>
  <c r="T316" i="13"/>
  <c r="T317" i="13"/>
  <c r="T318" i="13"/>
  <c r="T319" i="13"/>
  <c r="T320" i="13"/>
  <c r="T321" i="13"/>
  <c r="T322" i="13"/>
  <c r="T323" i="13"/>
  <c r="T324" i="13"/>
  <c r="T325" i="13"/>
  <c r="T326" i="13"/>
  <c r="T327" i="13"/>
  <c r="T328" i="13"/>
  <c r="T329" i="13"/>
  <c r="T330" i="13"/>
  <c r="T331" i="13"/>
  <c r="T332" i="13"/>
  <c r="T333" i="13"/>
  <c r="T334" i="13"/>
  <c r="T335" i="13"/>
  <c r="T336" i="13"/>
  <c r="T337" i="13"/>
  <c r="T338" i="13"/>
  <c r="T339" i="13"/>
  <c r="T340" i="13"/>
  <c r="T341" i="13"/>
  <c r="T342" i="13"/>
  <c r="T343" i="13"/>
  <c r="T344" i="13"/>
  <c r="T345" i="13"/>
  <c r="T346" i="13"/>
  <c r="T347" i="13"/>
  <c r="T348" i="13"/>
  <c r="T349" i="13"/>
  <c r="T350" i="13"/>
  <c r="T351" i="13"/>
  <c r="T352" i="13"/>
  <c r="T353" i="13"/>
  <c r="T354" i="13"/>
  <c r="T355" i="13"/>
  <c r="T356" i="13"/>
  <c r="T357" i="13"/>
  <c r="T358" i="13"/>
  <c r="T359" i="13"/>
  <c r="T360" i="13"/>
  <c r="T361" i="13"/>
  <c r="T362" i="13"/>
  <c r="T363" i="13"/>
  <c r="T364" i="13"/>
  <c r="T365" i="13"/>
  <c r="T366" i="13"/>
  <c r="T367" i="13"/>
  <c r="T368" i="13"/>
  <c r="T369" i="13"/>
  <c r="T370" i="13"/>
  <c r="T371" i="13"/>
  <c r="T372" i="13"/>
  <c r="T373" i="13"/>
  <c r="T374" i="13"/>
  <c r="T375" i="13"/>
  <c r="T376" i="13"/>
  <c r="T377" i="13"/>
  <c r="T378" i="13"/>
  <c r="T379" i="13"/>
  <c r="T380" i="13"/>
  <c r="T381" i="13"/>
  <c r="T382" i="13"/>
  <c r="T383" i="13"/>
  <c r="T384" i="13"/>
  <c r="T385" i="13"/>
  <c r="T386" i="13"/>
  <c r="T387" i="13"/>
  <c r="T388" i="13"/>
  <c r="T389" i="13"/>
  <c r="T390" i="13"/>
  <c r="T391" i="13"/>
  <c r="T392" i="13"/>
  <c r="T393" i="13"/>
  <c r="T394" i="13"/>
  <c r="T395" i="13"/>
  <c r="T396" i="13"/>
  <c r="T397" i="13"/>
  <c r="T398" i="13"/>
  <c r="T399" i="13"/>
  <c r="T400" i="13"/>
  <c r="T401" i="13"/>
  <c r="T402" i="13"/>
  <c r="T403" i="13"/>
  <c r="T404" i="13"/>
  <c r="T405" i="13"/>
  <c r="T406" i="13"/>
  <c r="T407" i="13"/>
  <c r="T408" i="13"/>
  <c r="T409" i="13"/>
  <c r="T410" i="13"/>
  <c r="T411" i="13"/>
  <c r="T412" i="13"/>
  <c r="T413" i="13"/>
  <c r="T414" i="13"/>
  <c r="T415" i="13"/>
  <c r="T416" i="13"/>
  <c r="T417" i="13"/>
  <c r="T418" i="13"/>
  <c r="T419" i="13"/>
  <c r="T420" i="13"/>
  <c r="T421" i="13"/>
  <c r="T422" i="13"/>
  <c r="T423" i="13"/>
  <c r="T424" i="13"/>
  <c r="T425" i="13"/>
  <c r="T426" i="13"/>
  <c r="T427" i="13"/>
  <c r="T428" i="13"/>
  <c r="T429" i="13"/>
  <c r="T430" i="13"/>
  <c r="T431" i="13"/>
  <c r="T432" i="13"/>
  <c r="T433" i="13"/>
  <c r="T434" i="13"/>
  <c r="T435" i="13"/>
  <c r="T436" i="13"/>
  <c r="T437" i="13"/>
  <c r="T438" i="13"/>
  <c r="T439" i="13"/>
  <c r="T440" i="13"/>
  <c r="T441" i="13"/>
  <c r="T442" i="13"/>
  <c r="T443" i="13"/>
  <c r="T444" i="13"/>
  <c r="T445" i="13"/>
  <c r="T446" i="13"/>
  <c r="T447" i="13"/>
  <c r="T448" i="13"/>
  <c r="T449" i="13"/>
  <c r="T450" i="13"/>
  <c r="T451" i="13"/>
  <c r="T452" i="13"/>
  <c r="T453" i="13"/>
  <c r="T454" i="13"/>
  <c r="T455" i="13"/>
  <c r="T456" i="13"/>
  <c r="T457" i="13"/>
  <c r="T458" i="13"/>
  <c r="T459" i="13"/>
  <c r="T460" i="13"/>
  <c r="T461" i="13"/>
  <c r="T462" i="13"/>
  <c r="T463" i="13"/>
  <c r="T464" i="13"/>
  <c r="T465" i="13"/>
  <c r="T466" i="13"/>
  <c r="T467" i="13"/>
  <c r="T468" i="13"/>
  <c r="T469" i="13"/>
  <c r="T470" i="13"/>
  <c r="T471" i="13"/>
  <c r="T472" i="13"/>
  <c r="T473" i="13"/>
  <c r="T474" i="13"/>
  <c r="T475" i="13"/>
  <c r="T476" i="13"/>
  <c r="T477" i="13"/>
  <c r="T478" i="13"/>
  <c r="T479" i="13"/>
  <c r="T480" i="13"/>
  <c r="T481" i="13"/>
  <c r="T482" i="13"/>
  <c r="T483" i="13"/>
  <c r="T484" i="13"/>
  <c r="T485" i="13"/>
  <c r="T486" i="13"/>
  <c r="T487" i="13"/>
  <c r="T488" i="13"/>
  <c r="T489" i="13"/>
  <c r="T490" i="13"/>
  <c r="T491" i="13"/>
  <c r="T492" i="13"/>
  <c r="T493" i="13"/>
  <c r="T494" i="13"/>
  <c r="T495" i="13"/>
  <c r="T496" i="13"/>
  <c r="T497" i="13"/>
  <c r="T498" i="13"/>
  <c r="T499" i="13"/>
  <c r="T500" i="13"/>
  <c r="T501" i="13"/>
  <c r="T502" i="13"/>
  <c r="T503" i="13"/>
  <c r="T504" i="13"/>
  <c r="T505" i="13"/>
  <c r="T506" i="13"/>
  <c r="T507" i="13"/>
  <c r="T508" i="13"/>
  <c r="T509" i="13"/>
  <c r="T510" i="13"/>
  <c r="T511" i="13"/>
  <c r="T512" i="13"/>
  <c r="T513" i="13"/>
  <c r="T514" i="13"/>
  <c r="T515" i="13"/>
  <c r="T516" i="13"/>
  <c r="T517" i="13"/>
  <c r="T518" i="13"/>
  <c r="T519" i="13"/>
  <c r="T520" i="13"/>
  <c r="T521" i="13"/>
  <c r="T522" i="13"/>
  <c r="T523" i="13"/>
  <c r="T524" i="13"/>
  <c r="T525" i="13"/>
  <c r="T526" i="13"/>
  <c r="T527" i="13"/>
  <c r="T528" i="13"/>
  <c r="T529" i="13"/>
  <c r="T530" i="13"/>
  <c r="T531" i="13"/>
  <c r="T532" i="13"/>
  <c r="T533" i="13"/>
  <c r="T534" i="13"/>
  <c r="T535" i="13"/>
  <c r="T536" i="13"/>
  <c r="T537" i="13"/>
  <c r="T538" i="13"/>
  <c r="T539" i="13"/>
  <c r="T540" i="13"/>
  <c r="T541" i="13"/>
  <c r="T542" i="13"/>
  <c r="T543" i="13"/>
  <c r="T544" i="13"/>
  <c r="T545" i="13"/>
  <c r="T546" i="13"/>
  <c r="T547" i="13"/>
  <c r="T548" i="13"/>
  <c r="T549" i="13"/>
  <c r="T550" i="13"/>
  <c r="T551" i="13"/>
  <c r="T552" i="13"/>
  <c r="T553" i="13"/>
  <c r="T554" i="13"/>
  <c r="T555" i="13"/>
  <c r="T556" i="13"/>
  <c r="T557" i="13"/>
  <c r="T558" i="13"/>
  <c r="T559" i="13"/>
  <c r="T560" i="13"/>
  <c r="T561" i="13"/>
  <c r="T562" i="13"/>
  <c r="T563" i="13"/>
  <c r="T564" i="13"/>
  <c r="T565" i="13"/>
  <c r="T566" i="13"/>
  <c r="T567" i="13"/>
  <c r="T568" i="13"/>
  <c r="T569" i="13"/>
  <c r="T570" i="13"/>
  <c r="T571" i="13"/>
  <c r="T572" i="13"/>
  <c r="T573" i="13"/>
  <c r="T574" i="13"/>
  <c r="T575" i="13"/>
  <c r="T576" i="13"/>
  <c r="T577" i="13"/>
  <c r="T578" i="13"/>
  <c r="T579" i="13"/>
  <c r="T580" i="13"/>
  <c r="T581" i="13"/>
  <c r="T582" i="13"/>
  <c r="T583" i="13"/>
  <c r="T584" i="13"/>
  <c r="T585" i="13"/>
  <c r="T586" i="13"/>
  <c r="T587" i="13"/>
  <c r="T588" i="13"/>
  <c r="T589" i="13"/>
  <c r="T590" i="13"/>
  <c r="T591" i="13"/>
  <c r="T592" i="13"/>
  <c r="T593" i="13"/>
  <c r="T594" i="13"/>
  <c r="T595" i="13"/>
  <c r="T596" i="13"/>
  <c r="T597" i="13"/>
  <c r="T598" i="13"/>
  <c r="T599" i="13"/>
  <c r="T600" i="13"/>
  <c r="T601" i="13"/>
  <c r="T602" i="13"/>
  <c r="T603" i="13"/>
  <c r="T604" i="13"/>
  <c r="T605" i="13"/>
  <c r="T606" i="13"/>
  <c r="T607" i="13"/>
  <c r="T608" i="13"/>
  <c r="T609" i="13"/>
  <c r="T610" i="13"/>
  <c r="T611" i="13"/>
  <c r="T612" i="13"/>
  <c r="T613" i="13"/>
  <c r="T614" i="13"/>
  <c r="T615" i="13"/>
  <c r="T616" i="13"/>
  <c r="T617" i="13"/>
  <c r="T618" i="13"/>
  <c r="T619" i="13"/>
  <c r="T620" i="13"/>
  <c r="T621" i="13"/>
  <c r="T622" i="13"/>
  <c r="T623" i="13"/>
  <c r="T624" i="13"/>
  <c r="T625" i="13"/>
  <c r="T626" i="13"/>
  <c r="T627" i="13"/>
  <c r="T628" i="13"/>
  <c r="T629" i="13"/>
  <c r="T630" i="13"/>
  <c r="T631" i="13"/>
  <c r="T632" i="13"/>
  <c r="T633" i="13"/>
  <c r="T634" i="13"/>
  <c r="T635" i="13"/>
  <c r="T636" i="13"/>
  <c r="T637" i="13"/>
  <c r="T638" i="13"/>
  <c r="T639" i="13"/>
  <c r="T640" i="13"/>
  <c r="T641" i="13"/>
  <c r="T642" i="13"/>
  <c r="T643" i="13"/>
  <c r="T644" i="13"/>
  <c r="T645" i="13"/>
  <c r="T646" i="13"/>
  <c r="T647" i="13"/>
  <c r="T648" i="13"/>
  <c r="T649" i="13"/>
  <c r="T650" i="13"/>
  <c r="T651" i="13"/>
  <c r="T652" i="13"/>
  <c r="T653" i="13"/>
  <c r="T654" i="13"/>
  <c r="T655" i="13"/>
  <c r="T656" i="13"/>
  <c r="T657" i="13"/>
  <c r="T658" i="13"/>
  <c r="T659" i="13"/>
  <c r="T660" i="13"/>
  <c r="T661" i="13"/>
  <c r="T662" i="13"/>
  <c r="T663" i="13"/>
  <c r="T664" i="13"/>
  <c r="T665" i="13"/>
  <c r="T666" i="13"/>
  <c r="T667" i="13"/>
  <c r="T668" i="13"/>
  <c r="T669" i="13"/>
  <c r="T670" i="13"/>
  <c r="T671" i="13"/>
  <c r="T672" i="13"/>
  <c r="T673" i="13"/>
  <c r="T674" i="13"/>
  <c r="T675" i="13"/>
  <c r="T676" i="13"/>
  <c r="T677" i="13"/>
  <c r="T678" i="13"/>
  <c r="T679" i="13"/>
  <c r="T680" i="13"/>
  <c r="T681" i="13"/>
  <c r="T682" i="13"/>
  <c r="T683" i="13"/>
  <c r="T684" i="13"/>
  <c r="T685" i="13"/>
  <c r="T686" i="13"/>
  <c r="T687" i="13"/>
  <c r="T688" i="13"/>
  <c r="T689" i="13"/>
  <c r="T690" i="13"/>
  <c r="T691" i="13"/>
  <c r="T692" i="13"/>
  <c r="T693" i="13"/>
  <c r="T694" i="13"/>
  <c r="T695" i="13"/>
  <c r="T696" i="13"/>
  <c r="T697" i="13"/>
  <c r="T698" i="13"/>
  <c r="T699" i="13"/>
  <c r="T700" i="13"/>
  <c r="T701" i="13"/>
  <c r="T702" i="13"/>
  <c r="T703" i="13"/>
  <c r="T704" i="13"/>
  <c r="T705" i="13"/>
  <c r="T706" i="13"/>
  <c r="T707" i="13"/>
  <c r="T708" i="13"/>
  <c r="T709" i="13"/>
  <c r="T710" i="13"/>
  <c r="T711" i="13"/>
  <c r="T712" i="13"/>
  <c r="T713" i="13"/>
  <c r="T714" i="13"/>
  <c r="T715" i="13"/>
  <c r="T716" i="13"/>
  <c r="T717" i="13"/>
  <c r="T718" i="13"/>
  <c r="T719" i="13"/>
  <c r="T720" i="13"/>
  <c r="T721" i="13"/>
  <c r="T722" i="13"/>
  <c r="T723" i="13"/>
  <c r="T724" i="13"/>
  <c r="T725" i="13"/>
  <c r="T726" i="13"/>
  <c r="T727" i="13"/>
  <c r="T728" i="13"/>
  <c r="T729" i="13"/>
  <c r="T730" i="13"/>
  <c r="T731" i="13"/>
  <c r="T732" i="13"/>
  <c r="T733" i="13"/>
  <c r="T734" i="13"/>
  <c r="T735" i="13"/>
  <c r="T736" i="13"/>
  <c r="T737" i="13"/>
  <c r="T738" i="13"/>
  <c r="T739" i="13"/>
  <c r="T740" i="13"/>
  <c r="T741" i="13"/>
  <c r="T742" i="13"/>
  <c r="T743" i="13"/>
  <c r="T744" i="13"/>
  <c r="T745" i="13"/>
  <c r="T746" i="13"/>
  <c r="T747" i="13"/>
  <c r="T748" i="13"/>
  <c r="T749" i="13"/>
  <c r="T750" i="13"/>
  <c r="T751" i="13"/>
  <c r="T752" i="13"/>
  <c r="T753" i="13"/>
  <c r="T754" i="13"/>
  <c r="T755" i="13"/>
  <c r="T756" i="13"/>
  <c r="T757" i="13"/>
  <c r="T758" i="13"/>
  <c r="T759" i="13"/>
  <c r="T760" i="13"/>
  <c r="T761" i="13"/>
  <c r="T762" i="13"/>
  <c r="T763" i="13"/>
  <c r="T764" i="13"/>
  <c r="T765" i="13"/>
  <c r="T766" i="13"/>
  <c r="T767" i="13"/>
  <c r="T768" i="13"/>
  <c r="T769" i="13"/>
  <c r="T770" i="13"/>
  <c r="T771" i="13"/>
  <c r="T772" i="13"/>
  <c r="T773" i="13"/>
  <c r="T774" i="13"/>
  <c r="T775" i="13"/>
  <c r="T776" i="13"/>
  <c r="T777" i="13"/>
  <c r="T778" i="13"/>
  <c r="T779" i="13"/>
  <c r="T780" i="13"/>
  <c r="T781" i="13"/>
  <c r="T782" i="13"/>
  <c r="T783" i="13"/>
  <c r="T784" i="13"/>
  <c r="T785" i="13"/>
  <c r="T786" i="13"/>
  <c r="T787" i="13"/>
  <c r="T788" i="13"/>
  <c r="T789" i="13"/>
  <c r="T790" i="13"/>
  <c r="T791" i="13"/>
  <c r="T792" i="13"/>
  <c r="T793" i="13"/>
  <c r="T794" i="13"/>
  <c r="T795" i="13"/>
  <c r="T796" i="13"/>
  <c r="T797" i="13"/>
  <c r="T798" i="13"/>
  <c r="T799" i="13"/>
  <c r="T800" i="13"/>
  <c r="T801" i="13"/>
  <c r="T802" i="13"/>
  <c r="T803" i="13"/>
  <c r="T804" i="13"/>
  <c r="T805" i="13"/>
  <c r="T806" i="13"/>
  <c r="T807" i="13"/>
  <c r="T808" i="13"/>
  <c r="T809" i="13"/>
  <c r="T810" i="13"/>
  <c r="T811" i="13"/>
  <c r="T812" i="13"/>
  <c r="T813" i="13"/>
  <c r="T814" i="13"/>
  <c r="T815" i="13"/>
  <c r="T816" i="13"/>
  <c r="T817" i="13"/>
  <c r="T818" i="13"/>
  <c r="T819" i="13"/>
  <c r="T820" i="13"/>
  <c r="T821" i="13"/>
  <c r="T822" i="13"/>
  <c r="T823" i="13"/>
  <c r="T824" i="13"/>
  <c r="T825" i="13"/>
  <c r="T826" i="13"/>
  <c r="T827" i="13"/>
  <c r="T828" i="13"/>
  <c r="T829" i="13"/>
  <c r="T830" i="13"/>
  <c r="T831" i="13"/>
  <c r="T832" i="13"/>
  <c r="T833" i="13"/>
  <c r="T834" i="13"/>
  <c r="T835" i="13"/>
  <c r="T836" i="13"/>
  <c r="T837" i="13"/>
  <c r="T838" i="13"/>
  <c r="T839" i="13"/>
  <c r="T840" i="13"/>
  <c r="T841" i="13"/>
  <c r="T842" i="13"/>
  <c r="T843" i="13"/>
  <c r="T844" i="13"/>
  <c r="T845" i="13"/>
  <c r="T846" i="13"/>
  <c r="T847" i="13"/>
  <c r="T848" i="13"/>
  <c r="T849" i="13"/>
  <c r="T850" i="13"/>
  <c r="T851" i="13"/>
  <c r="T852" i="13"/>
  <c r="T853" i="13"/>
  <c r="T854" i="13"/>
  <c r="T855" i="13"/>
  <c r="T856" i="13"/>
  <c r="T857" i="13"/>
  <c r="T858" i="13"/>
  <c r="T859" i="13"/>
  <c r="T860" i="13"/>
  <c r="T861" i="13"/>
  <c r="T862" i="13"/>
  <c r="T863" i="13"/>
  <c r="T864" i="13"/>
  <c r="T865" i="13"/>
  <c r="T866" i="13"/>
  <c r="T867" i="13"/>
  <c r="T868" i="13"/>
  <c r="T869" i="13"/>
  <c r="T870" i="13"/>
  <c r="T871" i="13"/>
  <c r="T872" i="13"/>
  <c r="T873" i="13"/>
  <c r="T874" i="13"/>
  <c r="T875" i="13"/>
  <c r="T876" i="13"/>
  <c r="T877" i="13"/>
  <c r="T878" i="13"/>
  <c r="T879" i="13"/>
  <c r="T880" i="13"/>
  <c r="T881" i="13"/>
  <c r="T882" i="13"/>
  <c r="T883" i="13"/>
  <c r="T884" i="13"/>
  <c r="T885" i="13"/>
  <c r="T886" i="13"/>
  <c r="T887" i="13"/>
  <c r="T888" i="13"/>
  <c r="T889" i="13"/>
  <c r="T890" i="13"/>
  <c r="T891" i="13"/>
  <c r="T892" i="13"/>
  <c r="T893" i="13"/>
  <c r="T894" i="13"/>
  <c r="T895" i="13"/>
  <c r="T896" i="13"/>
  <c r="T897" i="13"/>
  <c r="T898" i="13"/>
  <c r="T899" i="13"/>
  <c r="T900" i="13"/>
  <c r="T901" i="13"/>
  <c r="T902" i="13"/>
  <c r="T903" i="13"/>
  <c r="T904" i="13"/>
  <c r="T905" i="13"/>
  <c r="T906" i="13"/>
  <c r="T907" i="13"/>
  <c r="T908" i="13"/>
  <c r="T909" i="13"/>
  <c r="T910" i="13"/>
  <c r="T911" i="13"/>
  <c r="T912" i="13"/>
  <c r="T913" i="13"/>
  <c r="T914" i="13"/>
  <c r="T915" i="13"/>
  <c r="T916" i="13"/>
  <c r="T917" i="13"/>
  <c r="T918" i="13"/>
  <c r="T919" i="13"/>
  <c r="T920" i="13"/>
  <c r="T921" i="13"/>
  <c r="T922" i="13"/>
  <c r="T923" i="13"/>
  <c r="T924" i="13"/>
  <c r="T925" i="13"/>
  <c r="T926" i="13"/>
  <c r="T927" i="13"/>
  <c r="T928" i="13"/>
  <c r="T929" i="13"/>
  <c r="T930" i="13"/>
  <c r="T931" i="13"/>
  <c r="T932" i="13"/>
  <c r="T933" i="13"/>
  <c r="T934" i="13"/>
  <c r="T935" i="13"/>
  <c r="T936" i="13"/>
  <c r="T937" i="13"/>
  <c r="T938" i="13"/>
  <c r="T939" i="13"/>
  <c r="T940" i="13"/>
  <c r="T941" i="13"/>
  <c r="T942" i="13"/>
  <c r="T943" i="13"/>
  <c r="T944" i="13"/>
  <c r="T945" i="13"/>
  <c r="T946" i="13"/>
  <c r="T947" i="13"/>
  <c r="T948" i="13"/>
  <c r="T949" i="13"/>
  <c r="T950" i="13"/>
  <c r="T951" i="13"/>
  <c r="T952" i="13"/>
  <c r="T953" i="13"/>
  <c r="T954" i="13"/>
  <c r="T955" i="13"/>
  <c r="T956" i="13"/>
  <c r="T957" i="13"/>
  <c r="T958" i="13"/>
  <c r="T959" i="13"/>
  <c r="T960" i="13"/>
  <c r="T961" i="13"/>
  <c r="T962" i="13"/>
  <c r="T963" i="13"/>
  <c r="T964" i="13"/>
  <c r="T965" i="13"/>
  <c r="T966" i="13"/>
  <c r="T967" i="13"/>
  <c r="T968" i="13"/>
  <c r="T969" i="13"/>
  <c r="T970" i="13"/>
  <c r="T971" i="13"/>
  <c r="T972" i="13"/>
  <c r="T973" i="13"/>
  <c r="T974" i="13"/>
  <c r="T975" i="13"/>
  <c r="T976" i="13"/>
  <c r="T977" i="13"/>
  <c r="T978" i="13"/>
  <c r="T979" i="13"/>
  <c r="T980" i="13"/>
  <c r="T981" i="13"/>
  <c r="T982" i="13"/>
  <c r="T983" i="13"/>
  <c r="T984" i="13"/>
  <c r="T985" i="13"/>
  <c r="T986" i="13"/>
  <c r="T987" i="13"/>
  <c r="T988" i="13"/>
  <c r="T989" i="13"/>
  <c r="T990" i="13"/>
  <c r="T991" i="13"/>
  <c r="T992" i="13"/>
  <c r="T993" i="13"/>
  <c r="T994" i="13"/>
  <c r="T995" i="13"/>
  <c r="T996" i="13"/>
  <c r="T997" i="13"/>
  <c r="T998" i="13"/>
  <c r="T999" i="13"/>
  <c r="T1000" i="13"/>
  <c r="T1001" i="13"/>
  <c r="U2" i="13"/>
  <c r="U3" i="13"/>
  <c r="U4" i="13"/>
  <c r="U5" i="13"/>
  <c r="U6" i="13"/>
  <c r="U7" i="13"/>
  <c r="U8" i="13"/>
  <c r="U9" i="13"/>
  <c r="U10" i="13"/>
  <c r="U11" i="13"/>
  <c r="U12" i="13"/>
  <c r="U13" i="13"/>
  <c r="U14" i="13"/>
  <c r="U15" i="13"/>
  <c r="U16" i="13"/>
  <c r="U17" i="13"/>
  <c r="U18" i="13"/>
  <c r="U19" i="13"/>
  <c r="U20" i="13"/>
  <c r="U21" i="13"/>
  <c r="U22" i="13"/>
  <c r="U23" i="13"/>
  <c r="U24" i="13"/>
  <c r="U25" i="13"/>
  <c r="U26" i="13"/>
  <c r="U27" i="13"/>
  <c r="U28" i="13"/>
  <c r="U29" i="13"/>
  <c r="U30" i="13"/>
  <c r="U31" i="13"/>
  <c r="U32" i="13"/>
  <c r="U33" i="13"/>
  <c r="U34" i="13"/>
  <c r="U35" i="13"/>
  <c r="U36" i="13"/>
  <c r="U37" i="13"/>
  <c r="U38" i="13"/>
  <c r="U39" i="13"/>
  <c r="U40" i="13"/>
  <c r="U41" i="13"/>
  <c r="U42" i="13"/>
  <c r="U43" i="13"/>
  <c r="U44" i="13"/>
  <c r="U45" i="13"/>
  <c r="U46" i="13"/>
  <c r="U47" i="13"/>
  <c r="U48" i="13"/>
  <c r="U49" i="13"/>
  <c r="U50" i="13"/>
  <c r="U51" i="13"/>
  <c r="U52" i="13"/>
  <c r="U53" i="13"/>
  <c r="U54" i="13"/>
  <c r="U55" i="13"/>
  <c r="U56" i="13"/>
  <c r="U57" i="13"/>
  <c r="U58" i="13"/>
  <c r="U59" i="13"/>
  <c r="U60" i="13"/>
  <c r="U61" i="13"/>
  <c r="U62" i="13"/>
  <c r="U63" i="13"/>
  <c r="U64" i="13"/>
  <c r="U65" i="13"/>
  <c r="U66" i="13"/>
  <c r="U67" i="13"/>
  <c r="U68" i="13"/>
  <c r="U69" i="13"/>
  <c r="U70" i="13"/>
  <c r="U71" i="13"/>
  <c r="U72" i="13"/>
  <c r="U73" i="13"/>
  <c r="U74" i="13"/>
  <c r="U75" i="13"/>
  <c r="U76" i="13"/>
  <c r="U77" i="13"/>
  <c r="U78" i="13"/>
  <c r="U79" i="13"/>
  <c r="U80" i="13"/>
  <c r="U81" i="13"/>
  <c r="U82" i="13"/>
  <c r="U83" i="13"/>
  <c r="U84" i="13"/>
  <c r="U85" i="13"/>
  <c r="U86" i="13"/>
  <c r="U87" i="13"/>
  <c r="U88" i="13"/>
  <c r="U89" i="13"/>
  <c r="U90" i="13"/>
  <c r="U91" i="13"/>
  <c r="U92" i="13"/>
  <c r="U93" i="13"/>
  <c r="U94" i="13"/>
  <c r="U95" i="13"/>
  <c r="U96" i="13"/>
  <c r="U97" i="13"/>
  <c r="U98" i="13"/>
  <c r="U99" i="13"/>
  <c r="U100" i="13"/>
  <c r="U101" i="13"/>
  <c r="U102" i="13"/>
  <c r="U103" i="13"/>
  <c r="U104" i="13"/>
  <c r="U105" i="13"/>
  <c r="U106" i="13"/>
  <c r="U107" i="13"/>
  <c r="U108" i="13"/>
  <c r="U109" i="13"/>
  <c r="U110" i="13"/>
  <c r="U111" i="13"/>
  <c r="U112" i="13"/>
  <c r="U113" i="13"/>
  <c r="U114" i="13"/>
  <c r="U115" i="13"/>
  <c r="U116" i="13"/>
  <c r="U117" i="13"/>
  <c r="U118" i="13"/>
  <c r="U119" i="13"/>
  <c r="U120" i="13"/>
  <c r="U121" i="13"/>
  <c r="U122" i="13"/>
  <c r="U123" i="13"/>
  <c r="U124" i="13"/>
  <c r="U125" i="13"/>
  <c r="U126" i="13"/>
  <c r="U127" i="13"/>
  <c r="U128" i="13"/>
  <c r="U129" i="13"/>
  <c r="U130" i="13"/>
  <c r="U131" i="13"/>
  <c r="U132" i="13"/>
  <c r="U133" i="13"/>
  <c r="U134" i="13"/>
  <c r="U135" i="13"/>
  <c r="U136" i="13"/>
  <c r="U137" i="13"/>
  <c r="U138" i="13"/>
  <c r="U139" i="13"/>
  <c r="U140" i="13"/>
  <c r="U141" i="13"/>
  <c r="U142" i="13"/>
  <c r="U143" i="13"/>
  <c r="U144" i="13"/>
  <c r="U145" i="13"/>
  <c r="U146" i="13"/>
  <c r="U147" i="13"/>
  <c r="U148" i="13"/>
  <c r="U149" i="13"/>
  <c r="U150" i="13"/>
  <c r="U151" i="13"/>
  <c r="U152" i="13"/>
  <c r="U153" i="13"/>
  <c r="U154" i="13"/>
  <c r="U155" i="13"/>
  <c r="U156" i="13"/>
  <c r="U157" i="13"/>
  <c r="U158" i="13"/>
  <c r="U159" i="13"/>
  <c r="U160" i="13"/>
  <c r="U161" i="13"/>
  <c r="U162" i="13"/>
  <c r="U163" i="13"/>
  <c r="U164" i="13"/>
  <c r="U165" i="13"/>
  <c r="U166" i="13"/>
  <c r="U167" i="13"/>
  <c r="U168" i="13"/>
  <c r="U169" i="13"/>
  <c r="U170" i="13"/>
  <c r="U171" i="13"/>
  <c r="U172" i="13"/>
  <c r="U173" i="13"/>
  <c r="U174" i="13"/>
  <c r="U175" i="13"/>
  <c r="U176" i="13"/>
  <c r="U177" i="13"/>
  <c r="U178" i="13"/>
  <c r="U179" i="13"/>
  <c r="U180" i="13"/>
  <c r="U181" i="13"/>
  <c r="U182" i="13"/>
  <c r="U183" i="13"/>
  <c r="U184" i="13"/>
  <c r="U185" i="13"/>
  <c r="U186" i="13"/>
  <c r="U187" i="13"/>
  <c r="U188" i="13"/>
  <c r="U189" i="13"/>
  <c r="U190" i="13"/>
  <c r="U191" i="13"/>
  <c r="U192" i="13"/>
  <c r="U193" i="13"/>
  <c r="U194" i="13"/>
  <c r="U195" i="13"/>
  <c r="U196" i="13"/>
  <c r="U197" i="13"/>
  <c r="U198" i="13"/>
  <c r="U199" i="13"/>
  <c r="U200" i="13"/>
  <c r="U201" i="13"/>
  <c r="U202" i="13"/>
  <c r="U203" i="13"/>
  <c r="U204" i="13"/>
  <c r="U205" i="13"/>
  <c r="U206" i="13"/>
  <c r="U207" i="13"/>
  <c r="U208" i="13"/>
  <c r="U209" i="13"/>
  <c r="U210" i="13"/>
  <c r="U211" i="13"/>
  <c r="U212" i="13"/>
  <c r="U213" i="13"/>
  <c r="U214" i="13"/>
  <c r="U215" i="13"/>
  <c r="U216" i="13"/>
  <c r="U217" i="13"/>
  <c r="U218" i="13"/>
  <c r="U219" i="13"/>
  <c r="U220" i="13"/>
  <c r="U221" i="13"/>
  <c r="U222" i="13"/>
  <c r="U223" i="13"/>
  <c r="U224" i="13"/>
  <c r="U225" i="13"/>
  <c r="U226" i="13"/>
  <c r="U227" i="13"/>
  <c r="U228" i="13"/>
  <c r="U229" i="13"/>
  <c r="U230" i="13"/>
  <c r="U231" i="13"/>
  <c r="U232" i="13"/>
  <c r="U233" i="13"/>
  <c r="U234" i="13"/>
  <c r="U235" i="13"/>
  <c r="U236" i="13"/>
  <c r="U237" i="13"/>
  <c r="U238" i="13"/>
  <c r="U239" i="13"/>
  <c r="U240" i="13"/>
  <c r="U241" i="13"/>
  <c r="U242" i="13"/>
  <c r="U243" i="13"/>
  <c r="U244" i="13"/>
  <c r="U245" i="13"/>
  <c r="U246" i="13"/>
  <c r="U247" i="13"/>
  <c r="U248" i="13"/>
  <c r="U249" i="13"/>
  <c r="U250" i="13"/>
  <c r="U251" i="13"/>
  <c r="U252" i="13"/>
  <c r="U253" i="13"/>
  <c r="U254" i="13"/>
  <c r="U255" i="13"/>
  <c r="U256" i="13"/>
  <c r="U257" i="13"/>
  <c r="U258" i="13"/>
  <c r="U259" i="13"/>
  <c r="U260" i="13"/>
  <c r="U261" i="13"/>
  <c r="U262" i="13"/>
  <c r="U263" i="13"/>
  <c r="U264" i="13"/>
  <c r="U265" i="13"/>
  <c r="U266" i="13"/>
  <c r="U267" i="13"/>
  <c r="U268" i="13"/>
  <c r="U269" i="13"/>
  <c r="U270" i="13"/>
  <c r="U271" i="13"/>
  <c r="U272" i="13"/>
  <c r="U273" i="13"/>
  <c r="U274" i="13"/>
  <c r="U275" i="13"/>
  <c r="U276" i="13"/>
  <c r="U277" i="13"/>
  <c r="U278" i="13"/>
  <c r="U279" i="13"/>
  <c r="U280" i="13"/>
  <c r="U281" i="13"/>
  <c r="U282" i="13"/>
  <c r="U283" i="13"/>
  <c r="U284" i="13"/>
  <c r="U285" i="13"/>
  <c r="U286" i="13"/>
  <c r="U287" i="13"/>
  <c r="U288" i="13"/>
  <c r="U289" i="13"/>
  <c r="U290" i="13"/>
  <c r="U291" i="13"/>
  <c r="U292" i="13"/>
  <c r="U293" i="13"/>
  <c r="U294" i="13"/>
  <c r="U295" i="13"/>
  <c r="U296" i="13"/>
  <c r="U297" i="13"/>
  <c r="U298" i="13"/>
  <c r="U299" i="13"/>
  <c r="U300" i="13"/>
  <c r="U301" i="13"/>
  <c r="U302" i="13"/>
  <c r="U303" i="13"/>
  <c r="U304" i="13"/>
  <c r="U305" i="13"/>
  <c r="U306" i="13"/>
  <c r="U307" i="13"/>
  <c r="U308" i="13"/>
  <c r="U309" i="13"/>
  <c r="U310" i="13"/>
  <c r="U311" i="13"/>
  <c r="U312" i="13"/>
  <c r="U313" i="13"/>
  <c r="U314" i="13"/>
  <c r="U315" i="13"/>
  <c r="U316" i="13"/>
  <c r="U317" i="13"/>
  <c r="U318" i="13"/>
  <c r="U319" i="13"/>
  <c r="U320" i="13"/>
  <c r="U321" i="13"/>
  <c r="U322" i="13"/>
  <c r="U323" i="13"/>
  <c r="U324" i="13"/>
  <c r="U325" i="13"/>
  <c r="U326" i="13"/>
  <c r="U327" i="13"/>
  <c r="U328" i="13"/>
  <c r="U329" i="13"/>
  <c r="U330" i="13"/>
  <c r="U331" i="13"/>
  <c r="U332" i="13"/>
  <c r="U333" i="13"/>
  <c r="U334" i="13"/>
  <c r="U335" i="13"/>
  <c r="U336" i="13"/>
  <c r="U337" i="13"/>
  <c r="U338" i="13"/>
  <c r="U339" i="13"/>
  <c r="U340" i="13"/>
  <c r="U341" i="13"/>
  <c r="U342" i="13"/>
  <c r="U343" i="13"/>
  <c r="U344" i="13"/>
  <c r="U345" i="13"/>
  <c r="U346" i="13"/>
  <c r="U347" i="13"/>
  <c r="U348" i="13"/>
  <c r="U349" i="13"/>
  <c r="U350" i="13"/>
  <c r="U351" i="13"/>
  <c r="U352" i="13"/>
  <c r="U353" i="13"/>
  <c r="U354" i="13"/>
  <c r="U355" i="13"/>
  <c r="U356" i="13"/>
  <c r="U357" i="13"/>
  <c r="U358" i="13"/>
  <c r="U359" i="13"/>
  <c r="U360" i="13"/>
  <c r="U361" i="13"/>
  <c r="U362" i="13"/>
  <c r="U363" i="13"/>
  <c r="U364" i="13"/>
  <c r="U365" i="13"/>
  <c r="U366" i="13"/>
  <c r="U367" i="13"/>
  <c r="U368" i="13"/>
  <c r="U369" i="13"/>
  <c r="U370" i="13"/>
  <c r="U371" i="13"/>
  <c r="U372" i="13"/>
  <c r="U373" i="13"/>
  <c r="U374" i="13"/>
  <c r="U375" i="13"/>
  <c r="U376" i="13"/>
  <c r="U377" i="13"/>
  <c r="U378" i="13"/>
  <c r="U379" i="13"/>
  <c r="U380" i="13"/>
  <c r="U381" i="13"/>
  <c r="U382" i="13"/>
  <c r="U383" i="13"/>
  <c r="U384" i="13"/>
  <c r="U385" i="13"/>
  <c r="U386" i="13"/>
  <c r="U387" i="13"/>
  <c r="U388" i="13"/>
  <c r="U389" i="13"/>
  <c r="U390" i="13"/>
  <c r="U391" i="13"/>
  <c r="U392" i="13"/>
  <c r="U393" i="13"/>
  <c r="U394" i="13"/>
  <c r="U395" i="13"/>
  <c r="U396" i="13"/>
  <c r="U397" i="13"/>
  <c r="U398" i="13"/>
  <c r="U399" i="13"/>
  <c r="U400" i="13"/>
  <c r="U401" i="13"/>
  <c r="U402" i="13"/>
  <c r="U403" i="13"/>
  <c r="U404" i="13"/>
  <c r="U405" i="13"/>
  <c r="U406" i="13"/>
  <c r="U407" i="13"/>
  <c r="U408" i="13"/>
  <c r="U409" i="13"/>
  <c r="U410" i="13"/>
  <c r="U411" i="13"/>
  <c r="U412" i="13"/>
  <c r="U413" i="13"/>
  <c r="U414" i="13"/>
  <c r="U415" i="13"/>
  <c r="U416" i="13"/>
  <c r="U417" i="13"/>
  <c r="U418" i="13"/>
  <c r="U419" i="13"/>
  <c r="U420" i="13"/>
  <c r="U421" i="13"/>
  <c r="U422" i="13"/>
  <c r="U423" i="13"/>
  <c r="U424" i="13"/>
  <c r="U425" i="13"/>
  <c r="U426" i="13"/>
  <c r="U427" i="13"/>
  <c r="U428" i="13"/>
  <c r="U429" i="13"/>
  <c r="U430" i="13"/>
  <c r="U431" i="13"/>
  <c r="U432" i="13"/>
  <c r="U433" i="13"/>
  <c r="U434" i="13"/>
  <c r="U435" i="13"/>
  <c r="U436" i="13"/>
  <c r="U437" i="13"/>
  <c r="U438" i="13"/>
  <c r="U439" i="13"/>
  <c r="U440" i="13"/>
  <c r="U441" i="13"/>
  <c r="U442" i="13"/>
  <c r="U443" i="13"/>
  <c r="U444" i="13"/>
  <c r="U445" i="13"/>
  <c r="U446" i="13"/>
  <c r="U447" i="13"/>
  <c r="U448" i="13"/>
  <c r="U449" i="13"/>
  <c r="U450" i="13"/>
  <c r="U451" i="13"/>
  <c r="U452" i="13"/>
  <c r="U453" i="13"/>
  <c r="U454" i="13"/>
  <c r="U455" i="13"/>
  <c r="U456" i="13"/>
  <c r="U457" i="13"/>
  <c r="U458" i="13"/>
  <c r="U459" i="13"/>
  <c r="U460" i="13"/>
  <c r="U461" i="13"/>
  <c r="U462" i="13"/>
  <c r="U463" i="13"/>
  <c r="U464" i="13"/>
  <c r="U465" i="13"/>
  <c r="U466" i="13"/>
  <c r="U467" i="13"/>
  <c r="U468" i="13"/>
  <c r="U469" i="13"/>
  <c r="U470" i="13"/>
  <c r="U471" i="13"/>
  <c r="U472" i="13"/>
  <c r="U473" i="13"/>
  <c r="U474" i="13"/>
  <c r="U475" i="13"/>
  <c r="U476" i="13"/>
  <c r="U477" i="13"/>
  <c r="U478" i="13"/>
  <c r="U479" i="13"/>
  <c r="U480" i="13"/>
  <c r="U481" i="13"/>
  <c r="U482" i="13"/>
  <c r="U483" i="13"/>
  <c r="U484" i="13"/>
  <c r="U485" i="13"/>
  <c r="U486" i="13"/>
  <c r="U487" i="13"/>
  <c r="U488" i="13"/>
  <c r="U489" i="13"/>
  <c r="U490" i="13"/>
  <c r="U491" i="13"/>
  <c r="U492" i="13"/>
  <c r="U493" i="13"/>
  <c r="U494" i="13"/>
  <c r="U495" i="13"/>
  <c r="U496" i="13"/>
  <c r="U497" i="13"/>
  <c r="U498" i="13"/>
  <c r="U499" i="13"/>
  <c r="U500" i="13"/>
  <c r="U501" i="13"/>
  <c r="U502" i="13"/>
  <c r="U503" i="13"/>
  <c r="U504" i="13"/>
  <c r="U505" i="13"/>
  <c r="U506" i="13"/>
  <c r="U507" i="13"/>
  <c r="U508" i="13"/>
  <c r="U509" i="13"/>
  <c r="U510" i="13"/>
  <c r="U511" i="13"/>
  <c r="U512" i="13"/>
  <c r="U513" i="13"/>
  <c r="U514" i="13"/>
  <c r="U515" i="13"/>
  <c r="U516" i="13"/>
  <c r="U517" i="13"/>
  <c r="U518" i="13"/>
  <c r="U519" i="13"/>
  <c r="U520" i="13"/>
  <c r="U521" i="13"/>
  <c r="U522" i="13"/>
  <c r="U523" i="13"/>
  <c r="U524" i="13"/>
  <c r="U525" i="13"/>
  <c r="U526" i="13"/>
  <c r="U527" i="13"/>
  <c r="U528" i="13"/>
  <c r="U529" i="13"/>
  <c r="U530" i="13"/>
  <c r="U531" i="13"/>
  <c r="U532" i="13"/>
  <c r="U533" i="13"/>
  <c r="U534" i="13"/>
  <c r="U535" i="13"/>
  <c r="U536" i="13"/>
  <c r="U537" i="13"/>
  <c r="U538" i="13"/>
  <c r="U539" i="13"/>
  <c r="U540" i="13"/>
  <c r="U541" i="13"/>
  <c r="U542" i="13"/>
  <c r="U543" i="13"/>
  <c r="U544" i="13"/>
  <c r="U545" i="13"/>
  <c r="U546" i="13"/>
  <c r="U547" i="13"/>
  <c r="U548" i="13"/>
  <c r="U549" i="13"/>
  <c r="U550" i="13"/>
  <c r="U551" i="13"/>
  <c r="U552" i="13"/>
  <c r="U553" i="13"/>
  <c r="U554" i="13"/>
  <c r="U555" i="13"/>
  <c r="U556" i="13"/>
  <c r="U557" i="13"/>
  <c r="U558" i="13"/>
  <c r="U559" i="13"/>
  <c r="U560" i="13"/>
  <c r="U561" i="13"/>
  <c r="U562" i="13"/>
  <c r="U563" i="13"/>
  <c r="U564" i="13"/>
  <c r="U565" i="13"/>
  <c r="U566" i="13"/>
  <c r="U567" i="13"/>
  <c r="U568" i="13"/>
  <c r="U569" i="13"/>
  <c r="U570" i="13"/>
  <c r="U571" i="13"/>
  <c r="U572" i="13"/>
  <c r="U573" i="13"/>
  <c r="U574" i="13"/>
  <c r="U575" i="13"/>
  <c r="U576" i="13"/>
  <c r="U577" i="13"/>
  <c r="U578" i="13"/>
  <c r="U579" i="13"/>
  <c r="U580" i="13"/>
  <c r="U581" i="13"/>
  <c r="U582" i="13"/>
  <c r="U583" i="13"/>
  <c r="U584" i="13"/>
  <c r="U585" i="13"/>
  <c r="U586" i="13"/>
  <c r="U587" i="13"/>
  <c r="U588" i="13"/>
  <c r="U589" i="13"/>
  <c r="U590" i="13"/>
  <c r="U591" i="13"/>
  <c r="U592" i="13"/>
  <c r="U593" i="13"/>
  <c r="U594" i="13"/>
  <c r="U595" i="13"/>
  <c r="U596" i="13"/>
  <c r="U597" i="13"/>
  <c r="U598" i="13"/>
  <c r="U599" i="13"/>
  <c r="U600" i="13"/>
  <c r="U601" i="13"/>
  <c r="U602" i="13"/>
  <c r="U603" i="13"/>
  <c r="U604" i="13"/>
  <c r="U605" i="13"/>
  <c r="U606" i="13"/>
  <c r="U607" i="13"/>
  <c r="U608" i="13"/>
  <c r="U609" i="13"/>
  <c r="U610" i="13"/>
  <c r="U611" i="13"/>
  <c r="U612" i="13"/>
  <c r="U613" i="13"/>
  <c r="U614" i="13"/>
  <c r="U615" i="13"/>
  <c r="U616" i="13"/>
  <c r="U617" i="13"/>
  <c r="U618" i="13"/>
  <c r="U619" i="13"/>
  <c r="U620" i="13"/>
  <c r="U621" i="13"/>
  <c r="U622" i="13"/>
  <c r="U623" i="13"/>
  <c r="U624" i="13"/>
  <c r="U625" i="13"/>
  <c r="U626" i="13"/>
  <c r="U627" i="13"/>
  <c r="U628" i="13"/>
  <c r="U629" i="13"/>
  <c r="U630" i="13"/>
  <c r="U631" i="13"/>
  <c r="U632" i="13"/>
  <c r="U633" i="13"/>
  <c r="U634" i="13"/>
  <c r="U635" i="13"/>
  <c r="U636" i="13"/>
  <c r="U637" i="13"/>
  <c r="U638" i="13"/>
  <c r="U639" i="13"/>
  <c r="U640" i="13"/>
  <c r="U641" i="13"/>
  <c r="U642" i="13"/>
  <c r="U643" i="13"/>
  <c r="U644" i="13"/>
  <c r="U645" i="13"/>
  <c r="U646" i="13"/>
  <c r="U647" i="13"/>
  <c r="U648" i="13"/>
  <c r="U649" i="13"/>
  <c r="U650" i="13"/>
  <c r="U651" i="13"/>
  <c r="U652" i="13"/>
  <c r="U653" i="13"/>
  <c r="U654" i="13"/>
  <c r="U655" i="13"/>
  <c r="U656" i="13"/>
  <c r="U657" i="13"/>
  <c r="U658" i="13"/>
  <c r="U659" i="13"/>
  <c r="U660" i="13"/>
  <c r="U661" i="13"/>
  <c r="U662" i="13"/>
  <c r="U663" i="13"/>
  <c r="U664" i="13"/>
  <c r="U665" i="13"/>
  <c r="U666" i="13"/>
  <c r="U667" i="13"/>
  <c r="U668" i="13"/>
  <c r="U669" i="13"/>
  <c r="U670" i="13"/>
  <c r="U671" i="13"/>
  <c r="U672" i="13"/>
  <c r="U673" i="13"/>
  <c r="U674" i="13"/>
  <c r="U675" i="13"/>
  <c r="U676" i="13"/>
  <c r="U677" i="13"/>
  <c r="U678" i="13"/>
  <c r="U679" i="13"/>
  <c r="U680" i="13"/>
  <c r="U681" i="13"/>
  <c r="U682" i="13"/>
  <c r="U683" i="13"/>
  <c r="U684" i="13"/>
  <c r="U685" i="13"/>
  <c r="U686" i="13"/>
  <c r="U687" i="13"/>
  <c r="U688" i="13"/>
  <c r="U689" i="13"/>
  <c r="U690" i="13"/>
  <c r="U691" i="13"/>
  <c r="U692" i="13"/>
  <c r="U693" i="13"/>
  <c r="U694" i="13"/>
  <c r="U695" i="13"/>
  <c r="U696" i="13"/>
  <c r="U697" i="13"/>
  <c r="U698" i="13"/>
  <c r="U699" i="13"/>
  <c r="U700" i="13"/>
  <c r="U701" i="13"/>
  <c r="U702" i="13"/>
  <c r="U703" i="13"/>
  <c r="U704" i="13"/>
  <c r="U705" i="13"/>
  <c r="U706" i="13"/>
  <c r="U707" i="13"/>
  <c r="U708" i="13"/>
  <c r="U709" i="13"/>
  <c r="U710" i="13"/>
  <c r="U711" i="13"/>
  <c r="U712" i="13"/>
  <c r="U713" i="13"/>
  <c r="U714" i="13"/>
  <c r="U715" i="13"/>
  <c r="U716" i="13"/>
  <c r="U717" i="13"/>
  <c r="U718" i="13"/>
  <c r="U719" i="13"/>
  <c r="U720" i="13"/>
  <c r="U721" i="13"/>
  <c r="U722" i="13"/>
  <c r="U723" i="13"/>
  <c r="U724" i="13"/>
  <c r="U725" i="13"/>
  <c r="U726" i="13"/>
  <c r="U727" i="13"/>
  <c r="U728" i="13"/>
  <c r="U729" i="13"/>
  <c r="U730" i="13"/>
  <c r="U731" i="13"/>
  <c r="U732" i="13"/>
  <c r="U733" i="13"/>
  <c r="U734" i="13"/>
  <c r="U735" i="13"/>
  <c r="U736" i="13"/>
  <c r="U737" i="13"/>
  <c r="U738" i="13"/>
  <c r="U739" i="13"/>
  <c r="U740" i="13"/>
  <c r="U741" i="13"/>
  <c r="U742" i="13"/>
  <c r="U743" i="13"/>
  <c r="U744" i="13"/>
  <c r="U745" i="13"/>
  <c r="U746" i="13"/>
  <c r="U747" i="13"/>
  <c r="U748" i="13"/>
  <c r="U749" i="13"/>
  <c r="U750" i="13"/>
  <c r="U751" i="13"/>
  <c r="U752" i="13"/>
  <c r="U753" i="13"/>
  <c r="U754" i="13"/>
  <c r="U755" i="13"/>
  <c r="U756" i="13"/>
  <c r="U757" i="13"/>
  <c r="U758" i="13"/>
  <c r="U759" i="13"/>
  <c r="U760" i="13"/>
  <c r="U761" i="13"/>
  <c r="U762" i="13"/>
  <c r="U763" i="13"/>
  <c r="U764" i="13"/>
  <c r="U765" i="13"/>
  <c r="U766" i="13"/>
  <c r="U767" i="13"/>
  <c r="U768" i="13"/>
  <c r="U769" i="13"/>
  <c r="U770" i="13"/>
  <c r="U771" i="13"/>
  <c r="U772" i="13"/>
  <c r="U773" i="13"/>
  <c r="U774" i="13"/>
  <c r="U775" i="13"/>
  <c r="U776" i="13"/>
  <c r="U777" i="13"/>
  <c r="U778" i="13"/>
  <c r="U779" i="13"/>
  <c r="U780" i="13"/>
  <c r="U781" i="13"/>
  <c r="U782" i="13"/>
  <c r="U783" i="13"/>
  <c r="U784" i="13"/>
  <c r="U785" i="13"/>
  <c r="U786" i="13"/>
  <c r="U787" i="13"/>
  <c r="U788" i="13"/>
  <c r="U789" i="13"/>
  <c r="U790" i="13"/>
  <c r="U791" i="13"/>
  <c r="U792" i="13"/>
  <c r="U793" i="13"/>
  <c r="U794" i="13"/>
  <c r="U795" i="13"/>
  <c r="U796" i="13"/>
  <c r="U797" i="13"/>
  <c r="U798" i="13"/>
  <c r="U799" i="13"/>
  <c r="U800" i="13"/>
  <c r="U801" i="13"/>
  <c r="U802" i="13"/>
  <c r="U803" i="13"/>
  <c r="U804" i="13"/>
  <c r="U805" i="13"/>
  <c r="U806" i="13"/>
  <c r="U807" i="13"/>
  <c r="U808" i="13"/>
  <c r="U809" i="13"/>
  <c r="U810" i="13"/>
  <c r="U811" i="13"/>
  <c r="U812" i="13"/>
  <c r="U813" i="13"/>
  <c r="U814" i="13"/>
  <c r="U815" i="13"/>
  <c r="U816" i="13"/>
  <c r="U817" i="13"/>
  <c r="U818" i="13"/>
  <c r="U819" i="13"/>
  <c r="U820" i="13"/>
  <c r="U821" i="13"/>
  <c r="U822" i="13"/>
  <c r="U823" i="13"/>
  <c r="U824" i="13"/>
  <c r="U825" i="13"/>
  <c r="U826" i="13"/>
  <c r="U827" i="13"/>
  <c r="U828" i="13"/>
  <c r="U829" i="13"/>
  <c r="U830" i="13"/>
  <c r="U831" i="13"/>
  <c r="U832" i="13"/>
  <c r="U833" i="13"/>
  <c r="U834" i="13"/>
  <c r="U835" i="13"/>
  <c r="U836" i="13"/>
  <c r="U837" i="13"/>
  <c r="U838" i="13"/>
  <c r="U839" i="13"/>
  <c r="U840" i="13"/>
  <c r="U841" i="13"/>
  <c r="U842" i="13"/>
  <c r="U843" i="13"/>
  <c r="U844" i="13"/>
  <c r="U845" i="13"/>
  <c r="U846" i="13"/>
  <c r="U847" i="13"/>
  <c r="U848" i="13"/>
  <c r="U849" i="13"/>
  <c r="U850" i="13"/>
  <c r="U851" i="13"/>
  <c r="U852" i="13"/>
  <c r="U853" i="13"/>
  <c r="U854" i="13"/>
  <c r="U855" i="13"/>
  <c r="U856" i="13"/>
  <c r="U857" i="13"/>
  <c r="U858" i="13"/>
  <c r="U859" i="13"/>
  <c r="U860" i="13"/>
  <c r="U861" i="13"/>
  <c r="U862" i="13"/>
  <c r="U863" i="13"/>
  <c r="U864" i="13"/>
  <c r="U865" i="13"/>
  <c r="U866" i="13"/>
  <c r="U867" i="13"/>
  <c r="U868" i="13"/>
  <c r="U869" i="13"/>
  <c r="U870" i="13"/>
  <c r="U871" i="13"/>
  <c r="U872" i="13"/>
  <c r="U873" i="13"/>
  <c r="U874" i="13"/>
  <c r="U875" i="13"/>
  <c r="U876" i="13"/>
  <c r="U877" i="13"/>
  <c r="U878" i="13"/>
  <c r="U879" i="13"/>
  <c r="U880" i="13"/>
  <c r="U881" i="13"/>
  <c r="U882" i="13"/>
  <c r="U883" i="13"/>
  <c r="U884" i="13"/>
  <c r="U885" i="13"/>
  <c r="U886" i="13"/>
  <c r="U887" i="13"/>
  <c r="U888" i="13"/>
  <c r="U889" i="13"/>
  <c r="U890" i="13"/>
  <c r="U891" i="13"/>
  <c r="U892" i="13"/>
  <c r="U893" i="13"/>
  <c r="U894" i="13"/>
  <c r="U895" i="13"/>
  <c r="U896" i="13"/>
  <c r="U897" i="13"/>
  <c r="U898" i="13"/>
  <c r="U899" i="13"/>
  <c r="U900" i="13"/>
  <c r="U901" i="13"/>
  <c r="U902" i="13"/>
  <c r="U903" i="13"/>
  <c r="U904" i="13"/>
  <c r="U905" i="13"/>
  <c r="U906" i="13"/>
  <c r="U907" i="13"/>
  <c r="U908" i="13"/>
  <c r="U909" i="13"/>
  <c r="U910" i="13"/>
  <c r="U911" i="13"/>
  <c r="U912" i="13"/>
  <c r="U913" i="13"/>
  <c r="U914" i="13"/>
  <c r="U915" i="13"/>
  <c r="U916" i="13"/>
  <c r="U917" i="13"/>
  <c r="U918" i="13"/>
  <c r="U919" i="13"/>
  <c r="U920" i="13"/>
  <c r="U921" i="13"/>
  <c r="U922" i="13"/>
  <c r="U923" i="13"/>
  <c r="U924" i="13"/>
  <c r="U925" i="13"/>
  <c r="U926" i="13"/>
  <c r="U927" i="13"/>
  <c r="U928" i="13"/>
  <c r="U929" i="13"/>
  <c r="U930" i="13"/>
  <c r="U931" i="13"/>
  <c r="U932" i="13"/>
  <c r="U933" i="13"/>
  <c r="U934" i="13"/>
  <c r="U935" i="13"/>
  <c r="U936" i="13"/>
  <c r="U937" i="13"/>
  <c r="U938" i="13"/>
  <c r="U939" i="13"/>
  <c r="U940" i="13"/>
  <c r="U941" i="13"/>
  <c r="U942" i="13"/>
  <c r="U943" i="13"/>
  <c r="U944" i="13"/>
  <c r="U945" i="13"/>
  <c r="U946" i="13"/>
  <c r="U947" i="13"/>
  <c r="U948" i="13"/>
  <c r="U949" i="13"/>
  <c r="U950" i="13"/>
  <c r="U951" i="13"/>
  <c r="U952" i="13"/>
  <c r="U953" i="13"/>
  <c r="U954" i="13"/>
  <c r="U955" i="13"/>
  <c r="U956" i="13"/>
  <c r="U957" i="13"/>
  <c r="U958" i="13"/>
  <c r="U959" i="13"/>
  <c r="U960" i="13"/>
  <c r="U961" i="13"/>
  <c r="U962" i="13"/>
  <c r="U963" i="13"/>
  <c r="U964" i="13"/>
  <c r="U965" i="13"/>
  <c r="U966" i="13"/>
  <c r="U967" i="13"/>
  <c r="U968" i="13"/>
  <c r="U969" i="13"/>
  <c r="U970" i="13"/>
  <c r="U971" i="13"/>
  <c r="U972" i="13"/>
  <c r="U973" i="13"/>
  <c r="U974" i="13"/>
  <c r="U975" i="13"/>
  <c r="U976" i="13"/>
  <c r="U977" i="13"/>
  <c r="U978" i="13"/>
  <c r="U979" i="13"/>
  <c r="U980" i="13"/>
  <c r="U981" i="13"/>
  <c r="U982" i="13"/>
  <c r="U983" i="13"/>
  <c r="U984" i="13"/>
  <c r="U985" i="13"/>
  <c r="U986" i="13"/>
  <c r="U987" i="13"/>
  <c r="U988" i="13"/>
  <c r="U989" i="13"/>
  <c r="U990" i="13"/>
  <c r="U991" i="13"/>
  <c r="U992" i="13"/>
  <c r="U993" i="13"/>
  <c r="U994" i="13"/>
  <c r="U995" i="13"/>
  <c r="U996" i="13"/>
  <c r="U997" i="13"/>
  <c r="U998" i="13"/>
  <c r="U999" i="13"/>
  <c r="U1000" i="13"/>
  <c r="U1001" i="13"/>
  <c r="O37" i="19"/>
  <c r="AA72" i="17"/>
  <c r="AA73" i="17"/>
  <c r="AA74" i="17"/>
  <c r="AA75" i="17"/>
  <c r="I61" i="19"/>
  <c r="I62" i="19"/>
  <c r="I63" i="19"/>
  <c r="I64" i="19"/>
  <c r="I65" i="19"/>
  <c r="I66" i="19"/>
  <c r="I67" i="19"/>
  <c r="I68" i="19"/>
  <c r="I69" i="19"/>
  <c r="I70" i="19"/>
  <c r="I71" i="19"/>
  <c r="I72" i="19"/>
  <c r="I73" i="19"/>
  <c r="I74" i="19"/>
  <c r="C53" i="20"/>
  <c r="B9" i="19" l="1" a="1"/>
  <c r="L10" i="3"/>
  <c r="M10" i="3"/>
  <c r="N10" i="3"/>
  <c r="I13" i="3"/>
  <c r="H13" i="3"/>
  <c r="G13" i="3"/>
  <c r="F13" i="3"/>
  <c r="AA4" i="3"/>
  <c r="AA5" i="3"/>
  <c r="AA6" i="3"/>
  <c r="AA7" i="3"/>
  <c r="AA8" i="3"/>
  <c r="AA9" i="3"/>
  <c r="AA10" i="3"/>
  <c r="AA11" i="3"/>
  <c r="AA12" i="3"/>
  <c r="AA13" i="3"/>
  <c r="AA14" i="3"/>
  <c r="AA15" i="3"/>
  <c r="AA16" i="3"/>
  <c r="AB17" i="3"/>
  <c r="AA18" i="3"/>
  <c r="AA19" i="3"/>
  <c r="AA20" i="3"/>
  <c r="AA21" i="3"/>
  <c r="AA22" i="3"/>
  <c r="AA23" i="3"/>
  <c r="AA24" i="3"/>
  <c r="AA25" i="3"/>
  <c r="AA26" i="3"/>
  <c r="AA3" i="3"/>
  <c r="L29" i="3"/>
  <c r="C18" i="3"/>
  <c r="N9" i="3"/>
  <c r="M9" i="3"/>
  <c r="L9" i="3"/>
  <c r="N11" i="3"/>
  <c r="M11" i="3"/>
  <c r="L11" i="3"/>
  <c r="N12" i="3"/>
  <c r="M12" i="3"/>
  <c r="L12" i="3"/>
  <c r="L28" i="3"/>
  <c r="C17" i="3"/>
  <c r="C9" i="3"/>
  <c r="C10" i="3"/>
  <c r="C11" i="3"/>
  <c r="C12" i="3"/>
  <c r="C13" i="3"/>
  <c r="C14" i="3"/>
  <c r="C15" i="3"/>
  <c r="L26" i="3"/>
  <c r="L27" i="3"/>
  <c r="C26" i="3"/>
  <c r="C27" i="3"/>
  <c r="F9" i="3"/>
  <c r="G9" i="3"/>
  <c r="H9" i="3"/>
  <c r="I9" i="3"/>
  <c r="F10" i="3"/>
  <c r="G10" i="3"/>
  <c r="H10" i="3"/>
  <c r="I10" i="3"/>
  <c r="F11" i="3"/>
  <c r="G11" i="3"/>
  <c r="H11" i="3"/>
  <c r="I11" i="3"/>
  <c r="F12" i="3"/>
  <c r="G12" i="3"/>
  <c r="H12" i="3"/>
  <c r="I12" i="3"/>
  <c r="F14" i="3"/>
  <c r="G14" i="3"/>
  <c r="H14" i="3"/>
  <c r="I14" i="3"/>
  <c r="F15" i="3"/>
  <c r="G15" i="3"/>
  <c r="H15" i="3"/>
  <c r="I15" i="3"/>
  <c r="C61" i="20"/>
  <c r="C54" i="20"/>
  <c r="C56" i="20"/>
  <c r="C64" i="20"/>
  <c r="C66" i="20"/>
  <c r="C59" i="20"/>
  <c r="C57" i="20"/>
  <c r="C65" i="20"/>
  <c r="C62" i="20"/>
  <c r="C67" i="20"/>
  <c r="C55" i="20"/>
  <c r="C63" i="20"/>
  <c r="C58" i="20"/>
  <c r="C60" i="20"/>
  <c r="B9" i="19" l="1"/>
  <c r="J9" i="28" s="1"/>
  <c r="J43" i="28"/>
  <c r="J51" i="28"/>
  <c r="J32" i="28"/>
  <c r="J11" i="28"/>
  <c r="J19" i="28"/>
  <c r="J27" i="28"/>
  <c r="J44" i="28"/>
  <c r="J52" i="28"/>
  <c r="J33" i="28"/>
  <c r="J12" i="28"/>
  <c r="J20" i="28"/>
  <c r="J45" i="28"/>
  <c r="J53" i="28"/>
  <c r="J34" i="28"/>
  <c r="J13" i="28"/>
  <c r="J21" i="28"/>
  <c r="J46" i="28"/>
  <c r="J40" i="28"/>
  <c r="J35" i="28"/>
  <c r="J14" i="28"/>
  <c r="J22" i="28"/>
  <c r="J47" i="28"/>
  <c r="J28" i="28"/>
  <c r="J36" i="28"/>
  <c r="J15" i="28"/>
  <c r="J23" i="28"/>
  <c r="J48" i="28"/>
  <c r="J29" i="28"/>
  <c r="J37" i="28"/>
  <c r="J16" i="28"/>
  <c r="J24" i="28"/>
  <c r="J41" i="28"/>
  <c r="J49" i="28"/>
  <c r="J30" i="28"/>
  <c r="J38" i="28"/>
  <c r="J17" i="28"/>
  <c r="J25" i="28"/>
  <c r="J10" i="28"/>
  <c r="J42" i="28"/>
  <c r="J50" i="28"/>
  <c r="J31" i="28"/>
  <c r="J39" i="28"/>
  <c r="J18" i="28"/>
  <c r="J26" i="28"/>
  <c r="C32" i="19"/>
  <c r="K32" i="28" s="1"/>
  <c r="D32" i="19"/>
  <c r="L32" i="28" s="1"/>
  <c r="C15" i="19"/>
  <c r="K15" i="28" s="1"/>
  <c r="D15" i="19"/>
  <c r="L15" i="28" s="1"/>
  <c r="D46" i="19"/>
  <c r="L46" i="28" s="1"/>
  <c r="C46" i="19"/>
  <c r="K46" i="28" s="1"/>
  <c r="C38" i="19"/>
  <c r="K38" i="28" s="1"/>
  <c r="D38" i="19"/>
  <c r="L38" i="28" s="1"/>
  <c r="C30" i="19"/>
  <c r="K30" i="28" s="1"/>
  <c r="D30" i="19"/>
  <c r="L30" i="28" s="1"/>
  <c r="C22" i="19"/>
  <c r="K22" i="28" s="1"/>
  <c r="D22" i="19"/>
  <c r="L22" i="28" s="1"/>
  <c r="C14" i="19"/>
  <c r="K14" i="28" s="1"/>
  <c r="D14" i="19"/>
  <c r="L14" i="28" s="1"/>
  <c r="C40" i="19"/>
  <c r="K40" i="28" s="1"/>
  <c r="D40" i="19"/>
  <c r="L40" i="28" s="1"/>
  <c r="C23" i="19"/>
  <c r="K23" i="28" s="1"/>
  <c r="D23" i="19"/>
  <c r="L23" i="28" s="1"/>
  <c r="C53" i="19"/>
  <c r="K53" i="28" s="1"/>
  <c r="D53" i="19"/>
  <c r="L53" i="28" s="1"/>
  <c r="C45" i="19"/>
  <c r="K45" i="28" s="1"/>
  <c r="D45" i="19"/>
  <c r="L45" i="28" s="1"/>
  <c r="C37" i="19"/>
  <c r="K37" i="28" s="1"/>
  <c r="D37" i="19"/>
  <c r="L37" i="28" s="1"/>
  <c r="C29" i="19"/>
  <c r="K29" i="28" s="1"/>
  <c r="D29" i="19"/>
  <c r="L29" i="28" s="1"/>
  <c r="C21" i="19"/>
  <c r="K21" i="28" s="1"/>
  <c r="D21" i="19"/>
  <c r="L21" i="28" s="1"/>
  <c r="C13" i="19"/>
  <c r="K13" i="28" s="1"/>
  <c r="D13" i="19"/>
  <c r="L13" i="28" s="1"/>
  <c r="C31" i="19"/>
  <c r="K31" i="28" s="1"/>
  <c r="D31" i="19"/>
  <c r="L31" i="28" s="1"/>
  <c r="C52" i="19"/>
  <c r="K52" i="28" s="1"/>
  <c r="D52" i="19"/>
  <c r="L52" i="28" s="1"/>
  <c r="C44" i="19"/>
  <c r="K44" i="28" s="1"/>
  <c r="D44" i="19"/>
  <c r="L44" i="28" s="1"/>
  <c r="C36" i="19"/>
  <c r="K36" i="28" s="1"/>
  <c r="D36" i="19"/>
  <c r="L36" i="28" s="1"/>
  <c r="C28" i="19"/>
  <c r="K28" i="28" s="1"/>
  <c r="D28" i="19"/>
  <c r="L28" i="28" s="1"/>
  <c r="C20" i="19"/>
  <c r="K20" i="28" s="1"/>
  <c r="D20" i="19"/>
  <c r="L20" i="28" s="1"/>
  <c r="C12" i="19"/>
  <c r="K12" i="28" s="1"/>
  <c r="D12" i="19"/>
  <c r="L12" i="28" s="1"/>
  <c r="C48" i="19"/>
  <c r="K48" i="28" s="1"/>
  <c r="D48" i="19"/>
  <c r="L48" i="28" s="1"/>
  <c r="C39" i="19"/>
  <c r="K39" i="28" s="1"/>
  <c r="D39" i="19"/>
  <c r="L39" i="28" s="1"/>
  <c r="C51" i="19"/>
  <c r="K51" i="28" s="1"/>
  <c r="D51" i="19"/>
  <c r="L51" i="28" s="1"/>
  <c r="D43" i="19"/>
  <c r="L43" i="28" s="1"/>
  <c r="C43" i="19"/>
  <c r="K43" i="28" s="1"/>
  <c r="C35" i="19"/>
  <c r="K35" i="28" s="1"/>
  <c r="D35" i="19"/>
  <c r="L35" i="28" s="1"/>
  <c r="C27" i="19"/>
  <c r="K27" i="28" s="1"/>
  <c r="D27" i="19"/>
  <c r="L27" i="28" s="1"/>
  <c r="C19" i="19"/>
  <c r="K19" i="28" s="1"/>
  <c r="D19" i="19"/>
  <c r="L19" i="28" s="1"/>
  <c r="C11" i="19"/>
  <c r="K11" i="28" s="1"/>
  <c r="D11" i="19"/>
  <c r="L11" i="28" s="1"/>
  <c r="C24" i="19"/>
  <c r="K24" i="28" s="1"/>
  <c r="D24" i="19"/>
  <c r="L24" i="28" s="1"/>
  <c r="D50" i="19"/>
  <c r="L50" i="28" s="1"/>
  <c r="C50" i="19"/>
  <c r="K50" i="28" s="1"/>
  <c r="D42" i="19"/>
  <c r="L42" i="28" s="1"/>
  <c r="C42" i="19"/>
  <c r="K42" i="28" s="1"/>
  <c r="D34" i="19"/>
  <c r="L34" i="28" s="1"/>
  <c r="C34" i="19"/>
  <c r="K34" i="28" s="1"/>
  <c r="D26" i="19"/>
  <c r="L26" i="28" s="1"/>
  <c r="C26" i="19"/>
  <c r="K26" i="28" s="1"/>
  <c r="D18" i="19"/>
  <c r="L18" i="28" s="1"/>
  <c r="C18" i="19"/>
  <c r="K18" i="28" s="1"/>
  <c r="D10" i="19"/>
  <c r="L10" i="28" s="1"/>
  <c r="C10" i="19"/>
  <c r="K10" i="28" s="1"/>
  <c r="C16" i="19"/>
  <c r="K16" i="28" s="1"/>
  <c r="D16" i="19"/>
  <c r="L16" i="28" s="1"/>
  <c r="C47" i="19"/>
  <c r="K47" i="28" s="1"/>
  <c r="D47" i="19"/>
  <c r="L47" i="28" s="1"/>
  <c r="C49" i="19"/>
  <c r="K49" i="28" s="1"/>
  <c r="D49" i="19"/>
  <c r="L49" i="28" s="1"/>
  <c r="C41" i="19"/>
  <c r="K41" i="28" s="1"/>
  <c r="D41" i="19"/>
  <c r="L41" i="28" s="1"/>
  <c r="C33" i="19"/>
  <c r="K33" i="28" s="1"/>
  <c r="D33" i="19"/>
  <c r="L33" i="28" s="1"/>
  <c r="C25" i="19"/>
  <c r="K25" i="28" s="1"/>
  <c r="D25" i="19"/>
  <c r="L25" i="28" s="1"/>
  <c r="C17" i="19"/>
  <c r="K17" i="28" s="1"/>
  <c r="D17" i="19"/>
  <c r="L17" i="28" s="1"/>
  <c r="C9" i="19"/>
  <c r="K9" i="28" s="1"/>
  <c r="D9" i="19"/>
  <c r="L9" i="28" s="1"/>
  <c r="C16" i="3"/>
  <c r="C28" i="3"/>
  <c r="C29" i="3"/>
  <c r="G27" i="3"/>
  <c r="F27" i="3"/>
  <c r="H26" i="3"/>
  <c r="G26" i="3"/>
  <c r="H29" i="3"/>
  <c r="F26" i="3"/>
  <c r="G29" i="3"/>
  <c r="F28" i="3"/>
  <c r="F29" i="3"/>
  <c r="G28" i="3"/>
  <c r="H27" i="3"/>
  <c r="H28" i="3"/>
  <c r="D57" i="20"/>
  <c r="E56" i="20"/>
  <c r="D61" i="20"/>
  <c r="E55" i="20"/>
  <c r="E54" i="20"/>
  <c r="D54" i="20"/>
  <c r="D60" i="20"/>
  <c r="D55" i="20"/>
  <c r="E66" i="20"/>
  <c r="D62" i="20"/>
  <c r="E57" i="20"/>
  <c r="E65" i="20"/>
  <c r="D56" i="20"/>
  <c r="D63" i="20"/>
  <c r="E63" i="20"/>
  <c r="D59" i="20"/>
  <c r="E61" i="20"/>
  <c r="E62" i="20"/>
  <c r="D64" i="20"/>
  <c r="E60" i="20"/>
  <c r="E58" i="20"/>
  <c r="D65" i="20"/>
  <c r="E64" i="20"/>
  <c r="D58" i="20"/>
  <c r="E67" i="20"/>
  <c r="D66" i="20"/>
  <c r="D67" i="20"/>
  <c r="E59" i="20"/>
  <c r="D37" i="28" l="1"/>
  <c r="E32" i="19"/>
  <c r="M32" i="28" s="1"/>
  <c r="E18" i="19"/>
  <c r="M18" i="28" s="1"/>
  <c r="E50" i="19"/>
  <c r="M50" i="28" s="1"/>
  <c r="E15" i="19"/>
  <c r="M15" i="28" s="1"/>
  <c r="E26" i="19"/>
  <c r="M26" i="28" s="1"/>
  <c r="E46" i="19"/>
  <c r="M46" i="28" s="1"/>
  <c r="E16" i="19"/>
  <c r="M16" i="28" s="1"/>
  <c r="E11" i="19"/>
  <c r="M11" i="28" s="1"/>
  <c r="E12" i="19"/>
  <c r="M12" i="28" s="1"/>
  <c r="E44" i="19"/>
  <c r="M44" i="28" s="1"/>
  <c r="E21" i="19"/>
  <c r="M21" i="28" s="1"/>
  <c r="E53" i="19"/>
  <c r="M53" i="28" s="1"/>
  <c r="E22" i="19"/>
  <c r="M22" i="28" s="1"/>
  <c r="E33" i="19"/>
  <c r="M33" i="28" s="1"/>
  <c r="E10" i="19"/>
  <c r="M10" i="28" s="1"/>
  <c r="E42" i="19"/>
  <c r="M42" i="28" s="1"/>
  <c r="E17" i="19"/>
  <c r="M17" i="28" s="1"/>
  <c r="E49" i="19"/>
  <c r="M49" i="28" s="1"/>
  <c r="E27" i="19"/>
  <c r="M27" i="28" s="1"/>
  <c r="E39" i="19"/>
  <c r="M39" i="28" s="1"/>
  <c r="E28" i="19"/>
  <c r="M28" i="28" s="1"/>
  <c r="E31" i="19"/>
  <c r="M31" i="28" s="1"/>
  <c r="E37" i="19"/>
  <c r="M37" i="28" s="1"/>
  <c r="E40" i="19"/>
  <c r="M40" i="28" s="1"/>
  <c r="E38" i="19"/>
  <c r="M38" i="28" s="1"/>
  <c r="E25" i="19"/>
  <c r="M25" i="28" s="1"/>
  <c r="E24" i="19"/>
  <c r="M24" i="28" s="1"/>
  <c r="E35" i="19"/>
  <c r="M35" i="28" s="1"/>
  <c r="E48" i="19"/>
  <c r="M48" i="28" s="1"/>
  <c r="E36" i="19"/>
  <c r="M36" i="28" s="1"/>
  <c r="E13" i="19"/>
  <c r="M13" i="28" s="1"/>
  <c r="E45" i="19"/>
  <c r="M45" i="28" s="1"/>
  <c r="E14" i="19"/>
  <c r="M14" i="28" s="1"/>
  <c r="E34" i="19"/>
  <c r="M34" i="28" s="1"/>
  <c r="E43" i="19"/>
  <c r="M43" i="28" s="1"/>
  <c r="E47" i="19"/>
  <c r="M47" i="28" s="1"/>
  <c r="E9" i="19"/>
  <c r="E41" i="19"/>
  <c r="M41" i="28" s="1"/>
  <c r="E19" i="19"/>
  <c r="M19" i="28" s="1"/>
  <c r="E51" i="19"/>
  <c r="M51" i="28" s="1"/>
  <c r="E20" i="19"/>
  <c r="M20" i="28" s="1"/>
  <c r="E52" i="19"/>
  <c r="M52" i="28" s="1"/>
  <c r="E29" i="19"/>
  <c r="M29" i="28" s="1"/>
  <c r="E23" i="19"/>
  <c r="M23" i="28" s="1"/>
  <c r="E30" i="19"/>
  <c r="M30" i="28" s="1"/>
  <c r="C13" i="28" l="1"/>
  <c r="M9" i="28"/>
  <c r="C15" i="28"/>
  <c r="C16" i="28"/>
  <c r="G10" i="28"/>
  <c r="G11" i="28"/>
  <c r="C9" i="28"/>
  <c r="C10" i="28"/>
  <c r="C11" i="28"/>
  <c r="C12" i="28"/>
  <c r="G12" i="28" l="1"/>
  <c r="G14" i="28" s="1"/>
  <c r="C14" i="28"/>
  <c r="G13" i="28" l="1"/>
  <c r="N51" i="28" s="1"/>
  <c r="O51" i="28" s="1"/>
  <c r="N46" i="28"/>
  <c r="O46" i="28" s="1"/>
  <c r="N32" i="28"/>
  <c r="O32" i="28" s="1"/>
  <c r="N19" i="28"/>
  <c r="O19" i="28" s="1"/>
  <c r="N43" i="28"/>
  <c r="O43" i="28" s="1"/>
  <c r="N33" i="28"/>
  <c r="O33" i="28" s="1"/>
  <c r="N26" i="28"/>
  <c r="O26" i="28" s="1"/>
  <c r="N12" i="28"/>
  <c r="O12" i="28" s="1"/>
  <c r="N16" i="28"/>
  <c r="O16" i="28" s="1"/>
  <c r="N24" i="28"/>
  <c r="O24" i="28" s="1"/>
  <c r="N49" i="28"/>
  <c r="O49" i="28" s="1"/>
  <c r="N48" i="28"/>
  <c r="O48" i="28" s="1"/>
  <c r="N28" i="28"/>
  <c r="O28" i="28" s="1"/>
  <c r="N35" i="28"/>
  <c r="O35" i="28" s="1"/>
  <c r="N10" i="28"/>
  <c r="O10" i="28" s="1"/>
  <c r="N11" i="28"/>
  <c r="O11" i="28" s="1"/>
  <c r="N21" i="28"/>
  <c r="O21" i="28" s="1"/>
  <c r="N22" i="28"/>
  <c r="O22" i="28" s="1"/>
  <c r="N38" i="28"/>
  <c r="O38" i="28" s="1"/>
  <c r="N39" i="28"/>
  <c r="O39" i="28" s="1"/>
  <c r="N34" i="28" l="1"/>
  <c r="O34" i="28" s="1"/>
  <c r="N17" i="28"/>
  <c r="O17" i="28" s="1"/>
  <c r="N30" i="28"/>
  <c r="O30" i="28" s="1"/>
  <c r="N41" i="28"/>
  <c r="O41" i="28" s="1"/>
  <c r="N45" i="28"/>
  <c r="O45" i="28" s="1"/>
  <c r="N29" i="28"/>
  <c r="O29" i="28" s="1"/>
  <c r="N36" i="28"/>
  <c r="O36" i="28" s="1"/>
  <c r="N31" i="28"/>
  <c r="O31" i="28" s="1"/>
  <c r="N40" i="28"/>
  <c r="O40" i="28" s="1"/>
  <c r="N44" i="28"/>
  <c r="O44" i="28" s="1"/>
  <c r="N18" i="28"/>
  <c r="O18" i="28" s="1"/>
  <c r="N13" i="28"/>
  <c r="O13" i="28" s="1"/>
  <c r="N50" i="28"/>
  <c r="O50" i="28" s="1"/>
  <c r="N9" i="28"/>
  <c r="O9" i="28" s="1"/>
  <c r="N27" i="28"/>
  <c r="O27" i="28" s="1"/>
  <c r="N47" i="28"/>
  <c r="O47" i="28" s="1"/>
  <c r="N52" i="28"/>
  <c r="O52" i="28" s="1"/>
  <c r="N15" i="28"/>
  <c r="O15" i="28" s="1"/>
  <c r="N14" i="28"/>
  <c r="O14" i="28" s="1"/>
  <c r="N23" i="28"/>
  <c r="O23" i="28" s="1"/>
  <c r="N37" i="28"/>
  <c r="O37" i="28" s="1"/>
  <c r="N53" i="28"/>
  <c r="O53" i="28" s="1"/>
  <c r="N25" i="28"/>
  <c r="O25" i="28" s="1"/>
  <c r="N42" i="28"/>
  <c r="O42" i="28" s="1"/>
  <c r="N20" i="28"/>
  <c r="O20" i="28" s="1"/>
  <c r="D39" i="28"/>
  <c r="D38" i="28"/>
  <c r="D40" i="28"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D18B2A6-CE1D-4A28-9FFA-CF3817E03A61}" keepAlive="1" name="Query - Cleaned_dataset1" description="Connection to the 'Cleaned_dataset1' query in the workbook." type="5" refreshedVersion="8" background="1" saveData="1">
    <dbPr connection="Provider=Microsoft.Mashup.OleDb.1;Data Source=$Workbook$;Location=Cleaned_dataset1;Extended Properties=&quot;&quot;" command="SELECT * FROM [Cleaned_dataset1]"/>
  </connection>
  <connection id="2" xr16:uid="{8E6936E3-8779-45B0-97BB-8520E4231FD3}" keepAlive="1" name="Query - Cleaned_dataset2" description="Connection to the 'Cleaned_dataset2' query in the workbook." type="5" refreshedVersion="8" background="1" saveData="1">
    <dbPr connection="Provider=Microsoft.Mashup.OleDb.1;Data Source=$Workbook$;Location=Cleaned_dataset2;Extended Properties=&quot;&quot;" command="SELECT * FROM [Cleaned_dataset2]"/>
  </connection>
  <connection id="3" xr16:uid="{8583F671-1666-46CD-A227-99514A45C721}" keepAlive="1" name="Query - Cleaned_dataset3" description="Connection to the 'Cleaned_dataset3' query in the workbook." type="5" refreshedVersion="8" background="1" saveData="1">
    <dbPr connection="Provider=Microsoft.Mashup.OleDb.1;Data Source=$Workbook$;Location=Cleaned_dataset3;Extended Properties=&quot;&quot;" command="SELECT * FROM [Cleaned_dataset3]"/>
  </connection>
  <connection id="4" xr16:uid="{4ABDE3E7-F5AC-4C6D-B6F5-9F9991D87B2C}" keepAlive="1" name="Query - Cleaned_datasetA" description="Connection to the 'Cleaned_datasetA' query in the workbook." type="5" refreshedVersion="8" background="1" saveData="1">
    <dbPr connection="Provider=Microsoft.Mashup.OleDb.1;Data Source=$Workbook$;Location=Cleaned_datasetA;Extended Properties=&quot;&quot;" command="SELECT * FROM [Cleaned_datasetA]"/>
  </connection>
  <connection id="5" xr16:uid="{E71D7798-4072-4A46-BCD5-C0BF833249C3}" keepAlive="1" name="Query - Cleaned_datasetB" description="Connection to the 'Cleaned_datasetB' query in the workbook." type="5" refreshedVersion="8" background="1" saveData="1">
    <dbPr connection="Provider=Microsoft.Mashup.OleDb.1;Data Source=$Workbook$;Location=Cleaned_datasetB;Extended Properties=&quot;&quot;" command="SELECT * FROM [Cleaned_datasetB]"/>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<sst xmlns="http://schemas.openxmlformats.org/spreadsheetml/2006/main" count="565" uniqueCount="327">
  <si>
    <t>instant</t>
  </si>
  <si>
    <t>dteday</t>
  </si>
  <si>
    <t>season</t>
  </si>
  <si>
    <t>yr</t>
  </si>
  <si>
    <t>mnth</t>
  </si>
  <si>
    <t>hr</t>
  </si>
  <si>
    <t>holiday</t>
  </si>
  <si>
    <t>weekday</t>
  </si>
  <si>
    <t>weathersit</t>
  </si>
  <si>
    <t>temp</t>
  </si>
  <si>
    <t>atemp</t>
  </si>
  <si>
    <t>hum</t>
  </si>
  <si>
    <t>windspeed</t>
  </si>
  <si>
    <t>casual</t>
  </si>
  <si>
    <t>registered</t>
  </si>
  <si>
    <t>cnt</t>
  </si>
  <si>
    <t>Lookup_Tables</t>
  </si>
  <si>
    <t>Weather</t>
  </si>
  <si>
    <t>Day</t>
  </si>
  <si>
    <t>Sunday</t>
  </si>
  <si>
    <t>Monday</t>
  </si>
  <si>
    <t>Tuesday</t>
  </si>
  <si>
    <t>Wednesday</t>
  </si>
  <si>
    <t>Thursday</t>
  </si>
  <si>
    <t>Friday</t>
  </si>
  <si>
    <t>Saturday</t>
  </si>
  <si>
    <t>Day_Name</t>
  </si>
  <si>
    <t>Clear</t>
  </si>
  <si>
    <t>Cloudy</t>
  </si>
  <si>
    <t>Heavy Rain</t>
  </si>
  <si>
    <t>Total Rentals</t>
  </si>
  <si>
    <t>Purpose</t>
  </si>
  <si>
    <t>Weather_Lookup</t>
  </si>
  <si>
    <t>Weekday_Lookup</t>
  </si>
  <si>
    <t>SECTION A — RENTAL DEMAND OVERVIEW</t>
  </si>
  <si>
    <t>Measure</t>
  </si>
  <si>
    <t>Total Casual Rentals</t>
  </si>
  <si>
    <t>Total Registered Rentals</t>
  </si>
  <si>
    <t>Average Rentals per Record</t>
  </si>
  <si>
    <t>Maximum Rentals in a Record</t>
  </si>
  <si>
    <t>Minimum Rentals in a Record</t>
  </si>
  <si>
    <t>Number of Records</t>
  </si>
  <si>
    <t>Casual Rental Share</t>
  </si>
  <si>
    <t>Registered Rental Share</t>
  </si>
  <si>
    <t>Variable</t>
  </si>
  <si>
    <t>Average</t>
  </si>
  <si>
    <t>Minimum</t>
  </si>
  <si>
    <t>Maximum</t>
  </si>
  <si>
    <t>Report Date Range</t>
  </si>
  <si>
    <t>Section B — Descriptive Statistics</t>
  </si>
  <si>
    <t>Section C — Weather–Demand Relationships</t>
  </si>
  <si>
    <t>Section D — Demand by Day Type and Holiday</t>
  </si>
  <si>
    <t>Section E — Weather Condition Summary</t>
  </si>
  <si>
    <t>Section F — Text Functions &amp; Data Checks</t>
  </si>
  <si>
    <t>Record_ID</t>
  </si>
  <si>
    <t>Date</t>
  </si>
  <si>
    <t>Season_Code</t>
  </si>
  <si>
    <t>Year</t>
  </si>
  <si>
    <t>Month</t>
  </si>
  <si>
    <t>Hour</t>
  </si>
  <si>
    <t>Is_Holiday</t>
  </si>
  <si>
    <t>Day_Type</t>
  </si>
  <si>
    <t>Weather_Code</t>
  </si>
  <si>
    <t>Temperature</t>
  </si>
  <si>
    <t>Humidity</t>
  </si>
  <si>
    <t>Wind_Speed</t>
  </si>
  <si>
    <t>Casual_Rentals</t>
  </si>
  <si>
    <t>Registered_Rentals</t>
  </si>
  <si>
    <t>Total_Rentals</t>
  </si>
  <si>
    <t>Weather_Description</t>
  </si>
  <si>
    <t>Day_Code</t>
  </si>
  <si>
    <t>Light Rain</t>
  </si>
  <si>
    <t>Casual Rentals</t>
  </si>
  <si>
    <t>Registered Rentals</t>
  </si>
  <si>
    <t>Wind Speed</t>
  </si>
  <si>
    <t>Average Rentals on Holidays</t>
  </si>
  <si>
    <t>Average Rentals on Non-Holidays</t>
  </si>
  <si>
    <t>Average Rentals on Weekends</t>
  </si>
  <si>
    <t>Average Rentals on Weekdays</t>
  </si>
  <si>
    <t>Count of Records</t>
  </si>
  <si>
    <t>Grand Total</t>
  </si>
  <si>
    <t>Rentals by Hour</t>
  </si>
  <si>
    <t>Rentals by Weekday</t>
  </si>
  <si>
    <t xml:space="preserve"> WEATHER / CONDITIONS ANALYSIS</t>
  </si>
  <si>
    <t>Assumed_Temperature</t>
  </si>
  <si>
    <t>Formula</t>
  </si>
  <si>
    <t>Sample Std Dev</t>
  </si>
  <si>
    <t>Assumed Temperature</t>
  </si>
  <si>
    <t>Light Snow</t>
  </si>
  <si>
    <t xml:space="preserve">Extract Year </t>
  </si>
  <si>
    <t xml:space="preserve">Extract Day </t>
  </si>
  <si>
    <t>BIKE SHARING DEMAND ANALYSIS — Statistical Summary &amp; Data Insights</t>
  </si>
  <si>
    <t>Registered riders account for 91.6% of all rentals, while casual riders account for only 8.4%.</t>
  </si>
  <si>
    <t>Registered users appear less affected by weather, while casual demand is more weather-sensitive.</t>
  </si>
  <si>
    <t>The higher weekday demand and lower holiday/weekend demand suggest that rentals are strongly associated with regular weekday travel.</t>
  </si>
  <si>
    <t>Weekday</t>
  </si>
  <si>
    <t>Weekend</t>
  </si>
  <si>
    <t>Average of Total_Rentals</t>
  </si>
  <si>
    <t>Average of Casual_Rentals</t>
  </si>
  <si>
    <t>Average of Registered_Rentals</t>
  </si>
  <si>
    <t>These are static reference tables used to translate coded values (weather condition, day of week) in the main dataset B</t>
  </si>
  <si>
    <t>TIME ANALYSIS</t>
  </si>
  <si>
    <t>Weather Variable</t>
  </si>
  <si>
    <t>Apparent Temperature</t>
  </si>
  <si>
    <t>Report Date Season</t>
  </si>
  <si>
    <t>Peak Demand Hour</t>
  </si>
  <si>
    <t>Rental demand is higher under Clear and Cloudy conditions and lower under Light Snow. Heavy Rain has only one record, so no general conclusion can be drawn from it.</t>
  </si>
  <si>
    <t>PIVOT TABLE ANALYSIS — Bike Sharing Demand</t>
  </si>
  <si>
    <t>Rentals by Weather Condition</t>
  </si>
  <si>
    <t>Rentals by Working Day</t>
  </si>
  <si>
    <t>Rentals by Humidity</t>
  </si>
  <si>
    <t>Rentals by Windspeed</t>
  </si>
  <si>
    <t>Weather × Working Day</t>
  </si>
  <si>
    <t>Season</t>
  </si>
  <si>
    <t>Winter</t>
  </si>
  <si>
    <t>Spring</t>
  </si>
  <si>
    <t>Summer</t>
  </si>
  <si>
    <t>Fall</t>
  </si>
  <si>
    <t>January</t>
  </si>
  <si>
    <t>February</t>
  </si>
  <si>
    <t>March</t>
  </si>
  <si>
    <t>April</t>
  </si>
  <si>
    <t>May</t>
  </si>
  <si>
    <t>June</t>
  </si>
  <si>
    <t>July</t>
  </si>
  <si>
    <t>August</t>
  </si>
  <si>
    <t>September</t>
  </si>
  <si>
    <t>October</t>
  </si>
  <si>
    <t>November</t>
  </si>
  <si>
    <t>December</t>
  </si>
  <si>
    <t>0.2-0.4</t>
  </si>
  <si>
    <t>0.4-0.6</t>
  </si>
  <si>
    <t>0.6-0.8</t>
  </si>
  <si>
    <t>0.8-1</t>
  </si>
  <si>
    <t>0-0.1</t>
  </si>
  <si>
    <t>0.1-0.2</t>
  </si>
  <si>
    <t>0.2-0.3</t>
  </si>
  <si>
    <t>0.3-0.4</t>
  </si>
  <si>
    <t>0.4-0.5</t>
  </si>
  <si>
    <t>0.5-0.6</t>
  </si>
  <si>
    <t>Working_Day</t>
  </si>
  <si>
    <t>Season_Lookup</t>
  </si>
  <si>
    <t>Month_Lookup</t>
  </si>
  <si>
    <t>Month_Name</t>
  </si>
  <si>
    <t>Rentals by Month</t>
  </si>
  <si>
    <t>Non-Working Day</t>
  </si>
  <si>
    <t>Working Day</t>
  </si>
  <si>
    <t xml:space="preserve"> Rentals by Temperature</t>
  </si>
  <si>
    <t>Hour × Day Type</t>
  </si>
  <si>
    <t xml:space="preserve">Hour </t>
  </si>
  <si>
    <t>Data_Type</t>
  </si>
  <si>
    <t>Working Days</t>
  </si>
  <si>
    <t>Weather Conditions</t>
  </si>
  <si>
    <t>Temperature × Humidity</t>
  </si>
  <si>
    <t>Temp</t>
  </si>
  <si>
    <t>CROSS ANALYSIS</t>
  </si>
  <si>
    <t>Month_Code</t>
  </si>
  <si>
    <t>SECTION A — TIME ANALYSIS</t>
  </si>
  <si>
    <t>Bike Sharing Demand Analysis</t>
  </si>
  <si>
    <t>Avg Rentals by Hour</t>
  </si>
  <si>
    <t>Weekday vs Weekend by Hour</t>
  </si>
  <si>
    <t>Avg Rentals by Day of Week</t>
  </si>
  <si>
    <t>Working Day vs Non-Working</t>
  </si>
  <si>
    <t>SECTION B — WEATHER &amp; ENVIRONMENTAL</t>
  </si>
  <si>
    <t>Avg Rentals by Weather</t>
  </si>
  <si>
    <t xml:space="preserve">Avg Rentals by Humidity </t>
  </si>
  <si>
    <t>SECTION C — RIDER TYPE ANALYSIS</t>
  </si>
  <si>
    <t>Hours</t>
  </si>
  <si>
    <t>Days</t>
  </si>
  <si>
    <t>Windspeed</t>
  </si>
  <si>
    <t>chart5</t>
  </si>
  <si>
    <t>KEY OBSERVATIONS</t>
  </si>
  <si>
    <t>Casual vs Registered Rentals by Hour</t>
  </si>
  <si>
    <t>Average rentals are higher on weekdays than on weekends in this dataset.</t>
  </si>
  <si>
    <t>A. Historical Daily Summary</t>
  </si>
  <si>
    <t>B. FORECAST</t>
  </si>
  <si>
    <t>Forecast Total</t>
  </si>
  <si>
    <t>FORECAST — BIKE SHARING DEMAND</t>
  </si>
  <si>
    <t>C. Forecast Chart</t>
  </si>
  <si>
    <t>Forecast(Forecast Total)</t>
  </si>
  <si>
    <t>Lower Confidence Bound(Forecast Total)</t>
  </si>
  <si>
    <t>Upper Confidence Bound(Forecast Total)</t>
  </si>
  <si>
    <t>D. FORECAST SUMMARY</t>
  </si>
  <si>
    <t>01-Jan-2011 to 14-Feb-2011</t>
  </si>
  <si>
    <t>Forecast Summary</t>
  </si>
  <si>
    <t>Value</t>
  </si>
  <si>
    <t>Historical period</t>
  </si>
  <si>
    <t>Forecast period</t>
  </si>
  <si>
    <t>Average historical daily demand</t>
  </si>
  <si>
    <t>1,295.64 rentals/day</t>
  </si>
  <si>
    <t>Average forecast daily demand</t>
  </si>
  <si>
    <t>1,500.49 rentals/day</t>
  </si>
  <si>
    <t>Row Labels</t>
  </si>
  <si>
    <t>Sum of Total_Rentals</t>
  </si>
  <si>
    <t>15-Feb-2011 to 07 March 2011</t>
  </si>
  <si>
    <t>Historical Trend</t>
  </si>
  <si>
    <t>Forecast</t>
  </si>
  <si>
    <t>Lower Bound</t>
  </si>
  <si>
    <t>Upper Bound</t>
  </si>
  <si>
    <t>Forecast vs Historical Change</t>
  </si>
  <si>
    <t>Sum of Year</t>
  </si>
  <si>
    <t>Sum of Month</t>
  </si>
  <si>
    <t>Sum of Hour</t>
  </si>
  <si>
    <t>Sum of Day_Code</t>
  </si>
  <si>
    <t>Sum of Weather_Code</t>
  </si>
  <si>
    <t>Sum of Assumed_Temperature</t>
  </si>
  <si>
    <t>Sum of Casual_Rentals</t>
  </si>
  <si>
    <t>Sum of Registered_Rentals</t>
  </si>
  <si>
    <t>Date vs total rental</t>
  </si>
  <si>
    <t>Count of Temperature</t>
  </si>
  <si>
    <t>Count of Wind_Speed</t>
  </si>
  <si>
    <t>Count of Humidity</t>
  </si>
  <si>
    <t>Count of Day_Name</t>
  </si>
  <si>
    <t>Count of Date</t>
  </si>
  <si>
    <t>01-Jan</t>
  </si>
  <si>
    <t>02-Jan</t>
  </si>
  <si>
    <t>03-Jan</t>
  </si>
  <si>
    <t>04-Jan</t>
  </si>
  <si>
    <t>05-Jan</t>
  </si>
  <si>
    <t>06-Jan</t>
  </si>
  <si>
    <t>07-Jan</t>
  </si>
  <si>
    <t>08-Jan</t>
  </si>
  <si>
    <t>09-Jan</t>
  </si>
  <si>
    <t>10-Jan</t>
  </si>
  <si>
    <t>11-Jan</t>
  </si>
  <si>
    <t>12-Jan</t>
  </si>
  <si>
    <t>13-Jan</t>
  </si>
  <si>
    <t>14-Jan</t>
  </si>
  <si>
    <t>15-Jan</t>
  </si>
  <si>
    <t>16-Jan</t>
  </si>
  <si>
    <t>19-Jan</t>
  </si>
  <si>
    <t>20-Jan</t>
  </si>
  <si>
    <t>21-Jan</t>
  </si>
  <si>
    <t>22-Jan</t>
  </si>
  <si>
    <t>23-Jan</t>
  </si>
  <si>
    <t>24-Jan</t>
  </si>
  <si>
    <t>25-Jan</t>
  </si>
  <si>
    <t>27-Jan</t>
  </si>
  <si>
    <t>28-Jan</t>
  </si>
  <si>
    <t>29-Jan</t>
  </si>
  <si>
    <t>30-Jan</t>
  </si>
  <si>
    <t>31-Jan</t>
  </si>
  <si>
    <t>02-Feb</t>
  </si>
  <si>
    <t>03-Feb</t>
  </si>
  <si>
    <t>04-Feb</t>
  </si>
  <si>
    <t>05-Feb</t>
  </si>
  <si>
    <t>06-Feb</t>
  </si>
  <si>
    <t>07-Feb</t>
  </si>
  <si>
    <t>08-Feb</t>
  </si>
  <si>
    <t>09-Feb</t>
  </si>
  <si>
    <t>10-Feb</t>
  </si>
  <si>
    <t>11-Feb</t>
  </si>
  <si>
    <t>12-Feb</t>
  </si>
  <si>
    <t>13-Feb</t>
  </si>
  <si>
    <t>14-Feb</t>
  </si>
  <si>
    <t>26-Jan</t>
  </si>
  <si>
    <t>01-Feb</t>
  </si>
  <si>
    <t>18-Jan</t>
  </si>
  <si>
    <t>17-Jan</t>
  </si>
  <si>
    <t>Weather Condition</t>
  </si>
  <si>
    <t>Rentals by Weather Severity</t>
  </si>
  <si>
    <t>Temperature vs Total Rentals</t>
  </si>
  <si>
    <t>ANOMALY ANALYSIS — BIKE SHARING DEMAND</t>
  </si>
  <si>
    <t>Metric</t>
  </si>
  <si>
    <t>Number of Days</t>
  </si>
  <si>
    <t>Average Daily Rentals</t>
  </si>
  <si>
    <t>Median Daily Rentals</t>
  </si>
  <si>
    <t>Q1</t>
  </si>
  <si>
    <t>Q3</t>
  </si>
  <si>
    <t>IQR</t>
  </si>
  <si>
    <t>Minimum Daily Rentals</t>
  </si>
  <si>
    <t>Maximum Daily Rentals</t>
  </si>
  <si>
    <t>Lower Threshold</t>
  </si>
  <si>
    <t>Upper Threshold</t>
  </si>
  <si>
    <t>Casual</t>
  </si>
  <si>
    <t>Registered</t>
  </si>
  <si>
    <t>Status</t>
  </si>
  <si>
    <t>Context</t>
  </si>
  <si>
    <t>D. ANOMALY CHART</t>
  </si>
  <si>
    <t>ANOMALY SUMMARY</t>
  </si>
  <si>
    <t>ANOMALY THRESHOLDS</t>
  </si>
  <si>
    <t>DAILY DEMAND STATISTICAL SUMMARY</t>
  </si>
  <si>
    <t>ANOMALY TABLE</t>
  </si>
  <si>
    <t>Total Days Analyzed</t>
  </si>
  <si>
    <t>High Anomalies</t>
  </si>
  <si>
    <t>Low Anomalies</t>
  </si>
  <si>
    <t>Total Anomalies</t>
  </si>
  <si>
    <t xml:space="preserve">Value </t>
  </si>
  <si>
    <t>BIKE SHARING DEMAND ANALYSIS</t>
  </si>
  <si>
    <t xml:space="preserve"> Dataset Description</t>
  </si>
  <si>
    <t>This project analyzes hourly bike rental data from 1 January to 14 February 2011, covering rental demand along with weather, time, holiday, and user-type information.</t>
  </si>
  <si>
    <t>To understand patterns in bike rental demand and how rentals vary across time, weather conditions, holidays, and user types.</t>
  </si>
  <si>
    <t>WORKBOOK GUIDE</t>
  </si>
  <si>
    <t>Sheet</t>
  </si>
  <si>
    <t>Clean_Dataset1/2/3</t>
  </si>
  <si>
    <t>Prepared datasets used in the analysis</t>
  </si>
  <si>
    <t>Cleaned_DatasetA/B</t>
  </si>
  <si>
    <t>Combined datasets used for analysis</t>
  </si>
  <si>
    <t>Reference tables used for data classification</t>
  </si>
  <si>
    <t>Calculations</t>
  </si>
  <si>
    <t>Key statistics, KPIs, correlations, and data checks</t>
  </si>
  <si>
    <t>Pivot_Analysis</t>
  </si>
  <si>
    <t>Analysis of rental demand across time, weather, day type, and user type</t>
  </si>
  <si>
    <t>Charts and Analysis</t>
  </si>
  <si>
    <t>Visual summary of key patterns and findings</t>
  </si>
  <si>
    <t>Rental demand forecast</t>
  </si>
  <si>
    <t>Anomaly</t>
  </si>
  <si>
    <t>Analysis of unusual daily rental patterns</t>
  </si>
  <si>
    <t>Dashboard</t>
  </si>
  <si>
    <t>Summary of key KPIs, charts, and findings</t>
  </si>
  <si>
    <t>Rental demand shows prominent peaks around the morning and evening commuting hours, particularly around 8 AM and 5 PM.</t>
  </si>
  <si>
    <t>Average rental demand differs across the recorded weather conditions, with the highest average occurring under Clear conditions, declining through Cloudy, Light Rain, and Heavy Rain.</t>
  </si>
  <si>
    <t>Strongest single-variable pattern: rentals nearly halve from low to high humidity</t>
  </si>
  <si>
    <t>Working days average ~64 rentals vs ~48 on non-working days — the clearest evidence of commuter-driven demand.</t>
  </si>
  <si>
    <t>Registered riders show a sharp commute double-peak; casual riders peak once, midday — different systems.</t>
  </si>
  <si>
    <t>Forecast average (1,500/day) is ~16% above historical average (1,296/day) — projects rising demand</t>
  </si>
  <si>
    <t>Only 1 of 45 days flagged — Feb 14, explained by partial-day data (8 of ~24 expected hourly records), not a genuine demand drop</t>
  </si>
  <si>
    <t>Demand is strongest midweek (Tuesday–Thursday), while weekends show significantly lower demand, highlighting the weekday commuter pattern.</t>
  </si>
  <si>
    <t xml:space="preserve">#Registered riders dominate the system (91.6% of all rentals) and ride consistently regardless of weather; casual riders (8.4%) are far more weather-sensitive, especially to temperature.
</t>
  </si>
  <si>
    <t>#Working days show meaningfully higher demand than non-working days, the clearest confirmation of the commuter-driven pattern.</t>
  </si>
  <si>
    <t xml:space="preserve"># Humidity is the strongest single environmental driver — average demand nearly halves from low- to high-humidity hours.
</t>
  </si>
  <si>
    <t xml:space="preserve"># Demand declines steadily as weather worsens, from Clear through Light Rain (Heavy Rain excluded — only 1 record, not statistically reliable).
</t>
  </si>
  <si>
    <t>Months</t>
  </si>
  <si>
    <t>Rentals increase as windspeed increases, but this may be linked to later dates rather than windspeed itself.</t>
  </si>
  <si>
    <t>The average rental demand is 58.30, while the standard deviation is 50.99, showing that the number of rentals can vary significantly from one hour to another.</t>
  </si>
  <si>
    <t xml:space="preserve"># Demand is commuter-driven: weekday demand (~63/record) outpaces weekends (~48/record), and demand peaks sharply at 8 AM and 5 PM.
</t>
  </si>
  <si>
    <t>Hours with zero rentals aren't recorded as rows — confirmed count is never 0 across all 1,000 records.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</si>
</sst>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F800]dddd\,\ mmmm\ dd\,\ yyyy"/>
  </numFmts>
  <fonts count="33">
    <font>
      <sz val="11"/>
      <color theme="1"/>
      <name val="Calibri"/>
      <family val="2"/>
      <scheme val="minor"/>
    </font>
    <font>
      <b/>
      <sz val="11"/>
      <color theme="1"/>
      <name val="Calibri"/>
      <family val="2"/>
      <scheme val="minor"/>
    </font>
    <font>
      <sz val="8"/>
      <name val="Calibri"/>
      <family val="2"/>
      <scheme val="minor"/>
    </font>
    <font>
      <b/>
      <sz val="22"/>
      <color theme="1"/>
      <name val="Calibri"/>
      <family val="2"/>
      <scheme val="minor"/>
    </font>
    <font>
      <sz val="10"/>
      <color theme="1"/>
      <name val="Arial Unicode MS"/>
    </font>
    <font>
      <b/>
      <sz val="11"/>
      <color rgb="FF3F3F3F"/>
      <name val="Calibri"/>
      <family val="2"/>
      <scheme val="minor"/>
    </font>
    <font>
      <sz val="11"/>
      <color rgb="FFFA7D00"/>
      <name val="Calibri"/>
      <family val="2"/>
      <scheme val="minor"/>
    </font>
    <font>
      <b/>
      <sz val="11"/>
      <color theme="0"/>
      <name val="Calibri"/>
      <family val="2"/>
      <scheme val="minor"/>
    </font>
    <font>
      <sz val="11"/>
      <color theme="0"/>
      <name val="Calibri"/>
      <family val="2"/>
      <scheme val="minor"/>
    </font>
    <font>
      <sz val="12"/>
      <color theme="1"/>
      <name val="Calibri"/>
      <family val="2"/>
      <scheme val="minor"/>
    </font>
    <font>
      <sz val="22"/>
      <color theme="1"/>
      <name val="Calibri"/>
      <family val="2"/>
      <scheme val="minor"/>
    </font>
    <font>
      <sz val="12"/>
      <color rgb="FFFA7D00"/>
      <name val="Calibri"/>
      <family val="2"/>
      <scheme val="minor"/>
    </font>
    <font>
      <sz val="11"/>
      <color rgb="FF9C5700"/>
      <name val="Calibri"/>
      <family val="2"/>
      <scheme val="minor"/>
    </font>
    <font>
      <sz val="12"/>
      <color rgb="FF9C5700"/>
      <name val="Calibri"/>
      <family val="2"/>
      <scheme val="minor"/>
    </font>
    <font>
      <sz val="22"/>
      <color theme="0"/>
      <name val="Calibri"/>
      <family val="2"/>
      <scheme val="minor"/>
    </font>
    <font>
      <sz val="11"/>
      <color theme="1"/>
      <name val="Calibri"/>
      <family val="2"/>
      <scheme val="minor"/>
    </font>
    <font>
      <b/>
      <sz val="11"/>
      <color rgb="FF9C5700"/>
      <name val="Calibri"/>
      <family val="2"/>
      <scheme val="minor"/>
    </font>
    <font>
      <sz val="16"/>
      <color theme="0"/>
      <name val="Calibri"/>
      <family val="2"/>
      <scheme val="minor"/>
    </font>
    <font>
      <sz val="16"/>
      <color theme="1"/>
      <name val="Calibri"/>
      <family val="2"/>
      <scheme val="minor"/>
    </font>
    <font>
      <b/>
      <sz val="15"/>
      <color theme="3"/>
      <name val="Calibri"/>
      <family val="2"/>
      <scheme val="minor"/>
    </font>
    <font>
      <b/>
      <sz val="13"/>
      <color theme="3"/>
      <name val="Calibri"/>
      <family val="2"/>
      <scheme val="minor"/>
    </font>
    <font>
      <b/>
      <sz val="11"/>
      <color theme="3"/>
      <name val="Calibri"/>
      <family val="2"/>
      <scheme val="minor"/>
    </font>
    <font>
      <sz val="11"/>
      <color rgb="FF9C0006"/>
      <name val="Calibri"/>
      <family val="2"/>
      <scheme val="minor"/>
    </font>
    <font>
      <sz val="14"/>
      <color theme="0"/>
      <name val="Calibri"/>
      <family val="2"/>
      <scheme val="minor"/>
    </font>
    <font>
      <sz val="14"/>
      <color theme="1"/>
      <name val="Calibri"/>
      <family val="2"/>
      <scheme val="minor"/>
    </font>
    <font>
      <b/>
      <sz val="14"/>
      <color theme="0"/>
      <name val="Calibri"/>
      <family val="2"/>
      <scheme val="minor"/>
    </font>
    <font>
      <b/>
      <sz val="12"/>
      <color theme="1"/>
      <name val="Calibri"/>
      <family val="2"/>
      <scheme val="minor"/>
    </font>
    <font>
      <b/>
      <sz val="16"/>
      <color rgb="FF9C0006"/>
      <name val="Calibri"/>
      <family val="2"/>
      <scheme val="minor"/>
    </font>
    <font>
      <b/>
      <sz val="16"/>
      <color theme="1"/>
      <name val="Calibri Light"/>
      <family val="2"/>
      <scheme val="major"/>
    </font>
    <font>
      <sz val="11"/>
      <color theme="0"/>
      <name val="Calibri Light"/>
      <family val="2"/>
      <scheme val="major"/>
    </font>
    <font>
      <sz val="11"/>
      <color theme="1"/>
      <name val="Calibri Light"/>
      <family val="2"/>
      <scheme val="major"/>
    </font>
    <font>
      <b/>
      <sz val="11"/>
      <color theme="1"/>
      <name val="Calibri Light"/>
      <family val="2"/>
      <scheme val="major"/>
    </font>
    <font>
      <b/>
      <sz val="11"/>
      <color theme="3"/>
      <name val="Calibri Light"/>
      <family val="2"/>
      <scheme val="major"/>
    </font>
  </fonts>
  <fills count="22">
    <fill>
      <patternFill patternType="none"/>
    </fill>
    <fill>
      <patternFill patternType="gray125"/>
    </fill>
    <fill>
      <patternFill patternType="solid">
        <fgColor theme="4" tint="0.39997558519241921"/>
        <bgColor indexed="64"/>
      </patternFill>
    </fill>
    <fill>
      <patternFill patternType="solid">
        <fgColor theme="2"/>
        <bgColor indexed="64"/>
      </patternFill>
    </fill>
    <fill>
      <patternFill patternType="solid">
        <fgColor rgb="FFF2F2F2"/>
      </patternFill>
    </fill>
    <fill>
      <patternFill patternType="solid">
        <fgColor theme="4"/>
      </patternFill>
    </fill>
    <fill>
      <patternFill patternType="solid">
        <fgColor theme="8"/>
        <bgColor indexed="64"/>
      </patternFill>
    </fill>
    <fill>
      <patternFill patternType="solid">
        <fgColor theme="9"/>
        <bgColor indexed="64"/>
      </patternFill>
    </fill>
    <fill>
      <patternFill patternType="solid">
        <fgColor theme="5"/>
        <bgColor indexed="64"/>
      </patternFill>
    </fill>
    <fill>
      <patternFill patternType="solid">
        <fgColor theme="3" tint="-0.249977111117893"/>
        <bgColor indexed="64"/>
      </patternFill>
    </fill>
    <fill>
      <patternFill patternType="solid">
        <fgColor rgb="FFFFEB9C"/>
      </patternFill>
    </fill>
    <fill>
      <patternFill patternType="solid">
        <fgColor theme="5"/>
      </patternFill>
    </fill>
    <fill>
      <patternFill patternType="solid">
        <fgColor rgb="FFA5A5A5"/>
      </patternFill>
    </fill>
    <fill>
      <patternFill patternType="solid">
        <fgColor theme="7" tint="0.59999389629810485"/>
        <bgColor indexed="65"/>
      </patternFill>
    </fill>
    <fill>
      <patternFill patternType="solid">
        <fgColor theme="8"/>
      </patternFill>
    </fill>
    <fill>
      <patternFill patternType="solid">
        <fgColor rgb="FFFFC7CE"/>
      </patternFill>
    </fill>
    <fill>
      <patternFill patternType="solid">
        <fgColor theme="4" tint="0.79998168889431442"/>
        <bgColor indexed="65"/>
      </patternFill>
    </fill>
    <fill>
      <patternFill patternType="solid">
        <fgColor theme="6" tint="0.79998168889431442"/>
        <bgColor indexed="65"/>
      </patternFill>
    </fill>
    <fill>
      <patternFill patternType="solid">
        <fgColor theme="6" tint="0.59999389629810485"/>
        <bgColor indexed="65"/>
      </patternFill>
    </fill>
    <fill>
      <patternFill patternType="solid">
        <fgColor theme="4"/>
        <bgColor indexed="64"/>
      </patternFill>
    </fill>
    <fill>
      <patternFill patternType="solid">
        <fgColor theme="0"/>
        <bgColor indexed="64"/>
      </patternFill>
    </fill>
    <fill>
      <patternFill patternType="solid">
        <fgColor theme="5" tint="0.39997558519241921"/>
        <bgColor indexed="64"/>
      </patternFill>
    </fill>
  </fills>
  <borders count="28">
    <border>
      <left/>
      <right/>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top style="thin">
        <color indexed="64"/>
      </top>
      <bottom/>
      <diagonal/>
    </border>
    <border>
      <left style="thin">
        <color rgb="FF3F3F3F"/>
      </left>
      <right/>
      <top/>
      <bottom/>
      <diagonal/>
    </border>
    <border>
      <left style="thin">
        <color rgb="FF3F3F3F"/>
      </left>
      <right/>
      <top/>
      <bottom style="thin">
        <color indexed="64"/>
      </bottom>
      <diagonal/>
    </border>
    <border>
      <left style="thin">
        <color indexed="64"/>
      </left>
      <right style="thin">
        <color indexed="64"/>
      </right>
      <top style="thin">
        <color indexed="64"/>
      </top>
      <bottom/>
      <diagonal/>
    </border>
    <border>
      <left style="double">
        <color rgb="FF3F3F3F"/>
      </left>
      <right style="double">
        <color rgb="FF3F3F3F"/>
      </right>
      <top style="double">
        <color rgb="FF3F3F3F"/>
      </top>
      <bottom style="double">
        <color rgb="FF3F3F3F"/>
      </bottom>
      <diagonal/>
    </border>
    <border>
      <left/>
      <right/>
      <top style="double">
        <color rgb="FF3F3F3F"/>
      </top>
      <bottom style="double">
        <color rgb="FF3F3F3F"/>
      </bottom>
      <diagonal/>
    </border>
    <border>
      <left/>
      <right style="double">
        <color rgb="FF3F3F3F"/>
      </right>
      <top style="double">
        <color rgb="FF3F3F3F"/>
      </top>
      <bottom style="double">
        <color rgb="FF3F3F3F"/>
      </bottom>
      <diagonal/>
    </border>
    <border>
      <left/>
      <right/>
      <top/>
      <bottom style="thick">
        <color theme="4"/>
      </bottom>
      <diagonal/>
    </border>
    <border>
      <left/>
      <right/>
      <top/>
      <bottom style="thick">
        <color theme="4" tint="0.499984740745262"/>
      </bottom>
      <diagonal/>
    </border>
    <border>
      <left style="medium">
        <color indexed="64"/>
      </left>
      <right style="medium">
        <color indexed="64"/>
      </right>
      <top style="medium">
        <color indexed="64"/>
      </top>
      <bottom style="medium">
        <color indexed="64"/>
      </bottom>
      <diagonal/>
    </border>
  </borders>
  <cellStyleXfs count="16">
    <xf numFmtId="0" fontId="0" fillId="0" borderId="0"/>
    <xf numFmtId="0" fontId="5" fillId="4" borderId="7" applyNumberFormat="0" applyAlignment="0" applyProtection="0"/>
    <xf numFmtId="0" fontId="6" fillId="0" borderId="8" applyNumberFormat="0" applyFill="0" applyAlignment="0" applyProtection="0"/>
    <xf numFmtId="0" fontId="8" fillId="5" borderId="0" applyNumberFormat="0" applyBorder="0" applyAlignment="0" applyProtection="0"/>
    <xf numFmtId="0" fontId="12" fillId="10" borderId="0" applyNumberFormat="0" applyBorder="0" applyAlignment="0" applyProtection="0"/>
    <xf numFmtId="0" fontId="8" fillId="11" borderId="0" applyNumberFormat="0" applyBorder="0" applyAlignment="0" applyProtection="0"/>
    <xf numFmtId="0" fontId="7" fillId="12" borderId="22" applyNumberFormat="0" applyAlignment="0" applyProtection="0"/>
    <xf numFmtId="0" fontId="15" fillId="13" borderId="0" applyNumberFormat="0" applyBorder="0" applyAlignment="0" applyProtection="0"/>
    <xf numFmtId="0" fontId="8" fillId="14" borderId="0" applyNumberFormat="0" applyBorder="0" applyAlignment="0" applyProtection="0"/>
    <xf numFmtId="0" fontId="19" fillId="0" borderId="25" applyNumberFormat="0" applyFill="0" applyAlignment="0" applyProtection="0"/>
    <xf numFmtId="0" fontId="20" fillId="0" borderId="26" applyNumberFormat="0" applyFill="0" applyAlignment="0" applyProtection="0"/>
    <xf numFmtId="0" fontId="21" fillId="0" borderId="0" applyNumberFormat="0" applyFill="0" applyBorder="0" applyAlignment="0" applyProtection="0"/>
    <xf numFmtId="0" fontId="22" fillId="15" borderId="0" applyNumberFormat="0" applyBorder="0" applyAlignment="0" applyProtection="0"/>
    <xf numFmtId="0" fontId="15" fillId="16" borderId="0" applyNumberFormat="0" applyBorder="0" applyAlignment="0" applyProtection="0"/>
    <xf numFmtId="0" fontId="15" fillId="17" borderId="0" applyNumberFormat="0" applyBorder="0" applyAlignment="0" applyProtection="0"/>
    <xf numFmtId="0" fontId="15" fillId="18" borderId="0" applyNumberFormat="0" applyBorder="0" applyAlignment="0" applyProtection="0"/>
  </cellStyleXfs>
  <cellXfs count="140">
    <xf numFmtId="0" fontId="0" fillId="0" borderId="0" xfId="0"/>
    <xf numFmtId="0" fontId="0" fillId="0" borderId="0" xfId="0" applyNumberFormat="1"/>
    <xf numFmtId="14" fontId="0" fillId="0" borderId="0" xfId="0" applyNumberFormat="1"/>
    <xf numFmtId="0" fontId="0" fillId="0" borderId="0" xfId="0" applyAlignment="1">
      <alignment horizontal="center"/>
    </xf>
    <xf numFmtId="0" fontId="0" fillId="0" borderId="1" xfId="0" applyBorder="1" applyAlignment="1">
      <alignment horizontal="left"/>
    </xf>
    <xf numFmtId="0" fontId="0" fillId="0" borderId="3" xfId="0" applyBorder="1" applyAlignment="1">
      <alignment horizontal="left"/>
    </xf>
    <xf numFmtId="0" fontId="0" fillId="0" borderId="2" xfId="0" applyBorder="1" applyAlignment="1">
      <alignment horizontal="left"/>
    </xf>
    <xf numFmtId="0" fontId="0" fillId="0" borderId="4" xfId="0" applyBorder="1" applyAlignment="1">
      <alignment horizontal="left"/>
    </xf>
    <xf numFmtId="0" fontId="0" fillId="3" borderId="5" xfId="0" applyFill="1" applyBorder="1" applyAlignment="1">
      <alignment horizontal="left"/>
    </xf>
    <xf numFmtId="0" fontId="0" fillId="3" borderId="6" xfId="0" applyFill="1" applyBorder="1" applyAlignment="1">
      <alignment horizontal="left"/>
    </xf>
    <xf numFmtId="0" fontId="0" fillId="0" borderId="0" xfId="0" applyAlignment="1">
      <alignment horizontal="left"/>
    </xf>
    <xf numFmtId="0" fontId="0" fillId="0" borderId="0" xfId="0" applyAlignment="1">
      <alignment horizontal="left" vertical="center" wrapText="1"/>
    </xf>
    <xf numFmtId="0" fontId="9" fillId="0" borderId="0" xfId="0" applyFont="1"/>
    <xf numFmtId="0" fontId="0" fillId="0" borderId="10" xfId="0" applyBorder="1" applyAlignment="1">
      <alignment horizontal="left" vertical="center" wrapText="1"/>
    </xf>
    <xf numFmtId="0" fontId="4" fillId="0" borderId="11" xfId="0" applyFont="1" applyBorder="1" applyAlignment="1">
      <alignment horizontal="left" vertical="center" wrapText="1"/>
    </xf>
    <xf numFmtId="0" fontId="0" fillId="0" borderId="12" xfId="0" applyBorder="1" applyAlignment="1">
      <alignment horizontal="left" vertical="center" wrapText="1"/>
    </xf>
    <xf numFmtId="0" fontId="4" fillId="0" borderId="13" xfId="0" applyFont="1" applyBorder="1" applyAlignment="1">
      <alignment horizontal="left" vertical="center" wrapText="1"/>
    </xf>
    <xf numFmtId="0" fontId="4" fillId="0" borderId="0" xfId="0" applyFont="1" applyBorder="1" applyAlignment="1">
      <alignment horizontal="left" vertical="center" wrapText="1"/>
    </xf>
    <xf numFmtId="0" fontId="4" fillId="0" borderId="14" xfId="0" applyFont="1" applyBorder="1" applyAlignment="1">
      <alignment horizontal="left" vertical="center" wrapText="1"/>
    </xf>
    <xf numFmtId="0" fontId="1" fillId="0" borderId="15" xfId="0" applyFont="1" applyBorder="1" applyAlignment="1">
      <alignment horizontal="left" vertical="center" wrapText="1"/>
    </xf>
    <xf numFmtId="0" fontId="1" fillId="0" borderId="16" xfId="0" applyFont="1" applyBorder="1" applyAlignment="1">
      <alignment horizontal="left" vertical="center" wrapText="1"/>
    </xf>
    <xf numFmtId="0" fontId="1" fillId="0" borderId="17" xfId="0" applyFont="1" applyBorder="1" applyAlignment="1">
      <alignment horizontal="left" vertical="center" wrapText="1"/>
    </xf>
    <xf numFmtId="0" fontId="0" fillId="0" borderId="0" xfId="0" applyNumberFormat="1" applyAlignment="1">
      <alignment horizontal="left"/>
    </xf>
    <xf numFmtId="14" fontId="0" fillId="0" borderId="0" xfId="0" applyNumberFormat="1" applyAlignment="1">
      <alignment horizontal="left"/>
    </xf>
    <xf numFmtId="0" fontId="11" fillId="0" borderId="8" xfId="2" applyFont="1" applyAlignment="1">
      <alignment horizontal="left" vertical="center" wrapText="1"/>
    </xf>
    <xf numFmtId="0" fontId="4" fillId="0" borderId="0" xfId="0" applyFont="1" applyAlignment="1">
      <alignment horizontal="left" vertical="center" wrapText="1"/>
    </xf>
    <xf numFmtId="0" fontId="0" fillId="0" borderId="0" xfId="0" applyBorder="1" applyAlignment="1">
      <alignment horizontal="left" vertical="center" wrapText="1"/>
    </xf>
    <xf numFmtId="0" fontId="9" fillId="0" borderId="0" xfId="0" applyFont="1" applyAlignment="1">
      <alignment horizontal="left" vertical="center"/>
    </xf>
    <xf numFmtId="0" fontId="0" fillId="0" borderId="0" xfId="0" applyAlignment="1">
      <alignment horizontal="left" vertical="center"/>
    </xf>
    <xf numFmtId="0" fontId="0" fillId="0" borderId="0" xfId="0" pivotButton="1"/>
    <xf numFmtId="0" fontId="5" fillId="4" borderId="19" xfId="1" applyBorder="1" applyAlignment="1">
      <alignment horizontal="left"/>
    </xf>
    <xf numFmtId="0" fontId="5" fillId="4" borderId="0" xfId="1" applyBorder="1" applyAlignment="1">
      <alignment horizontal="left"/>
    </xf>
    <xf numFmtId="0" fontId="5" fillId="4" borderId="20" xfId="1" applyBorder="1" applyAlignment="1">
      <alignment horizontal="left"/>
    </xf>
    <xf numFmtId="0" fontId="5" fillId="4" borderId="14" xfId="1" applyBorder="1" applyAlignment="1">
      <alignment horizontal="left"/>
    </xf>
    <xf numFmtId="0" fontId="0" fillId="0" borderId="0" xfId="0" applyBorder="1" applyAlignment="1">
      <alignment horizontal="center" vertical="center" wrapText="1"/>
    </xf>
    <xf numFmtId="0" fontId="1" fillId="0" borderId="0" xfId="0" applyFont="1" applyAlignment="1">
      <alignment horizontal="center" vertical="center" wrapText="1"/>
    </xf>
    <xf numFmtId="0" fontId="0" fillId="0" borderId="0" xfId="0" applyAlignment="1">
      <alignment vertical="center" wrapText="1"/>
    </xf>
    <xf numFmtId="0" fontId="1" fillId="0" borderId="9" xfId="0" applyFont="1" applyBorder="1" applyAlignment="1">
      <alignment horizontal="left" vertical="center" wrapText="1"/>
    </xf>
    <xf numFmtId="0" fontId="0" fillId="0" borderId="9" xfId="0" applyBorder="1" applyAlignment="1">
      <alignment horizontal="left" vertical="center" wrapText="1"/>
    </xf>
    <xf numFmtId="0" fontId="4" fillId="0" borderId="9" xfId="0" applyFont="1" applyBorder="1" applyAlignment="1">
      <alignment horizontal="left" vertical="center" wrapText="1"/>
    </xf>
    <xf numFmtId="0" fontId="0" fillId="0" borderId="9" xfId="0" applyBorder="1"/>
    <xf numFmtId="0" fontId="0" fillId="0" borderId="0" xfId="0" applyAlignment="1">
      <alignment horizontal="right" vertical="center" wrapText="1"/>
    </xf>
    <xf numFmtId="0" fontId="8" fillId="11" borderId="9" xfId="5" applyBorder="1" applyAlignment="1">
      <alignment horizontal="left" vertical="center" wrapText="1"/>
    </xf>
    <xf numFmtId="0" fontId="0" fillId="0" borderId="11" xfId="0" applyBorder="1" applyAlignment="1">
      <alignment horizontal="left" vertical="center" wrapText="1"/>
    </xf>
    <xf numFmtId="0" fontId="0" fillId="0" borderId="13" xfId="0" applyBorder="1" applyAlignment="1">
      <alignment horizontal="left" vertical="center" wrapText="1"/>
    </xf>
    <xf numFmtId="0" fontId="12" fillId="10" borderId="15" xfId="4" applyBorder="1" applyAlignment="1">
      <alignment horizontal="left" vertical="center" wrapText="1"/>
    </xf>
    <xf numFmtId="0" fontId="12" fillId="10" borderId="16" xfId="4" applyBorder="1" applyAlignment="1">
      <alignment horizontal="left" vertical="center" wrapText="1"/>
    </xf>
    <xf numFmtId="0" fontId="1" fillId="0" borderId="0" xfId="0" applyFont="1" applyAlignment="1">
      <alignment horizontal="center" vertical="center"/>
    </xf>
    <xf numFmtId="0" fontId="0" fillId="0" borderId="0" xfId="0" applyAlignment="1">
      <alignment horizontal="left" vertical="top" wrapText="1"/>
    </xf>
    <xf numFmtId="0" fontId="0" fillId="0" borderId="0" xfId="0" applyAlignment="1">
      <alignment vertical="center" wrapText="1"/>
    </xf>
    <xf numFmtId="0" fontId="11" fillId="0" borderId="8" xfId="2" applyFont="1" applyAlignment="1">
      <alignment horizontal="left" vertical="center"/>
    </xf>
    <xf numFmtId="0" fontId="0" fillId="0" borderId="0" xfId="0"/>
    <xf numFmtId="0" fontId="0" fillId="0" borderId="9" xfId="0" applyBorder="1" applyAlignment="1">
      <alignment vertical="center" wrapText="1"/>
    </xf>
    <xf numFmtId="164" fontId="0" fillId="0" borderId="9" xfId="0" applyNumberFormat="1" applyBorder="1" applyAlignment="1">
      <alignment vertical="center" wrapText="1"/>
    </xf>
    <xf numFmtId="164" fontId="0" fillId="0" borderId="9" xfId="0" applyNumberFormat="1" applyBorder="1"/>
    <xf numFmtId="164" fontId="0" fillId="0" borderId="0" xfId="0" applyNumberFormat="1"/>
    <xf numFmtId="2" fontId="0" fillId="0" borderId="0" xfId="0" applyNumberFormat="1"/>
    <xf numFmtId="164" fontId="0" fillId="0" borderId="0" xfId="0" applyNumberFormat="1" applyAlignment="1">
      <alignment horizontal="left"/>
    </xf>
    <xf numFmtId="2" fontId="0" fillId="0" borderId="0" xfId="0" applyNumberFormat="1" applyAlignment="1">
      <alignment horizontal="left"/>
    </xf>
    <xf numFmtId="14" fontId="7" fillId="5" borderId="9" xfId="3" applyNumberFormat="1" applyFont="1" applyBorder="1" applyAlignment="1">
      <alignment horizontal="left" vertical="center" wrapText="1"/>
    </xf>
    <xf numFmtId="0" fontId="7" fillId="5" borderId="9" xfId="3" applyFont="1" applyBorder="1" applyAlignment="1">
      <alignment horizontal="left" vertical="center"/>
    </xf>
    <xf numFmtId="0" fontId="24" fillId="0" borderId="0" xfId="0" applyFont="1" applyAlignment="1">
      <alignment horizontal="center" vertical="center"/>
    </xf>
    <xf numFmtId="0" fontId="25" fillId="19" borderId="9" xfId="0" applyFont="1" applyFill="1" applyBorder="1" applyAlignment="1">
      <alignment horizontal="center" vertical="center" wrapText="1"/>
    </xf>
    <xf numFmtId="0" fontId="26" fillId="20" borderId="9" xfId="0" applyFont="1" applyFill="1" applyBorder="1" applyAlignment="1">
      <alignment horizontal="left" vertical="top" wrapText="1"/>
    </xf>
    <xf numFmtId="0" fontId="26" fillId="16" borderId="9" xfId="13" applyFont="1" applyBorder="1" applyAlignment="1">
      <alignment horizontal="left" vertical="top" wrapText="1"/>
    </xf>
    <xf numFmtId="0" fontId="26" fillId="16" borderId="21" xfId="13" applyFont="1" applyBorder="1" applyAlignment="1">
      <alignment horizontal="left" vertical="top" wrapText="1"/>
    </xf>
    <xf numFmtId="0" fontId="1" fillId="0" borderId="27" xfId="0" applyFont="1" applyBorder="1"/>
    <xf numFmtId="0" fontId="0" fillId="0" borderId="0" xfId="0" applyAlignment="1">
      <alignment horizontal="left" indent="1"/>
    </xf>
    <xf numFmtId="0" fontId="0" fillId="0" borderId="0" xfId="0" applyAlignment="1">
      <alignment horizontal="left" indent="2"/>
    </xf>
    <xf numFmtId="0" fontId="1" fillId="0" borderId="27" xfId="0" applyFont="1" applyBorder="1" applyAlignment="1">
      <alignment horizontal="center" vertical="center" wrapText="1"/>
    </xf>
    <xf numFmtId="0" fontId="0" fillId="0" borderId="27" xfId="0" applyBorder="1" applyAlignment="1">
      <alignment vertical="center" wrapText="1"/>
    </xf>
    <xf numFmtId="0" fontId="4" fillId="0" borderId="27" xfId="0" applyFont="1" applyBorder="1" applyAlignment="1">
      <alignment vertical="center" wrapText="1"/>
    </xf>
    <xf numFmtId="0" fontId="0" fillId="0" borderId="27" xfId="0" applyBorder="1" applyAlignment="1">
      <alignment vertical="center"/>
    </xf>
    <xf numFmtId="0" fontId="4" fillId="0" borderId="27" xfId="0" applyFont="1" applyBorder="1" applyAlignment="1">
      <alignment vertical="center"/>
    </xf>
    <xf numFmtId="164" fontId="4" fillId="0" borderId="0" xfId="0" applyNumberFormat="1" applyFont="1" applyAlignment="1">
      <alignment vertical="center"/>
    </xf>
    <xf numFmtId="164" fontId="4" fillId="0" borderId="27" xfId="0" applyNumberFormat="1" applyFont="1" applyBorder="1" applyAlignment="1">
      <alignment vertical="center"/>
    </xf>
    <xf numFmtId="0" fontId="4" fillId="0" borderId="27" xfId="0" applyFont="1" applyBorder="1" applyAlignment="1">
      <alignment horizontal="right" vertical="center"/>
    </xf>
    <xf numFmtId="0" fontId="22" fillId="15" borderId="27" xfId="12" applyBorder="1" applyAlignment="1">
      <alignment horizontal="center" vertical="center" wrapText="1"/>
    </xf>
    <xf numFmtId="0" fontId="22" fillId="15" borderId="27" xfId="12" applyBorder="1" applyAlignment="1">
      <alignment horizontal="center" vertical="center"/>
    </xf>
    <xf numFmtId="0" fontId="22" fillId="15" borderId="27" xfId="12" applyBorder="1" applyAlignment="1">
      <alignment horizontal="right" vertical="center"/>
    </xf>
    <xf numFmtId="0" fontId="30" fillId="0" borderId="0" xfId="0" applyFont="1"/>
    <xf numFmtId="0" fontId="32" fillId="0" borderId="0" xfId="11" applyFont="1" applyAlignment="1">
      <alignment horizontal="left" vertical="top" wrapText="1"/>
    </xf>
    <xf numFmtId="0" fontId="0" fillId="0" borderId="27" xfId="0" applyBorder="1" applyAlignment="1">
      <alignment horizontal="left" vertical="top"/>
    </xf>
    <xf numFmtId="0" fontId="4" fillId="0" borderId="27" xfId="0" applyFont="1" applyBorder="1" applyAlignment="1">
      <alignment horizontal="left" vertical="top"/>
    </xf>
    <xf numFmtId="0" fontId="0" fillId="0" borderId="0" xfId="0" applyBorder="1" applyAlignment="1">
      <alignment horizontal="left" vertical="center"/>
    </xf>
    <xf numFmtId="0" fontId="1" fillId="0" borderId="0" xfId="0" applyFont="1" applyAlignment="1">
      <alignment horizontal="left" vertical="center" wrapText="1"/>
    </xf>
    <xf numFmtId="0" fontId="0" fillId="0" borderId="9" xfId="0" applyBorder="1" applyAlignment="1">
      <alignment horizontal="left" vertical="center"/>
    </xf>
    <xf numFmtId="0" fontId="0" fillId="0" borderId="10" xfId="0" applyFont="1" applyBorder="1" applyAlignment="1">
      <alignment horizontal="left" vertical="center" wrapText="1"/>
    </xf>
    <xf numFmtId="0" fontId="0" fillId="0" borderId="12" xfId="0" applyFont="1" applyBorder="1" applyAlignment="1">
      <alignment horizontal="left" vertical="center" wrapText="1"/>
    </xf>
    <xf numFmtId="0" fontId="15" fillId="18" borderId="27" xfId="15" applyBorder="1" applyAlignment="1">
      <alignment horizontal="left" vertical="top" wrapText="1"/>
    </xf>
    <xf numFmtId="0" fontId="0" fillId="0" borderId="27" xfId="0" applyFont="1" applyBorder="1" applyAlignment="1">
      <alignment horizontal="left" vertical="top" wrapText="1"/>
    </xf>
    <xf numFmtId="0" fontId="19" fillId="0" borderId="25" xfId="9"/>
    <xf numFmtId="0" fontId="28" fillId="21" borderId="25" xfId="4" applyFont="1" applyFill="1" applyBorder="1" applyAlignment="1">
      <alignment horizontal="center" vertical="center"/>
    </xf>
    <xf numFmtId="0" fontId="29" fillId="21" borderId="25" xfId="4" applyFont="1" applyFill="1" applyBorder="1" applyAlignment="1">
      <alignment horizontal="center" vertical="center"/>
    </xf>
    <xf numFmtId="0" fontId="31" fillId="0" borderId="0" xfId="11" applyFont="1" applyAlignment="1">
      <alignment horizontal="left" vertical="top" wrapText="1"/>
    </xf>
    <xf numFmtId="0" fontId="0" fillId="0" borderId="0" xfId="0" applyAlignment="1">
      <alignment horizontal="left" vertical="top" wrapText="1"/>
    </xf>
    <xf numFmtId="0" fontId="16" fillId="10" borderId="15" xfId="4" applyFont="1" applyBorder="1" applyAlignment="1">
      <alignment horizontal="center" vertical="center"/>
    </xf>
    <xf numFmtId="0" fontId="16" fillId="10" borderId="16" xfId="4" applyFont="1" applyBorder="1" applyAlignment="1">
      <alignment horizontal="center" vertical="center"/>
    </xf>
    <xf numFmtId="0" fontId="3" fillId="2" borderId="0" xfId="0" applyFont="1" applyFill="1" applyAlignment="1">
      <alignment horizontal="center" vertical="center" wrapText="1"/>
    </xf>
    <xf numFmtId="0" fontId="7" fillId="6" borderId="15" xfId="0" applyFont="1" applyFill="1" applyBorder="1" applyAlignment="1">
      <alignment horizontal="center" vertical="center"/>
    </xf>
    <xf numFmtId="0" fontId="7" fillId="6" borderId="16" xfId="0" applyFont="1" applyFill="1" applyBorder="1" applyAlignment="1">
      <alignment horizontal="center" vertical="center"/>
    </xf>
    <xf numFmtId="0" fontId="7" fillId="7" borderId="15" xfId="0" applyFont="1" applyFill="1" applyBorder="1" applyAlignment="1">
      <alignment horizontal="center" vertical="center"/>
    </xf>
    <xf numFmtId="0" fontId="7" fillId="7" borderId="16" xfId="0" applyFont="1" applyFill="1" applyBorder="1" applyAlignment="1">
      <alignment horizontal="center" vertical="center"/>
    </xf>
    <xf numFmtId="0" fontId="12" fillId="10" borderId="0" xfId="4" applyAlignment="1">
      <alignment vertical="center" wrapText="1"/>
    </xf>
    <xf numFmtId="0" fontId="7" fillId="11" borderId="15" xfId="5" applyFont="1" applyBorder="1" applyAlignment="1">
      <alignment horizontal="center" vertical="center"/>
    </xf>
    <xf numFmtId="0" fontId="7" fillId="11" borderId="16" xfId="5" applyFont="1" applyBorder="1" applyAlignment="1">
      <alignment horizontal="center" vertical="center"/>
    </xf>
    <xf numFmtId="0" fontId="12" fillId="10" borderId="0" xfId="4" applyAlignment="1">
      <alignment horizontal="left" vertical="center" wrapText="1"/>
    </xf>
    <xf numFmtId="0" fontId="13" fillId="10" borderId="0" xfId="4" applyFont="1" applyAlignment="1">
      <alignment horizontal="left" vertical="center" wrapText="1"/>
    </xf>
    <xf numFmtId="0" fontId="13" fillId="10" borderId="18" xfId="4" applyFont="1" applyBorder="1" applyAlignment="1">
      <alignment horizontal="left" vertical="center" wrapText="1"/>
    </xf>
    <xf numFmtId="0" fontId="13" fillId="10" borderId="0" xfId="4" applyFont="1" applyBorder="1" applyAlignment="1">
      <alignment horizontal="left" vertical="center" wrapText="1"/>
    </xf>
    <xf numFmtId="0" fontId="11" fillId="0" borderId="8" xfId="2" applyFont="1" applyAlignment="1">
      <alignment horizontal="left" vertical="center"/>
    </xf>
    <xf numFmtId="0" fontId="10" fillId="8" borderId="0" xfId="0" applyFont="1" applyFill="1" applyAlignment="1">
      <alignment horizontal="center" vertical="center"/>
    </xf>
    <xf numFmtId="0" fontId="13" fillId="10" borderId="0" xfId="4" applyFont="1" applyAlignment="1">
      <alignment horizontal="left" vertical="top" wrapText="1"/>
    </xf>
    <xf numFmtId="0" fontId="12" fillId="10" borderId="0" xfId="4" applyAlignment="1">
      <alignment horizontal="left" vertical="top" wrapText="1"/>
    </xf>
    <xf numFmtId="0" fontId="12" fillId="10" borderId="0" xfId="4" applyBorder="1" applyAlignment="1">
      <alignment horizontal="left" vertical="top" wrapText="1"/>
    </xf>
    <xf numFmtId="0" fontId="17" fillId="5" borderId="0" xfId="3" applyFont="1" applyAlignment="1">
      <alignment horizontal="center" vertical="center"/>
    </xf>
    <xf numFmtId="0" fontId="14" fillId="9" borderId="0" xfId="0" applyFont="1" applyFill="1" applyAlignment="1">
      <alignment horizontal="center" vertical="center"/>
    </xf>
    <xf numFmtId="0" fontId="5" fillId="4" borderId="19" xfId="1" applyBorder="1" applyAlignment="1">
      <alignment horizontal="left"/>
    </xf>
    <xf numFmtId="0" fontId="5" fillId="4" borderId="0" xfId="1" applyBorder="1" applyAlignment="1">
      <alignment horizontal="left"/>
    </xf>
    <xf numFmtId="0" fontId="5" fillId="4" borderId="20" xfId="1" applyBorder="1" applyAlignment="1">
      <alignment horizontal="left"/>
    </xf>
    <xf numFmtId="0" fontId="5" fillId="4" borderId="14" xfId="1" applyBorder="1" applyAlignment="1">
      <alignment horizontal="left"/>
    </xf>
    <xf numFmtId="0" fontId="15" fillId="17" borderId="27" xfId="14" applyBorder="1" applyAlignment="1">
      <alignment horizontal="left" vertical="top" wrapText="1"/>
    </xf>
    <xf numFmtId="0" fontId="18" fillId="13" borderId="0" xfId="7" applyFont="1" applyAlignment="1">
      <alignment horizontal="center" vertical="center"/>
    </xf>
    <xf numFmtId="0" fontId="7" fillId="12" borderId="22" xfId="6" applyAlignment="1">
      <alignment horizontal="center"/>
    </xf>
    <xf numFmtId="0" fontId="7" fillId="12" borderId="23" xfId="6" applyBorder="1" applyAlignment="1">
      <alignment horizontal="center"/>
    </xf>
    <xf numFmtId="0" fontId="7" fillId="12" borderId="24" xfId="6" applyBorder="1" applyAlignment="1">
      <alignment horizontal="center"/>
    </xf>
    <xf numFmtId="0" fontId="7" fillId="12" borderId="0" xfId="6" applyBorder="1" applyAlignment="1">
      <alignment horizontal="center"/>
    </xf>
    <xf numFmtId="0" fontId="12" fillId="10" borderId="0" xfId="4" applyAlignment="1">
      <alignment vertical="top" wrapText="1"/>
    </xf>
    <xf numFmtId="0" fontId="20" fillId="0" borderId="0" xfId="10" applyBorder="1"/>
    <xf numFmtId="0" fontId="12" fillId="10" borderId="0" xfId="4" applyAlignment="1">
      <alignment wrapText="1"/>
    </xf>
    <xf numFmtId="0" fontId="23" fillId="14" borderId="10" xfId="8" applyFont="1" applyBorder="1" applyAlignment="1">
      <alignment horizontal="center" vertical="center"/>
    </xf>
    <xf numFmtId="0" fontId="23" fillId="14" borderId="0" xfId="8" applyFont="1" applyBorder="1" applyAlignment="1">
      <alignment horizontal="center" vertical="center"/>
    </xf>
    <xf numFmtId="0" fontId="23" fillId="14" borderId="9" xfId="8" applyFont="1" applyBorder="1" applyAlignment="1">
      <alignment horizontal="center" vertical="center"/>
    </xf>
    <xf numFmtId="0" fontId="23" fillId="14" borderId="9" xfId="8" applyFont="1" applyBorder="1" applyAlignment="1">
      <alignment horizontal="center"/>
    </xf>
    <xf numFmtId="0" fontId="20" fillId="0" borderId="26" xfId="10"/>
    <xf numFmtId="0" fontId="20" fillId="0" borderId="26" xfId="10" applyAlignment="1">
      <alignment horizontal="center" vertical="center"/>
    </xf>
    <xf numFmtId="0" fontId="27" fillId="15" borderId="0" xfId="12" applyFont="1" applyAlignment="1">
      <alignment horizontal="center" vertical="center"/>
    </xf>
    <xf numFmtId="0" fontId="20" fillId="0" borderId="26" xfId="10" applyAlignment="1">
      <alignment horizontal="center"/>
    </xf>
    <xf numFmtId="0" fontId="20" fillId="0" borderId="26" xfId="10" applyFont="1"/>
    <xf numFmtId="0" fontId="0" fillId="0" borderId="0" xfId="0" applyAlignment="1"/>
  </cellXfs>
  <cellStyles count="16">
    <cellStyle name="20% - Accent1" xfId="13" builtinId="30"/>
    <cellStyle name="20% - Accent3" xfId="14" builtinId="38"/>
    <cellStyle name="40% - Accent3" xfId="15" builtinId="39"/>
    <cellStyle name="40% - Accent4" xfId="7" builtinId="43"/>
    <cellStyle name="Accent1" xfId="3" builtinId="29"/>
    <cellStyle name="Accent2" xfId="5" builtinId="33"/>
    <cellStyle name="Accent5" xfId="8" builtinId="45"/>
    <cellStyle name="Bad" xfId="12" builtinId="27"/>
    <cellStyle name="Check Cell" xfId="6" builtinId="23"/>
    <cellStyle name="Heading 1" xfId="9" builtinId="16"/>
    <cellStyle name="Heading 2" xfId="10" builtinId="17"/>
    <cellStyle name="Heading 4" xfId="11" builtinId="19"/>
    <cellStyle name="Linked Cell" xfId="2" builtinId="24"/>
    <cellStyle name="Neutral" xfId="4" builtinId="28"/>
    <cellStyle name="Normal" xfId="0" builtinId="0"/>
    <cellStyle name="Output" xfId="1" builtinId="21"/>
  </cellStyles>
  <dxfs count="39">
    <dxf>
      <font>
        <color rgb="FF9C0006"/>
      </font>
      <fill>
        <patternFill>
          <bgColor rgb="FFFFC7CE"/>
        </patternFill>
      </fill>
    </dxf>
    <dxf>
      <font>
        <color rgb="FF9C5700"/>
      </font>
      <fill>
        <patternFill>
          <bgColor rgb="FFFFEB9C"/>
        </patternFill>
      </fill>
    </dxf>
    <dxf>
      <fill>
        <patternFill>
          <bgColor theme="5"/>
        </patternFill>
      </fill>
    </dxf>
    <dxf>
      <font>
        <color rgb="FF006100"/>
      </font>
      <fill>
        <patternFill>
          <bgColor rgb="FFC6EFCE"/>
        </patternFill>
      </fill>
    </dxf>
    <dxf>
      <font>
        <color rgb="FF9C0006"/>
      </font>
      <fill>
        <patternFill>
          <bgColor rgb="FFFFC7CE"/>
        </patternFill>
      </fill>
    </dxf>
    <dxf>
      <numFmt numFmtId="2" formatCode="0.00"/>
    </dxf>
    <dxf>
      <numFmt numFmtId="2" formatCode="0.00"/>
    </dxf>
    <dxf>
      <numFmt numFmtId="164" formatCode="[$-F800]dddd\,\ mmmm\ dd\,\ yyyy"/>
    </dxf>
    <dxf>
      <numFmt numFmtId="2" formatCode="0.00"/>
      <alignment horizontal="left" vertical="bottom" textRotation="0" wrapText="0" indent="0" justifyLastLine="0" shrinkToFit="0" readingOrder="0"/>
    </dxf>
    <dxf>
      <numFmt numFmtId="2" formatCode="0.00"/>
      <alignment horizontal="left" vertical="bottom" textRotation="0" wrapText="0" indent="0" justifyLastLine="0" shrinkToFit="0" readingOrder="0"/>
    </dxf>
    <dxf>
      <alignment horizontal="left" vertical="bottom" textRotation="0" wrapText="0" indent="0" justifyLastLine="0" shrinkToFit="0" readingOrder="0"/>
    </dxf>
    <dxf>
      <numFmt numFmtId="164" formatCode="[$-F800]dddd\,\ mmmm\ dd\,\ yyyy"/>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numFmt numFmtId="0" formatCode="General"/>
      <alignment horizontal="left" vertical="bottom" textRotation="0" wrapText="0" indent="0" justifyLastLine="0" shrinkToFit="0" readingOrder="0"/>
    </dxf>
    <dxf>
      <numFmt numFmtId="0" formatCode="General"/>
      <alignment horizontal="left" vertical="bottom" textRotation="0" wrapText="0" indent="0" justifyLastLine="0" shrinkToFit="0" readingOrder="0"/>
    </dxf>
    <dxf>
      <alignment horizontal="left" vertical="bottom" textRotation="0" wrapText="0" indent="0" justifyLastLine="0" shrinkToFit="0" readingOrder="0"/>
    </dxf>
    <dxf>
      <numFmt numFmtId="0" formatCode="General"/>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numFmt numFmtId="0" formatCode="General"/>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numFmt numFmtId="19" formatCode="dd/mm/yyyy"/>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numFmt numFmtId="19" formatCode="dd/mm/yyyy"/>
    </dxf>
    <dxf>
      <numFmt numFmtId="19" formatCode="dd/mm/yyyy"/>
    </dxf>
    <dxf>
      <numFmt numFmtId="19"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3.xml"/><Relationship Id="rId26" Type="http://schemas.openxmlformats.org/officeDocument/2006/relationships/sheetMetadata" Target="metadata.xml"/><Relationship Id="rId3" Type="http://schemas.openxmlformats.org/officeDocument/2006/relationships/worksheet" Target="worksheets/sheet3.xml"/><Relationship Id="rId21" Type="http://schemas.microsoft.com/office/2011/relationships/timelineCache" Target="timelineCaches/timelineCache1.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2.xml"/><Relationship Id="rId25" Type="http://schemas.openxmlformats.org/officeDocument/2006/relationships/sharedStrings" Target="sharedStrings.xml"/><Relationship Id="rId2" Type="http://schemas.openxmlformats.org/officeDocument/2006/relationships/worksheet" Target="worksheets/sheet2.xml"/><Relationship Id="rId16" Type="http://schemas.microsoft.com/office/2007/relationships/slicerCache" Target="slicerCaches/slicerCache1.xml"/><Relationship Id="rId20" Type="http://schemas.microsoft.com/office/2007/relationships/slicerCache" Target="slicerCaches/slicerCache5.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23" Type="http://schemas.openxmlformats.org/officeDocument/2006/relationships/connections" Target="connections.xml"/><Relationship Id="rId28" Type="http://schemas.openxmlformats.org/officeDocument/2006/relationships/customXml" Target="../customXml/item1.xml"/><Relationship Id="rId10" Type="http://schemas.openxmlformats.org/officeDocument/2006/relationships/worksheet" Target="worksheets/sheet10.xml"/><Relationship Id="rId19" Type="http://schemas.microsoft.com/office/2007/relationships/slicerCache" Target="slicerCaches/slicerCache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 Id="rId27" Type="http://schemas.openxmlformats.org/officeDocument/2006/relationships/calcChain" Target="calcChain.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6.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7.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8.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2.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3.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4.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5.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Ex1.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[Workbook.xlsx]Pivot_Analysis!PivotTable 8</c:name>
    <c:fmtId val="3"/>
  </c:pivotSource>
  <c:chart>
    <c:autoTitleDeleted val="1"/>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delete val="1"/>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delete val="1"/>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delete val="1"/>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delete val="1"/>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delete val="1"/>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delete val="1"/>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delete val="1"/>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delete val="1"/>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delete val="1"/>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delete val="1"/>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delete val="1"/>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delete val="1"/>
          <c:extLst>
            <c:ext xmlns:c15="http://schemas.microsoft.com/office/drawing/2012/chart" uri="{CE6537A1-D6FC-4f65-9D91-7224C49458BB}"/>
          </c:extLst>
        </c:dLbl>
      </c:pivotFmt>
      <c:pivotFmt>
        <c:idx val="1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delete val="1"/>
          <c:extLst>
            <c:ext xmlns:c15="http://schemas.microsoft.com/office/drawing/2012/chart" uri="{CE6537A1-D6FC-4f65-9D91-7224C49458BB}"/>
          </c:extLst>
        </c:dLbl>
      </c:pivotFmt>
      <c:pivotFmt>
        <c:idx val="13"/>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delete val="1"/>
          <c:extLst>
            <c:ext xmlns:c15="http://schemas.microsoft.com/office/drawing/2012/chart" uri="{CE6537A1-D6FC-4f65-9D91-7224C49458BB}"/>
          </c:extLst>
        </c:dLbl>
      </c:pivotFmt>
      <c:pivotFmt>
        <c:idx val="14"/>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delete val="1"/>
          <c:extLst>
            <c:ext xmlns:c15="http://schemas.microsoft.com/office/drawing/2012/chart" uri="{CE6537A1-D6FC-4f65-9D91-7224C49458BB}"/>
          </c:extLst>
        </c:dLbl>
      </c:pivotFmt>
      <c:pivotFmt>
        <c:idx val="15"/>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delete val="1"/>
          <c:extLst>
            <c:ext xmlns:c15="http://schemas.microsoft.com/office/drawing/2012/chart" uri="{CE6537A1-D6FC-4f65-9D91-7224C49458BB}"/>
          </c:extLst>
        </c:dLbl>
      </c:pivotFmt>
      <c:pivotFmt>
        <c:idx val="16"/>
        <c:spPr>
          <a:ln w="28575" cap="rnd">
            <a:solidFill>
              <a:schemeClr val="accent2"/>
            </a:solidFill>
            <a:round/>
          </a:ln>
          <a:effectLst/>
        </c:spPr>
        <c:marker>
          <c:symbol val="circle"/>
          <c:size val="5"/>
          <c:spPr>
            <a:solidFill>
              <a:schemeClr val="accent2"/>
            </a:solidFill>
            <a:ln w="9525">
              <a:solidFill>
                <a:schemeClr val="accent2"/>
              </a:solidFill>
            </a:ln>
            <a:effectLst/>
          </c:spPr>
        </c:marker>
        <c:dLbl>
          <c:idx val="0"/>
          <c:delete val="1"/>
          <c:extLst>
            <c:ext xmlns:c15="http://schemas.microsoft.com/office/drawing/2012/chart" uri="{CE6537A1-D6FC-4f65-9D91-7224C49458BB}"/>
          </c:extLst>
        </c:dLbl>
      </c:pivotFmt>
    </c:pivotFmts>
    <c:plotArea>
      <c:layout/>
      <c:lineChart>
        <c:grouping val="stacked"/>
        <c:varyColors val="0"/>
        <c:ser>
          <c:idx val="0"/>
          <c:order val="0"/>
          <c:tx>
            <c:strRef>
              <c:f>Pivot_Analysis!$K$73:$K$74</c:f>
              <c:strCache>
                <c:ptCount val="1"/>
                <c:pt idx="0">
                  <c:v>Weekday</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Pivot_Analysis!$J$75:$J$99</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Pivot_Analysis!$K$75:$K$99</c:f>
              <c:numCache>
                <c:formatCode>General</c:formatCode>
                <c:ptCount val="24"/>
                <c:pt idx="0">
                  <c:v>10.689655172413794</c:v>
                </c:pt>
                <c:pt idx="1">
                  <c:v>5.1034482758620694</c:v>
                </c:pt>
                <c:pt idx="2">
                  <c:v>2.6296296296296298</c:v>
                </c:pt>
                <c:pt idx="3">
                  <c:v>1.411764705882353</c:v>
                </c:pt>
                <c:pt idx="4">
                  <c:v>1.7894736842105263</c:v>
                </c:pt>
                <c:pt idx="5">
                  <c:v>4.7241379310344831</c:v>
                </c:pt>
                <c:pt idx="6">
                  <c:v>27.379310344827587</c:v>
                </c:pt>
                <c:pt idx="7">
                  <c:v>78.034482758620683</c:v>
                </c:pt>
                <c:pt idx="8">
                  <c:v>183.53571428571428</c:v>
                </c:pt>
                <c:pt idx="9">
                  <c:v>115.67857142857143</c:v>
                </c:pt>
                <c:pt idx="10">
                  <c:v>49.071428571428569</c:v>
                </c:pt>
                <c:pt idx="11">
                  <c:v>50.607142857142854</c:v>
                </c:pt>
                <c:pt idx="12">
                  <c:v>64.58620689655173</c:v>
                </c:pt>
                <c:pt idx="13">
                  <c:v>67.172413793103445</c:v>
                </c:pt>
                <c:pt idx="14">
                  <c:v>60.551724137931032</c:v>
                </c:pt>
                <c:pt idx="15">
                  <c:v>61.482758620689658</c:v>
                </c:pt>
                <c:pt idx="16">
                  <c:v>82.63333333333334</c:v>
                </c:pt>
                <c:pt idx="17">
                  <c:v>165.56666666666666</c:v>
                </c:pt>
                <c:pt idx="18">
                  <c:v>151.20689655172413</c:v>
                </c:pt>
                <c:pt idx="19">
                  <c:v>102.03448275862068</c:v>
                </c:pt>
                <c:pt idx="20">
                  <c:v>72.275862068965523</c:v>
                </c:pt>
                <c:pt idx="21">
                  <c:v>50.896551724137929</c:v>
                </c:pt>
                <c:pt idx="22">
                  <c:v>37.103448275862071</c:v>
                </c:pt>
                <c:pt idx="23">
                  <c:v>23.689655172413794</c:v>
                </c:pt>
              </c:numCache>
            </c:numRef>
          </c:val>
          <c:smooth val="0"/>
          <c:extLst>
            <c:ext xmlns:c16="http://schemas.microsoft.com/office/drawing/2014/chart" uri="{C3380CC4-5D6E-409C-BE32-E72D297353CC}">
              <c16:uniqueId val="{00000009-06C8-41C4-949F-6554B06F0DAB}"/>
            </c:ext>
          </c:extLst>
        </c:ser>
        <c:ser>
          <c:idx val="1"/>
          <c:order val="1"/>
          <c:tx>
            <c:strRef>
              <c:f>Pivot_Analysis!$L$73:$L$74</c:f>
              <c:strCache>
                <c:ptCount val="1"/>
                <c:pt idx="0">
                  <c:v>Weekend</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Pivot_Analysis!$J$75:$J$99</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Pivot_Analysis!$L$75:$L$99</c:f>
              <c:numCache>
                <c:formatCode>General</c:formatCode>
                <c:ptCount val="24"/>
                <c:pt idx="0">
                  <c:v>28.071428571428573</c:v>
                </c:pt>
                <c:pt idx="1">
                  <c:v>22.285714285714285</c:v>
                </c:pt>
                <c:pt idx="2">
                  <c:v>15.928571428571429</c:v>
                </c:pt>
                <c:pt idx="3">
                  <c:v>9.0714285714285712</c:v>
                </c:pt>
                <c:pt idx="4">
                  <c:v>2.6923076923076925</c:v>
                </c:pt>
                <c:pt idx="5">
                  <c:v>2.7</c:v>
                </c:pt>
                <c:pt idx="6">
                  <c:v>2.1538461538461537</c:v>
                </c:pt>
                <c:pt idx="7">
                  <c:v>5.4285714285714288</c:v>
                </c:pt>
                <c:pt idx="8">
                  <c:v>17.785714285714285</c:v>
                </c:pt>
                <c:pt idx="9">
                  <c:v>30.928571428571427</c:v>
                </c:pt>
                <c:pt idx="10">
                  <c:v>62.785714285714285</c:v>
                </c:pt>
                <c:pt idx="11">
                  <c:v>76.928571428571431</c:v>
                </c:pt>
                <c:pt idx="12">
                  <c:v>100.71428571428571</c:v>
                </c:pt>
                <c:pt idx="13">
                  <c:v>102</c:v>
                </c:pt>
                <c:pt idx="14">
                  <c:v>103.14285714285714</c:v>
                </c:pt>
                <c:pt idx="15">
                  <c:v>112.07142857142857</c:v>
                </c:pt>
                <c:pt idx="16">
                  <c:v>103.5</c:v>
                </c:pt>
                <c:pt idx="17">
                  <c:v>85.857142857142861</c:v>
                </c:pt>
                <c:pt idx="18">
                  <c:v>64.142857142857139</c:v>
                </c:pt>
                <c:pt idx="19">
                  <c:v>50.142857142857146</c:v>
                </c:pt>
                <c:pt idx="20">
                  <c:v>40</c:v>
                </c:pt>
                <c:pt idx="21">
                  <c:v>37.142857142857146</c:v>
                </c:pt>
                <c:pt idx="22">
                  <c:v>30.857142857142858</c:v>
                </c:pt>
                <c:pt idx="23">
                  <c:v>28.285714285714285</c:v>
                </c:pt>
              </c:numCache>
            </c:numRef>
          </c:val>
          <c:smooth val="0"/>
          <c:extLst>
            <c:ext xmlns:c16="http://schemas.microsoft.com/office/drawing/2014/chart" uri="{C3380CC4-5D6E-409C-BE32-E72D297353CC}">
              <c16:uniqueId val="{00000012-20F0-4212-BB33-0BD71E06166E}"/>
            </c:ext>
          </c:extLst>
        </c:ser>
        <c:dLbls>
          <c:showLegendKey val="0"/>
          <c:showVal val="0"/>
          <c:showCatName val="0"/>
          <c:showSerName val="0"/>
          <c:showPercent val="0"/>
          <c:showBubbleSize val="0"/>
        </c:dLbls>
        <c:marker val="1"/>
        <c:smooth val="0"/>
        <c:axId val="1915434976"/>
        <c:axId val="1915435936"/>
      </c:lineChart>
      <c:catAx>
        <c:axId val="191543497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5435936"/>
        <c:crosses val="autoZero"/>
        <c:auto val="1"/>
        <c:lblAlgn val="ctr"/>
        <c:lblOffset val="100"/>
        <c:noMultiLvlLbl val="0"/>
      </c:catAx>
      <c:valAx>
        <c:axId val="19154359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5434976"/>
        <c:crosses val="autoZero"/>
        <c:crossBetween val="between"/>
      </c:valAx>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a:noFill/>
          </a:ln>
          <a:effectLst/>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1"/>
          </a:solidFill>
          <a:ln>
            <a:noFill/>
          </a:ln>
          <a:effectLst/>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accent1"/>
          </a:solidFill>
          <a:ln>
            <a:noFill/>
          </a:ln>
          <a:effectLst/>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5"/>
        <c:spPr>
          <a:solidFill>
            <a:schemeClr val="accent1"/>
          </a:solidFill>
          <a:ln>
            <a:noFill/>
          </a:ln>
          <a:effectLst/>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6"/>
        <c:spPr>
          <a:solidFill>
            <a:schemeClr val="accent1"/>
          </a:solidFill>
          <a:ln>
            <a:noFill/>
          </a:ln>
          <a:effectLst/>
        </c:spPr>
        <c:marker>
          <c:symbol val="none"/>
        </c:marker>
      </c:pivotFmt>
      <c:pivotFmt>
        <c:idx val="7"/>
        <c:spPr>
          <a:solidFill>
            <a:schemeClr val="accent1"/>
          </a:solidFill>
          <a:ln>
            <a:noFill/>
          </a:ln>
          <a:effectLst/>
        </c:spPr>
        <c:marker>
          <c:symbol val="none"/>
        </c:marker>
      </c:pivotFmt>
      <c:pivotFmt>
        <c:idx val="8"/>
        <c:spPr>
          <a:solidFill>
            <a:schemeClr val="accent1"/>
          </a:solidFill>
          <a:ln>
            <a:noFill/>
          </a:ln>
          <a:effectLst/>
        </c:spPr>
        <c:marker>
          <c:symbol val="none"/>
        </c:marker>
      </c:pivotFmt>
    </c:pivotFmts>
    <c:plotArea>
      <c:layout>
        <c:manualLayout>
          <c:layoutTarget val="inner"/>
          <c:xMode val="edge"/>
          <c:yMode val="edge"/>
          <c:x val="8.6029281201178781E-2"/>
          <c:y val="0.10124475634910059"/>
          <c:w val="0.80618345364017108"/>
          <c:h val="0.63794307755904978"/>
        </c:manualLayout>
      </c:layout>
      <c:barChart>
        <c:barDir val="col"/>
        <c:grouping val="clustered"/>
        <c:varyColors val="0"/>
        <c:ser>
          <c:idx val="0"/>
          <c:order val="0"/>
          <c:tx>
            <c:v>Series1</c:v>
          </c:tx>
          <c:spPr>
            <a:solidFill>
              <a:schemeClr val="accent1"/>
            </a:solidFill>
            <a:ln>
              <a:noFill/>
            </a:ln>
            <a:effectLst/>
          </c:spPr>
          <c:invertIfNegative val="0"/>
          <c:cat>
            <c:strLit>
              <c:ptCount val="7"/>
              <c:pt idx="0">
                <c:v>Sunday</c:v>
              </c:pt>
              <c:pt idx="1">
                <c:v>Monday</c:v>
              </c:pt>
              <c:pt idx="2">
                <c:v>Tuesday</c:v>
              </c:pt>
              <c:pt idx="3">
                <c:v>Wednesday</c:v>
              </c:pt>
              <c:pt idx="4">
                <c:v>Thursday</c:v>
              </c:pt>
              <c:pt idx="5">
                <c:v>Friday</c:v>
              </c:pt>
              <c:pt idx="6">
                <c:v>Saturday</c:v>
              </c:pt>
            </c:strLit>
          </c:cat>
          <c:val>
            <c:numLit>
              <c:formatCode>General</c:formatCode>
              <c:ptCount val="7"/>
              <c:pt idx="0">
                <c:v>9.0060975609756095</c:v>
              </c:pt>
              <c:pt idx="1">
                <c:v>3.5838926174496644</c:v>
              </c:pt>
              <c:pt idx="2">
                <c:v>3.5984251968503935</c:v>
              </c:pt>
              <c:pt idx="3">
                <c:v>2.6259541984732824</c:v>
              </c:pt>
              <c:pt idx="4">
                <c:v>2.6560000000000001</c:v>
              </c:pt>
              <c:pt idx="5">
                <c:v>4</c:v>
              </c:pt>
              <c:pt idx="6">
                <c:v>7.3795180722891569</c:v>
              </c:pt>
            </c:numLit>
          </c:val>
          <c:extLst>
            <c:ext xmlns:c16="http://schemas.microsoft.com/office/drawing/2014/chart" uri="{C3380CC4-5D6E-409C-BE32-E72D297353CC}">
              <c16:uniqueId val="{00000000-D2A0-4A2D-8FA9-487B13D7A8E2}"/>
            </c:ext>
          </c:extLst>
        </c:ser>
        <c:ser>
          <c:idx val="1"/>
          <c:order val="1"/>
          <c:tx>
            <c:v>Series2</c:v>
          </c:tx>
          <c:spPr>
            <a:solidFill>
              <a:schemeClr val="accent2"/>
            </a:solidFill>
            <a:ln>
              <a:noFill/>
            </a:ln>
            <a:effectLst/>
          </c:spPr>
          <c:invertIfNegative val="0"/>
          <c:cat>
            <c:strLit>
              <c:ptCount val="7"/>
              <c:pt idx="0">
                <c:v>Sunday</c:v>
              </c:pt>
              <c:pt idx="1">
                <c:v>Monday</c:v>
              </c:pt>
              <c:pt idx="2">
                <c:v>Tuesday</c:v>
              </c:pt>
              <c:pt idx="3">
                <c:v>Wednesday</c:v>
              </c:pt>
              <c:pt idx="4">
                <c:v>Thursday</c:v>
              </c:pt>
              <c:pt idx="5">
                <c:v>Friday</c:v>
              </c:pt>
              <c:pt idx="6">
                <c:v>Saturday</c:v>
              </c:pt>
            </c:strLit>
          </c:cat>
          <c:val>
            <c:numLit>
              <c:formatCode>General</c:formatCode>
              <c:ptCount val="7"/>
              <c:pt idx="0">
                <c:v>40.512195121951223</c:v>
              </c:pt>
              <c:pt idx="1">
                <c:v>53.127516778523493</c:v>
              </c:pt>
              <c:pt idx="2">
                <c:v>62.409448818897637</c:v>
              </c:pt>
              <c:pt idx="3">
                <c:v>58.81679389312977</c:v>
              </c:pt>
              <c:pt idx="4">
                <c:v>65.007999999999996</c:v>
              </c:pt>
              <c:pt idx="5">
                <c:v>61.905797101449274</c:v>
              </c:pt>
              <c:pt idx="6">
                <c:v>39.295180722891565</c:v>
              </c:pt>
            </c:numLit>
          </c:val>
          <c:extLst>
            <c:ext xmlns:c16="http://schemas.microsoft.com/office/drawing/2014/chart" uri="{C3380CC4-5D6E-409C-BE32-E72D297353CC}">
              <c16:uniqueId val="{00000001-D2A0-4A2D-8FA9-487B13D7A8E2}"/>
            </c:ext>
          </c:extLst>
        </c:ser>
        <c:ser>
          <c:idx val="2"/>
          <c:order val="2"/>
          <c:tx>
            <c:v>Series3</c:v>
          </c:tx>
          <c:spPr>
            <a:solidFill>
              <a:schemeClr val="accent3"/>
            </a:solidFill>
            <a:ln>
              <a:noFill/>
            </a:ln>
            <a:effectLst/>
          </c:spPr>
          <c:invertIfNegative val="0"/>
          <c:cat>
            <c:strLit>
              <c:ptCount val="7"/>
              <c:pt idx="0">
                <c:v>Sunday</c:v>
              </c:pt>
              <c:pt idx="1">
                <c:v>Monday</c:v>
              </c:pt>
              <c:pt idx="2">
                <c:v>Tuesday</c:v>
              </c:pt>
              <c:pt idx="3">
                <c:v>Wednesday</c:v>
              </c:pt>
              <c:pt idx="4">
                <c:v>Thursday</c:v>
              </c:pt>
              <c:pt idx="5">
                <c:v>Friday</c:v>
              </c:pt>
              <c:pt idx="6">
                <c:v>Saturday</c:v>
              </c:pt>
            </c:strLit>
          </c:cat>
          <c:val>
            <c:numLit>
              <c:formatCode>General</c:formatCode>
              <c:ptCount val="7"/>
              <c:pt idx="0">
                <c:v>49.518292682926827</c:v>
              </c:pt>
              <c:pt idx="1">
                <c:v>56.711409395973156</c:v>
              </c:pt>
              <c:pt idx="2">
                <c:v>66.00787401574803</c:v>
              </c:pt>
              <c:pt idx="3">
                <c:v>61.44274809160305</c:v>
              </c:pt>
              <c:pt idx="4">
                <c:v>67.664000000000001</c:v>
              </c:pt>
              <c:pt idx="5">
                <c:v>65.905797101449281</c:v>
              </c:pt>
              <c:pt idx="6">
                <c:v>46.674698795180724</c:v>
              </c:pt>
            </c:numLit>
          </c:val>
          <c:extLst>
            <c:ext xmlns:c16="http://schemas.microsoft.com/office/drawing/2014/chart" uri="{C3380CC4-5D6E-409C-BE32-E72D297353CC}">
              <c16:uniqueId val="{00000002-D2A0-4A2D-8FA9-487B13D7A8E2}"/>
            </c:ext>
          </c:extLst>
        </c:ser>
        <c:dLbls>
          <c:showLegendKey val="0"/>
          <c:showVal val="0"/>
          <c:showCatName val="0"/>
          <c:showSerName val="0"/>
          <c:showPercent val="0"/>
          <c:showBubbleSize val="0"/>
        </c:dLbls>
        <c:gapWidth val="150"/>
        <c:axId val="1915470496"/>
        <c:axId val="1915470976"/>
      </c:barChart>
      <c:catAx>
        <c:axId val="191547049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5470976"/>
        <c:crosses val="autoZero"/>
        <c:auto val="1"/>
        <c:lblAlgn val="ctr"/>
        <c:lblOffset val="100"/>
        <c:noMultiLvlLbl val="0"/>
      </c:catAx>
      <c:valAx>
        <c:axId val="19154709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547049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[Workbook.xlsx]Pivot_Analysis!PivotTable5</c:name>
    <c:fmtId val="3"/>
  </c:pivotSource>
  <c:chart>
    <c:autoTitleDeleted val="0"/>
    <c:pivotFmts>
      <c:pivotFmt>
        <c:idx val="0"/>
        <c:spPr>
          <a:solidFill>
            <a:schemeClr val="accent1"/>
          </a:solidFill>
          <a:ln>
            <a:noFill/>
          </a:ln>
          <a:effectLst/>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1"/>
          </a:solidFill>
          <a:ln>
            <a:noFill/>
          </a:ln>
          <a:effectLst/>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accent1"/>
          </a:solidFill>
          <a:ln>
            <a:noFill/>
          </a:ln>
          <a:effectLst/>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5"/>
        <c:spPr>
          <a:solidFill>
            <a:schemeClr val="accent1"/>
          </a:solidFill>
          <a:ln>
            <a:noFill/>
          </a:ln>
          <a:effectLst/>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Pivot_Analysis!$D$54</c:f>
              <c:strCache>
                <c:ptCount val="1"/>
                <c:pt idx="0">
                  <c:v>Average of Casual_Rentals</c:v>
                </c:pt>
              </c:strCache>
            </c:strRef>
          </c:tx>
          <c:spPr>
            <a:solidFill>
              <a:schemeClr val="accent1"/>
            </a:solidFill>
            <a:ln>
              <a:noFill/>
            </a:ln>
            <a:effectLst/>
          </c:spPr>
          <c:invertIfNegative val="0"/>
          <c:cat>
            <c:strRef>
              <c:f>Pivot_Analysis!$C$55:$C$57</c:f>
              <c:strCache>
                <c:ptCount val="2"/>
                <c:pt idx="0">
                  <c:v>Non-Working Day</c:v>
                </c:pt>
                <c:pt idx="1">
                  <c:v>Working Day</c:v>
                </c:pt>
              </c:strCache>
            </c:strRef>
          </c:cat>
          <c:val>
            <c:numRef>
              <c:f>Pivot_Analysis!$D$55:$D$57</c:f>
              <c:numCache>
                <c:formatCode>General</c:formatCode>
                <c:ptCount val="2"/>
                <c:pt idx="0">
                  <c:v>7.963276836158192</c:v>
                </c:pt>
                <c:pt idx="1">
                  <c:v>3.2538699690402475</c:v>
                </c:pt>
              </c:numCache>
            </c:numRef>
          </c:val>
          <c:extLst>
            <c:ext xmlns:c16="http://schemas.microsoft.com/office/drawing/2014/chart" uri="{C3380CC4-5D6E-409C-BE32-E72D297353CC}">
              <c16:uniqueId val="{00000000-187B-42CF-8877-1C6BC1FA5016}"/>
            </c:ext>
          </c:extLst>
        </c:ser>
        <c:ser>
          <c:idx val="1"/>
          <c:order val="1"/>
          <c:tx>
            <c:strRef>
              <c:f>Pivot_Analysis!$E$54</c:f>
              <c:strCache>
                <c:ptCount val="1"/>
                <c:pt idx="0">
                  <c:v>Average of Registered_Rentals</c:v>
                </c:pt>
              </c:strCache>
            </c:strRef>
          </c:tx>
          <c:spPr>
            <a:solidFill>
              <a:schemeClr val="accent2"/>
            </a:solidFill>
            <a:ln>
              <a:noFill/>
            </a:ln>
            <a:effectLst/>
          </c:spPr>
          <c:invertIfNegative val="0"/>
          <c:cat>
            <c:strRef>
              <c:f>Pivot_Analysis!$C$55:$C$57</c:f>
              <c:strCache>
                <c:ptCount val="2"/>
                <c:pt idx="0">
                  <c:v>Non-Working Day</c:v>
                </c:pt>
                <c:pt idx="1">
                  <c:v>Working Day</c:v>
                </c:pt>
              </c:strCache>
            </c:strRef>
          </c:cat>
          <c:val>
            <c:numRef>
              <c:f>Pivot_Analysis!$E$55:$E$57</c:f>
              <c:numCache>
                <c:formatCode>General</c:formatCode>
                <c:ptCount val="2"/>
                <c:pt idx="0">
                  <c:v>39.689265536723163</c:v>
                </c:pt>
                <c:pt idx="1">
                  <c:v>60.88699690402477</c:v>
                </c:pt>
              </c:numCache>
            </c:numRef>
          </c:val>
          <c:extLst>
            <c:ext xmlns:c16="http://schemas.microsoft.com/office/drawing/2014/chart" uri="{C3380CC4-5D6E-409C-BE32-E72D297353CC}">
              <c16:uniqueId val="{00000001-187B-42CF-8877-1C6BC1FA5016}"/>
            </c:ext>
          </c:extLst>
        </c:ser>
        <c:dLbls>
          <c:showLegendKey val="0"/>
          <c:showVal val="0"/>
          <c:showCatName val="0"/>
          <c:showSerName val="0"/>
          <c:showPercent val="0"/>
          <c:showBubbleSize val="0"/>
        </c:dLbls>
        <c:gapWidth val="150"/>
        <c:axId val="1915399456"/>
        <c:axId val="1915405696"/>
      </c:barChart>
      <c:lineChart>
        <c:grouping val="standard"/>
        <c:varyColors val="0"/>
        <c:ser>
          <c:idx val="2"/>
          <c:order val="2"/>
          <c:tx>
            <c:strRef>
              <c:f>Pivot_Analysis!$F$54</c:f>
              <c:strCache>
                <c:ptCount val="1"/>
                <c:pt idx="0">
                  <c:v>Average of Total_Rentals</c:v>
                </c:pt>
              </c:strCache>
            </c:strRef>
          </c:tx>
          <c:spPr>
            <a:ln w="28575" cap="rnd">
              <a:solidFill>
                <a:schemeClr val="accent3"/>
              </a:solidFill>
              <a:round/>
            </a:ln>
            <a:effectLst/>
          </c:spPr>
          <c:marker>
            <c:symbol val="none"/>
          </c:marker>
          <c:cat>
            <c:strRef>
              <c:f>Pivot_Analysis!$C$55:$C$57</c:f>
              <c:strCache>
                <c:ptCount val="2"/>
                <c:pt idx="0">
                  <c:v>Non-Working Day</c:v>
                </c:pt>
                <c:pt idx="1">
                  <c:v>Working Day</c:v>
                </c:pt>
              </c:strCache>
            </c:strRef>
          </c:cat>
          <c:val>
            <c:numRef>
              <c:f>Pivot_Analysis!$F$55:$F$57</c:f>
              <c:numCache>
                <c:formatCode>General</c:formatCode>
                <c:ptCount val="2"/>
                <c:pt idx="0">
                  <c:v>47.652542372881356</c:v>
                </c:pt>
                <c:pt idx="1">
                  <c:v>64.140866873065022</c:v>
                </c:pt>
              </c:numCache>
            </c:numRef>
          </c:val>
          <c:smooth val="0"/>
          <c:extLst>
            <c:ext xmlns:c16="http://schemas.microsoft.com/office/drawing/2014/chart" uri="{C3380CC4-5D6E-409C-BE32-E72D297353CC}">
              <c16:uniqueId val="{00000002-187B-42CF-8877-1C6BC1FA5016}"/>
            </c:ext>
          </c:extLst>
        </c:ser>
        <c:dLbls>
          <c:showLegendKey val="0"/>
          <c:showVal val="0"/>
          <c:showCatName val="0"/>
          <c:showSerName val="0"/>
          <c:showPercent val="0"/>
          <c:showBubbleSize val="0"/>
        </c:dLbls>
        <c:marker val="1"/>
        <c:smooth val="0"/>
        <c:axId val="1915399456"/>
        <c:axId val="1915405696"/>
      </c:lineChart>
      <c:catAx>
        <c:axId val="191539945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5405696"/>
        <c:crosses val="autoZero"/>
        <c:auto val="1"/>
        <c:lblAlgn val="ctr"/>
        <c:lblOffset val="100"/>
        <c:noMultiLvlLbl val="0"/>
      </c:catAx>
      <c:valAx>
        <c:axId val="19154056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53994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[Workbook.xlsx]Pivot_Analysis!PivotTable8</c:name>
    <c:fmtId val="10"/>
  </c:pivotSource>
  <c:chart>
    <c:autoTitleDeleted val="0"/>
    <c:pivotFmts>
      <c:pivotFmt>
        <c:idx val="0"/>
        <c:spPr>
          <a:solidFill>
            <a:schemeClr val="accent1"/>
          </a:solidFill>
          <a:ln>
            <a:noFill/>
          </a:ln>
          <a:effectLst/>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1"/>
          </a:solidFill>
          <a:ln>
            <a:noFill/>
          </a:ln>
          <a:effectLst/>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accent1"/>
          </a:solidFill>
          <a:ln>
            <a:noFill/>
          </a:ln>
          <a:effectLst/>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5"/>
        <c:spPr>
          <a:solidFill>
            <a:schemeClr val="accent1"/>
          </a:solidFill>
          <a:ln>
            <a:noFill/>
          </a:ln>
          <a:effectLst/>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6"/>
        <c:spPr>
          <a:solidFill>
            <a:schemeClr val="accent1"/>
          </a:solidFill>
          <a:ln>
            <a:noFill/>
          </a:ln>
          <a:effectLst/>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7"/>
        <c:spPr>
          <a:solidFill>
            <a:schemeClr val="accent1"/>
          </a:solidFill>
          <a:ln>
            <a:noFill/>
          </a:ln>
          <a:effectLst/>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8"/>
        <c:spPr>
          <a:solidFill>
            <a:schemeClr val="accent1"/>
          </a:solidFill>
          <a:ln>
            <a:noFill/>
          </a:ln>
          <a:effectLst/>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9"/>
        <c:spPr>
          <a:solidFill>
            <a:schemeClr val="accent1"/>
          </a:solidFill>
          <a:ln>
            <a:noFill/>
          </a:ln>
          <a:effectLst/>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0"/>
        <c:spPr>
          <a:solidFill>
            <a:schemeClr val="accent1"/>
          </a:solidFill>
          <a:ln>
            <a:noFill/>
          </a:ln>
          <a:effectLst/>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1"/>
        <c:spPr>
          <a:solidFill>
            <a:schemeClr val="accent1"/>
          </a:solidFill>
          <a:ln>
            <a:noFill/>
          </a:ln>
          <a:effectLst/>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Pivot_Analysis!$D$39</c:f>
              <c:strCache>
                <c:ptCount val="1"/>
                <c:pt idx="0">
                  <c:v>Average of Casual_Rentals</c:v>
                </c:pt>
              </c:strCache>
            </c:strRef>
          </c:tx>
          <c:spPr>
            <a:solidFill>
              <a:schemeClr val="accent1"/>
            </a:solidFill>
            <a:ln>
              <a:noFill/>
            </a:ln>
            <a:effectLst/>
            <a:sp3d/>
          </c:spPr>
          <c:invertIfNegative val="0"/>
          <c:cat>
            <c:strRef>
              <c:f>Pivot_Analysis!$C$40:$C$44</c:f>
              <c:strCache>
                <c:ptCount val="4"/>
                <c:pt idx="0">
                  <c:v>Clear</c:v>
                </c:pt>
                <c:pt idx="1">
                  <c:v>Cloudy</c:v>
                </c:pt>
                <c:pt idx="2">
                  <c:v>Light Rain</c:v>
                </c:pt>
                <c:pt idx="3">
                  <c:v>Heavy Rain</c:v>
                </c:pt>
              </c:strCache>
            </c:strRef>
          </c:cat>
          <c:val>
            <c:numRef>
              <c:f>Pivot_Analysis!$D$40:$D$44</c:f>
              <c:numCache>
                <c:formatCode>General</c:formatCode>
                <c:ptCount val="4"/>
                <c:pt idx="0">
                  <c:v>5.2986798679867988</c:v>
                </c:pt>
                <c:pt idx="1">
                  <c:v>4.9773462783171523</c:v>
                </c:pt>
                <c:pt idx="2">
                  <c:v>2.0357142857142856</c:v>
                </c:pt>
                <c:pt idx="3">
                  <c:v>1</c:v>
                </c:pt>
              </c:numCache>
            </c:numRef>
          </c:val>
          <c:extLst>
            <c:ext xmlns:c16="http://schemas.microsoft.com/office/drawing/2014/chart" uri="{C3380CC4-5D6E-409C-BE32-E72D297353CC}">
              <c16:uniqueId val="{00000000-4D3A-446F-A2FE-D7F5AB666E37}"/>
            </c:ext>
          </c:extLst>
        </c:ser>
        <c:ser>
          <c:idx val="1"/>
          <c:order val="1"/>
          <c:tx>
            <c:strRef>
              <c:f>Pivot_Analysis!$E$39</c:f>
              <c:strCache>
                <c:ptCount val="1"/>
                <c:pt idx="0">
                  <c:v>Average of Registered_Rentals</c:v>
                </c:pt>
              </c:strCache>
            </c:strRef>
          </c:tx>
          <c:spPr>
            <a:solidFill>
              <a:schemeClr val="accent2"/>
            </a:solidFill>
            <a:ln>
              <a:noFill/>
            </a:ln>
            <a:effectLst/>
            <a:sp3d/>
          </c:spPr>
          <c:invertIfNegative val="0"/>
          <c:cat>
            <c:strRef>
              <c:f>Pivot_Analysis!$C$40:$C$44</c:f>
              <c:strCache>
                <c:ptCount val="4"/>
                <c:pt idx="0">
                  <c:v>Clear</c:v>
                </c:pt>
                <c:pt idx="1">
                  <c:v>Cloudy</c:v>
                </c:pt>
                <c:pt idx="2">
                  <c:v>Light Rain</c:v>
                </c:pt>
                <c:pt idx="3">
                  <c:v>Heavy Rain</c:v>
                </c:pt>
              </c:strCache>
            </c:strRef>
          </c:cat>
          <c:val>
            <c:numRef>
              <c:f>Pivot_Analysis!$E$40:$E$44</c:f>
              <c:numCache>
                <c:formatCode>General</c:formatCode>
                <c:ptCount val="4"/>
                <c:pt idx="0">
                  <c:v>56.372937293729372</c:v>
                </c:pt>
                <c:pt idx="1">
                  <c:v>53.618122977346282</c:v>
                </c:pt>
                <c:pt idx="2">
                  <c:v>31.166666666666668</c:v>
                </c:pt>
                <c:pt idx="3">
                  <c:v>35</c:v>
                </c:pt>
              </c:numCache>
            </c:numRef>
          </c:val>
          <c:extLst>
            <c:ext xmlns:c16="http://schemas.microsoft.com/office/drawing/2014/chart" uri="{C3380CC4-5D6E-409C-BE32-E72D297353CC}">
              <c16:uniqueId val="{00000001-4D3A-446F-A2FE-D7F5AB666E37}"/>
            </c:ext>
          </c:extLst>
        </c:ser>
        <c:ser>
          <c:idx val="2"/>
          <c:order val="2"/>
          <c:tx>
            <c:strRef>
              <c:f>Pivot_Analysis!$F$39</c:f>
              <c:strCache>
                <c:ptCount val="1"/>
                <c:pt idx="0">
                  <c:v>Average of Total_Rentals</c:v>
                </c:pt>
              </c:strCache>
            </c:strRef>
          </c:tx>
          <c:spPr>
            <a:solidFill>
              <a:schemeClr val="accent3"/>
            </a:solidFill>
            <a:ln>
              <a:noFill/>
            </a:ln>
            <a:effectLst/>
            <a:sp3d/>
          </c:spPr>
          <c:invertIfNegative val="0"/>
          <c:cat>
            <c:strRef>
              <c:f>Pivot_Analysis!$C$40:$C$44</c:f>
              <c:strCache>
                <c:ptCount val="4"/>
                <c:pt idx="0">
                  <c:v>Clear</c:v>
                </c:pt>
                <c:pt idx="1">
                  <c:v>Cloudy</c:v>
                </c:pt>
                <c:pt idx="2">
                  <c:v>Light Rain</c:v>
                </c:pt>
                <c:pt idx="3">
                  <c:v>Heavy Rain</c:v>
                </c:pt>
              </c:strCache>
            </c:strRef>
          </c:cat>
          <c:val>
            <c:numRef>
              <c:f>Pivot_Analysis!$F$40:$F$44</c:f>
              <c:numCache>
                <c:formatCode>General</c:formatCode>
                <c:ptCount val="4"/>
                <c:pt idx="0">
                  <c:v>61.671617161716171</c:v>
                </c:pt>
                <c:pt idx="1">
                  <c:v>58.595469255663431</c:v>
                </c:pt>
                <c:pt idx="2">
                  <c:v>33.202380952380949</c:v>
                </c:pt>
                <c:pt idx="3">
                  <c:v>36</c:v>
                </c:pt>
              </c:numCache>
            </c:numRef>
          </c:val>
          <c:extLst>
            <c:ext xmlns:c16="http://schemas.microsoft.com/office/drawing/2014/chart" uri="{C3380CC4-5D6E-409C-BE32-E72D297353CC}">
              <c16:uniqueId val="{00000002-4D3A-446F-A2FE-D7F5AB666E37}"/>
            </c:ext>
          </c:extLst>
        </c:ser>
        <c:dLbls>
          <c:showLegendKey val="0"/>
          <c:showVal val="0"/>
          <c:showCatName val="0"/>
          <c:showSerName val="0"/>
          <c:showPercent val="0"/>
          <c:showBubbleSize val="0"/>
        </c:dLbls>
        <c:gapWidth val="150"/>
        <c:shape val="box"/>
        <c:axId val="369156512"/>
        <c:axId val="369141152"/>
        <c:axId val="1935811072"/>
      </c:bar3DChart>
      <c:catAx>
        <c:axId val="36915651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9141152"/>
        <c:crosses val="autoZero"/>
        <c:auto val="1"/>
        <c:lblAlgn val="ctr"/>
        <c:lblOffset val="100"/>
        <c:noMultiLvlLbl val="0"/>
      </c:catAx>
      <c:valAx>
        <c:axId val="3691411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9156512"/>
        <c:crosses val="autoZero"/>
        <c:crossBetween val="between"/>
      </c:valAx>
      <c:serAx>
        <c:axId val="1935811072"/>
        <c:scaling>
          <c:orientation val="minMax"/>
        </c:scaling>
        <c:delete val="1"/>
        <c:axPos val="b"/>
        <c:majorTickMark val="none"/>
        <c:minorTickMark val="none"/>
        <c:tickLblPos val="nextTo"/>
        <c:crossAx val="369141152"/>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[Workbook.xlsx]Pivot_Analysis!PivotTable 6</c:name>
    <c:fmtId val="3"/>
  </c:pivotSource>
  <c:chart>
    <c:autoTitleDeleted val="1"/>
    <c:pivotFmts>
      <c:pivotFmt>
        <c:idx val="0"/>
        <c:spPr>
          <a:solidFill>
            <a:schemeClr val="accent1"/>
          </a:solidFill>
          <a:ln>
            <a:noFill/>
          </a:ln>
          <a:effectLst/>
          <a:sp3d/>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delete val="1"/>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delete val="1"/>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delete val="1"/>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delete val="1"/>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delete val="1"/>
          <c:extLst>
            <c:ext xmlns:c15="http://schemas.microsoft.com/office/drawing/2012/chart" uri="{CE6537A1-D6FC-4f65-9D91-7224C49458BB}"/>
          </c:extLst>
        </c:dLbl>
      </c:pivotFmt>
      <c:pivotFmt>
        <c:idx val="7"/>
        <c:spPr>
          <a:solidFill>
            <a:schemeClr val="accent1"/>
          </a:solidFill>
          <a:ln>
            <a:noFill/>
          </a:ln>
          <a:effectLst/>
          <a:sp3d/>
        </c:spPr>
        <c:marker>
          <c:symbol val="none"/>
        </c:marker>
        <c:dLbl>
          <c:idx val="0"/>
          <c:delete val="1"/>
          <c:extLst>
            <c:ext xmlns:c15="http://schemas.microsoft.com/office/drawing/2012/chart" uri="{CE6537A1-D6FC-4f65-9D91-7224C49458BB}"/>
          </c:extLst>
        </c:dLbl>
      </c:pivotFmt>
      <c:pivotFmt>
        <c:idx val="8"/>
        <c:spPr>
          <a:solidFill>
            <a:schemeClr val="accent1"/>
          </a:solidFill>
          <a:ln>
            <a:noFill/>
          </a:ln>
          <a:effectLst/>
          <a:sp3d/>
        </c:spPr>
        <c:marker>
          <c:symbol val="none"/>
        </c:marker>
        <c:dLbl>
          <c:idx val="0"/>
          <c:delete val="1"/>
          <c:extLst>
            <c:ext xmlns:c15="http://schemas.microsoft.com/office/drawing/2012/chart" uri="{CE6537A1-D6FC-4f65-9D91-7224C49458BB}"/>
          </c:extLst>
        </c:dLbl>
      </c:pivotFmt>
      <c:pivotFmt>
        <c:idx val="9"/>
        <c:spPr>
          <a:solidFill>
            <a:schemeClr val="accent1"/>
          </a:solidFill>
          <a:ln>
            <a:noFill/>
          </a:ln>
          <a:effectLst/>
          <a:sp3d/>
        </c:spPr>
        <c:marker>
          <c:symbol val="none"/>
        </c:marker>
        <c:dLbl>
          <c:idx val="0"/>
          <c:delete val="1"/>
          <c:extLst>
            <c:ext xmlns:c15="http://schemas.microsoft.com/office/drawing/2012/chart" uri="{CE6537A1-D6FC-4f65-9D91-7224C49458BB}"/>
          </c:extLst>
        </c:dLbl>
      </c:pivotFmt>
      <c:pivotFmt>
        <c:idx val="10"/>
        <c:spPr>
          <a:solidFill>
            <a:schemeClr val="accent1"/>
          </a:solidFill>
          <a:ln>
            <a:noFill/>
          </a:ln>
          <a:effectLst/>
          <a:sp3d/>
        </c:spPr>
        <c:marker>
          <c:symbol val="none"/>
        </c:marker>
        <c:dLbl>
          <c:idx val="0"/>
          <c:delete val="1"/>
          <c:extLst>
            <c:ext xmlns:c15="http://schemas.microsoft.com/office/drawing/2012/chart" uri="{CE6537A1-D6FC-4f65-9D91-7224C49458BB}"/>
          </c:extLst>
        </c:dLbl>
      </c:pivotFmt>
      <c:pivotFmt>
        <c:idx val="11"/>
        <c:spPr>
          <a:solidFill>
            <a:schemeClr val="accent1"/>
          </a:solidFill>
          <a:ln>
            <a:noFill/>
          </a:ln>
          <a:effectLst/>
          <a:sp3d/>
        </c:spPr>
        <c:marker>
          <c:symbol val="none"/>
        </c:marker>
        <c:dLbl>
          <c:idx val="0"/>
          <c:delete val="1"/>
          <c:extLst>
            <c:ext xmlns:c15="http://schemas.microsoft.com/office/drawing/2012/chart" uri="{CE6537A1-D6FC-4f65-9D91-7224C49458BB}"/>
          </c:extLst>
        </c:dLbl>
      </c:pivotFmt>
      <c:pivotFmt>
        <c:idx val="12"/>
        <c:spPr>
          <a:solidFill>
            <a:schemeClr val="accent1"/>
          </a:solidFill>
          <a:ln>
            <a:noFill/>
          </a:ln>
          <a:effectLst/>
          <a:sp3d/>
        </c:spPr>
        <c:marker>
          <c:symbol val="none"/>
        </c:marker>
        <c:dLbl>
          <c:idx val="0"/>
          <c:delete val="1"/>
          <c:extLst>
            <c:ext xmlns:c15="http://schemas.microsoft.com/office/drawing/2012/chart" uri="{CE6537A1-D6FC-4f65-9D91-7224C49458BB}"/>
          </c:extLst>
        </c:dLbl>
      </c:pivotFmt>
      <c:pivotFmt>
        <c:idx val="13"/>
        <c:spPr>
          <a:solidFill>
            <a:schemeClr val="accent1"/>
          </a:solidFill>
          <a:ln>
            <a:noFill/>
          </a:ln>
          <a:effectLst/>
          <a:sp3d/>
        </c:spPr>
        <c:marker>
          <c:symbol val="none"/>
        </c:marker>
        <c:dLbl>
          <c:idx val="0"/>
          <c:delete val="1"/>
          <c:extLst>
            <c:ext xmlns:c15="http://schemas.microsoft.com/office/drawing/2012/chart" uri="{CE6537A1-D6FC-4f65-9D91-7224C49458BB}"/>
          </c:extLst>
        </c:dLbl>
      </c:pivotFmt>
      <c:pivotFmt>
        <c:idx val="14"/>
        <c:spPr>
          <a:solidFill>
            <a:schemeClr val="accent1"/>
          </a:solidFill>
          <a:ln>
            <a:noFill/>
          </a:ln>
          <a:effectLst/>
          <a:sp3d/>
        </c:spPr>
        <c:marker>
          <c:symbol val="none"/>
        </c:marker>
        <c:dLbl>
          <c:idx val="0"/>
          <c:delete val="1"/>
          <c:extLst>
            <c:ext xmlns:c15="http://schemas.microsoft.com/office/drawing/2012/chart" uri="{CE6537A1-D6FC-4f65-9D91-7224C49458BB}"/>
          </c:extLst>
        </c:dLbl>
      </c:pivotFmt>
      <c:pivotFmt>
        <c:idx val="15"/>
        <c:spPr>
          <a:solidFill>
            <a:schemeClr val="accent1"/>
          </a:solidFill>
          <a:ln>
            <a:noFill/>
          </a:ln>
          <a:effectLst/>
          <a:sp3d/>
        </c:spPr>
        <c:marker>
          <c:symbol val="none"/>
        </c:marker>
        <c:dLbl>
          <c:idx val="0"/>
          <c:delete val="1"/>
          <c:extLst>
            <c:ext xmlns:c15="http://schemas.microsoft.com/office/drawing/2012/chart" uri="{CE6537A1-D6FC-4f65-9D91-7224C49458BB}"/>
          </c:extLst>
        </c:dLbl>
      </c:pivotFmt>
      <c:pivotFmt>
        <c:idx val="16"/>
        <c:spPr>
          <a:solidFill>
            <a:schemeClr val="accent1"/>
          </a:solidFill>
          <a:ln>
            <a:noFill/>
          </a:ln>
          <a:effectLst/>
          <a:sp3d/>
        </c:spPr>
        <c:marker>
          <c:symbol val="none"/>
        </c:marker>
        <c:dLbl>
          <c:idx val="0"/>
          <c:delete val="1"/>
          <c:extLst>
            <c:ext xmlns:c15="http://schemas.microsoft.com/office/drawing/2012/chart" uri="{CE6537A1-D6FC-4f65-9D91-7224C49458BB}"/>
          </c:extLst>
        </c:dLbl>
      </c:pivotFmt>
      <c:pivotFmt>
        <c:idx val="17"/>
        <c:spPr>
          <a:solidFill>
            <a:schemeClr val="accent1"/>
          </a:solidFill>
          <a:ln>
            <a:noFill/>
          </a:ln>
          <a:effectLst/>
          <a:sp3d/>
        </c:spPr>
        <c:marker>
          <c:symbol val="none"/>
        </c:marker>
        <c:dLbl>
          <c:idx val="0"/>
          <c:delete val="1"/>
          <c:extLst>
            <c:ext xmlns:c15="http://schemas.microsoft.com/office/drawing/2012/chart" uri="{CE6537A1-D6FC-4f65-9D91-7224C49458BB}"/>
          </c:extLst>
        </c:dLbl>
      </c:pivotFmt>
      <c:pivotFmt>
        <c:idx val="18"/>
        <c:spPr>
          <a:solidFill>
            <a:schemeClr val="accent1"/>
          </a:solidFill>
          <a:ln>
            <a:noFill/>
          </a:ln>
          <a:effectLst/>
          <a:sp3d/>
        </c:spPr>
        <c:marker>
          <c:symbol val="none"/>
        </c:marker>
        <c:dLbl>
          <c:idx val="0"/>
          <c:delete val="1"/>
          <c:extLst>
            <c:ext xmlns:c15="http://schemas.microsoft.com/office/drawing/2012/chart" uri="{CE6537A1-D6FC-4f65-9D91-7224C49458BB}"/>
          </c:extLst>
        </c:dLbl>
      </c:pivotFmt>
      <c:pivotFmt>
        <c:idx val="19"/>
        <c:spPr>
          <a:solidFill>
            <a:schemeClr val="accent1"/>
          </a:solidFill>
          <a:ln>
            <a:noFill/>
          </a:ln>
          <a:effectLst/>
          <a:sp3d/>
        </c:spPr>
        <c:marker>
          <c:symbol val="none"/>
        </c:marker>
        <c:dLbl>
          <c:idx val="0"/>
          <c:delete val="1"/>
          <c:extLst>
            <c:ext xmlns:c15="http://schemas.microsoft.com/office/drawing/2012/chart" uri="{CE6537A1-D6FC-4f65-9D91-7224C49458BB}"/>
          </c:extLst>
        </c:dLbl>
      </c:pivotFmt>
      <c:pivotFmt>
        <c:idx val="20"/>
        <c:spPr>
          <a:solidFill>
            <a:schemeClr val="accent1"/>
          </a:solidFill>
          <a:ln>
            <a:noFill/>
          </a:ln>
          <a:effectLst/>
          <a:sp3d/>
        </c:spPr>
        <c:marker>
          <c:symbol val="none"/>
        </c:marker>
        <c:dLbl>
          <c:idx val="0"/>
          <c:delete val="1"/>
          <c:extLst>
            <c:ext xmlns:c15="http://schemas.microsoft.com/office/drawing/2012/chart" uri="{CE6537A1-D6FC-4f65-9D91-7224C49458BB}"/>
          </c:extLst>
        </c:dLbl>
      </c:pivotFmt>
      <c:pivotFmt>
        <c:idx val="21"/>
        <c:spPr>
          <a:solidFill>
            <a:schemeClr val="accent1"/>
          </a:solidFill>
          <a:ln>
            <a:noFill/>
          </a:ln>
          <a:effectLst/>
          <a:sp3d/>
        </c:spPr>
        <c:marker>
          <c:symbol val="none"/>
        </c:marker>
        <c:dLbl>
          <c:idx val="0"/>
          <c:delete val="1"/>
          <c:extLst>
            <c:ext xmlns:c15="http://schemas.microsoft.com/office/drawing/2012/chart" uri="{CE6537A1-D6FC-4f65-9D91-7224C49458BB}"/>
          </c:extLst>
        </c:dLbl>
      </c:pivotFmt>
      <c:pivotFmt>
        <c:idx val="22"/>
        <c:spPr>
          <a:solidFill>
            <a:schemeClr val="accent2"/>
          </a:solidFill>
          <a:ln>
            <a:noFill/>
          </a:ln>
          <a:effectLst/>
          <a:sp3d/>
        </c:spPr>
        <c:marker>
          <c:symbol val="none"/>
        </c:marker>
        <c:dLbl>
          <c:idx val="0"/>
          <c:delete val="1"/>
          <c:extLst>
            <c:ext xmlns:c15="http://schemas.microsoft.com/office/drawing/2012/chart" uri="{CE6537A1-D6FC-4f65-9D91-7224C49458BB}"/>
          </c:extLst>
        </c:dLbl>
      </c:pivotFmt>
      <c:pivotFmt>
        <c:idx val="23"/>
        <c:spPr>
          <a:solidFill>
            <a:schemeClr val="accent3"/>
          </a:solidFill>
          <a:ln>
            <a:noFill/>
          </a:ln>
          <a:effectLst/>
          <a:sp3d/>
        </c:spPr>
        <c:marker>
          <c:symbol val="none"/>
        </c:marker>
        <c:dLbl>
          <c:idx val="0"/>
          <c:delete val="1"/>
          <c:extLst>
            <c:ext xmlns:c15="http://schemas.microsoft.com/office/drawing/2012/chart" uri="{CE6537A1-D6FC-4f65-9D91-7224C49458BB}"/>
          </c:extLst>
        </c:dLbl>
      </c:pivotFmt>
      <c:pivotFmt>
        <c:idx val="24"/>
        <c:spPr>
          <a:solidFill>
            <a:schemeClr val="accent1"/>
          </a:solidFill>
          <a:ln>
            <a:noFill/>
          </a:ln>
          <a:effectLst/>
          <a:sp3d/>
        </c:spPr>
        <c:marker>
          <c:symbol val="none"/>
        </c:marker>
        <c:dLbl>
          <c:idx val="0"/>
          <c:delete val="1"/>
          <c:extLst>
            <c:ext xmlns:c15="http://schemas.microsoft.com/office/drawing/2012/chart" uri="{CE6537A1-D6FC-4f65-9D91-7224C49458BB}"/>
          </c:extLst>
        </c:dLbl>
      </c:pivotFmt>
      <c:pivotFmt>
        <c:idx val="25"/>
        <c:spPr>
          <a:solidFill>
            <a:schemeClr val="accent2"/>
          </a:solidFill>
          <a:ln>
            <a:noFill/>
          </a:ln>
          <a:effectLst/>
          <a:sp3d/>
        </c:spPr>
        <c:marker>
          <c:symbol val="none"/>
        </c:marker>
        <c:dLbl>
          <c:idx val="0"/>
          <c:delete val="1"/>
          <c:extLst>
            <c:ext xmlns:c15="http://schemas.microsoft.com/office/drawing/2012/chart" uri="{CE6537A1-D6FC-4f65-9D91-7224C49458BB}"/>
          </c:extLst>
        </c:dLbl>
      </c:pivotFmt>
      <c:pivotFmt>
        <c:idx val="26"/>
        <c:spPr>
          <a:solidFill>
            <a:schemeClr val="accent3"/>
          </a:solidFill>
          <a:ln>
            <a:noFill/>
          </a:ln>
          <a:effectLst/>
          <a:sp3d/>
        </c:spPr>
        <c:marker>
          <c:symbol val="none"/>
        </c:marker>
        <c:dLbl>
          <c:idx val="0"/>
          <c:delete val="1"/>
          <c:extLst>
            <c:ext xmlns:c15="http://schemas.microsoft.com/office/drawing/2012/chart" uri="{CE6537A1-D6FC-4f65-9D91-7224C49458BB}"/>
          </c:extLst>
        </c:dLbl>
      </c:pivotFmt>
      <c:pivotFmt>
        <c:idx val="27"/>
        <c:spPr>
          <a:solidFill>
            <a:schemeClr val="accent1"/>
          </a:solidFill>
          <a:ln>
            <a:noFill/>
          </a:ln>
          <a:effectLst/>
          <a:sp3d/>
        </c:spPr>
        <c:marker>
          <c:symbol val="none"/>
        </c:marker>
        <c:dLbl>
          <c:idx val="0"/>
          <c:delete val="1"/>
          <c:extLst>
            <c:ext xmlns:c15="http://schemas.microsoft.com/office/drawing/2012/chart" uri="{CE6537A1-D6FC-4f65-9D91-7224C49458BB}"/>
          </c:extLst>
        </c:dLbl>
      </c:pivotFmt>
      <c:pivotFmt>
        <c:idx val="28"/>
        <c:spPr>
          <a:solidFill>
            <a:schemeClr val="accent2"/>
          </a:solidFill>
          <a:ln>
            <a:noFill/>
          </a:ln>
          <a:effectLst/>
          <a:sp3d/>
        </c:spPr>
        <c:marker>
          <c:symbol val="none"/>
        </c:marker>
        <c:dLbl>
          <c:idx val="0"/>
          <c:delete val="1"/>
          <c:extLst>
            <c:ext xmlns:c15="http://schemas.microsoft.com/office/drawing/2012/chart" uri="{CE6537A1-D6FC-4f65-9D91-7224C49458BB}"/>
          </c:extLst>
        </c:dLbl>
      </c:pivotFmt>
      <c:pivotFmt>
        <c:idx val="29"/>
        <c:spPr>
          <a:solidFill>
            <a:schemeClr val="accent3"/>
          </a:solidFill>
          <a:ln>
            <a:noFill/>
          </a:ln>
          <a:effectLst/>
          <a:sp3d/>
        </c:spPr>
        <c:marker>
          <c:symbol val="none"/>
        </c:marker>
        <c:dLbl>
          <c:idx val="0"/>
          <c:delete val="1"/>
          <c:extLst>
            <c:ext xmlns:c15="http://schemas.microsoft.com/office/drawing/2012/chart" uri="{CE6537A1-D6FC-4f65-9D91-7224C49458BB}"/>
          </c:extLst>
        </c:dLbl>
      </c:pivotFmt>
      <c:pivotFmt>
        <c:idx val="30"/>
        <c:spPr>
          <a:solidFill>
            <a:schemeClr val="accent1"/>
          </a:solidFill>
          <a:ln>
            <a:noFill/>
          </a:ln>
          <a:effectLst/>
          <a:sp3d/>
        </c:spPr>
        <c:marker>
          <c:symbol val="none"/>
        </c:marker>
        <c:dLbl>
          <c:idx val="0"/>
          <c:delete val="1"/>
          <c:extLst>
            <c:ext xmlns:c15="http://schemas.microsoft.com/office/drawing/2012/chart" uri="{CE6537A1-D6FC-4f65-9D91-7224C49458BB}"/>
          </c:extLst>
        </c:dLbl>
      </c:pivotFmt>
      <c:pivotFmt>
        <c:idx val="31"/>
        <c:spPr>
          <a:solidFill>
            <a:schemeClr val="accent2"/>
          </a:solidFill>
          <a:ln>
            <a:noFill/>
          </a:ln>
          <a:effectLst/>
          <a:sp3d/>
        </c:spPr>
        <c:marker>
          <c:symbol val="none"/>
        </c:marker>
        <c:dLbl>
          <c:idx val="0"/>
          <c:delete val="1"/>
          <c:extLst>
            <c:ext xmlns:c15="http://schemas.microsoft.com/office/drawing/2012/chart" uri="{CE6537A1-D6FC-4f65-9D91-7224C49458BB}"/>
          </c:extLst>
        </c:dLbl>
      </c:pivotFmt>
      <c:pivotFmt>
        <c:idx val="32"/>
        <c:spPr>
          <a:solidFill>
            <a:schemeClr val="accent3"/>
          </a:solidFill>
          <a:ln>
            <a:noFill/>
          </a:ln>
          <a:effectLst/>
          <a:sp3d/>
        </c:spPr>
        <c:marker>
          <c:symbol val="none"/>
        </c:marker>
        <c:dLbl>
          <c:idx val="0"/>
          <c:delete val="1"/>
          <c:extLst>
            <c:ext xmlns:c15="http://schemas.microsoft.com/office/drawing/2012/chart" uri="{CE6537A1-D6FC-4f65-9D91-7224C49458BB}"/>
          </c:extLst>
        </c:dLbl>
      </c:pivotFmt>
      <c:pivotFmt>
        <c:idx val="33"/>
        <c:spPr>
          <a:solidFill>
            <a:schemeClr val="accent1"/>
          </a:solidFill>
          <a:ln>
            <a:noFill/>
          </a:ln>
          <a:effectLst/>
          <a:sp3d/>
        </c:spPr>
        <c:marker>
          <c:symbol val="none"/>
        </c:marker>
        <c:dLbl>
          <c:idx val="0"/>
          <c:delete val="1"/>
          <c:extLst>
            <c:ext xmlns:c15="http://schemas.microsoft.com/office/drawing/2012/chart" uri="{CE6537A1-D6FC-4f65-9D91-7224C49458BB}"/>
          </c:extLst>
        </c:dLbl>
      </c:pivotFmt>
      <c:pivotFmt>
        <c:idx val="34"/>
        <c:spPr>
          <a:solidFill>
            <a:schemeClr val="accent2"/>
          </a:solidFill>
          <a:ln>
            <a:noFill/>
          </a:ln>
          <a:effectLst/>
          <a:sp3d/>
        </c:spPr>
        <c:marker>
          <c:symbol val="none"/>
        </c:marker>
        <c:dLbl>
          <c:idx val="0"/>
          <c:delete val="1"/>
          <c:extLst>
            <c:ext xmlns:c15="http://schemas.microsoft.com/office/drawing/2012/chart" uri="{CE6537A1-D6FC-4f65-9D91-7224C49458BB}"/>
          </c:extLst>
        </c:dLbl>
      </c:pivotFmt>
      <c:pivotFmt>
        <c:idx val="35"/>
        <c:spPr>
          <a:solidFill>
            <a:schemeClr val="accent3"/>
          </a:solidFill>
          <a:ln>
            <a:noFill/>
          </a:ln>
          <a:effectLst/>
          <a:sp3d/>
        </c:spPr>
        <c:marker>
          <c:symbol val="none"/>
        </c:marker>
        <c:dLbl>
          <c:idx val="0"/>
          <c:delete val="1"/>
          <c:extLst>
            <c:ext xmlns:c15="http://schemas.microsoft.com/office/drawing/2012/chart" uri="{CE6537A1-D6FC-4f65-9D91-7224C49458BB}"/>
          </c:extLst>
        </c:dLbl>
      </c:pivotFmt>
      <c:pivotFmt>
        <c:idx val="36"/>
        <c:spPr>
          <a:solidFill>
            <a:schemeClr val="accent1"/>
          </a:solidFill>
          <a:ln>
            <a:noFill/>
          </a:ln>
          <a:effectLst/>
          <a:sp3d/>
        </c:spPr>
        <c:marker>
          <c:symbol val="none"/>
        </c:marker>
        <c:dLbl>
          <c:idx val="0"/>
          <c:delete val="1"/>
          <c:extLst>
            <c:ext xmlns:c15="http://schemas.microsoft.com/office/drawing/2012/chart" uri="{CE6537A1-D6FC-4f65-9D91-7224C49458BB}"/>
          </c:extLst>
        </c:dLbl>
      </c:pivotFmt>
      <c:pivotFmt>
        <c:idx val="37"/>
        <c:spPr>
          <a:solidFill>
            <a:schemeClr val="accent2"/>
          </a:solidFill>
          <a:ln>
            <a:noFill/>
          </a:ln>
          <a:effectLst/>
          <a:sp3d/>
        </c:spPr>
        <c:marker>
          <c:symbol val="none"/>
        </c:marker>
        <c:dLbl>
          <c:idx val="0"/>
          <c:delete val="1"/>
          <c:extLst>
            <c:ext xmlns:c15="http://schemas.microsoft.com/office/drawing/2012/chart" uri="{CE6537A1-D6FC-4f65-9D91-7224C49458BB}"/>
          </c:extLst>
        </c:dLbl>
      </c:pivotFmt>
      <c:pivotFmt>
        <c:idx val="38"/>
        <c:spPr>
          <a:solidFill>
            <a:schemeClr val="accent3"/>
          </a:solidFill>
          <a:ln>
            <a:noFill/>
          </a:ln>
          <a:effectLst/>
          <a:sp3d/>
        </c:spPr>
        <c:marker>
          <c:symbol val="none"/>
        </c:marker>
        <c:dLbl>
          <c:idx val="0"/>
          <c:delete val="1"/>
          <c:extLst>
            <c:ext xmlns:c15="http://schemas.microsoft.com/office/drawing/2012/chart" uri="{CE6537A1-D6FC-4f65-9D91-7224C49458BB}"/>
          </c:extLst>
        </c:dLbl>
      </c:pivotFmt>
      <c:pivotFmt>
        <c:idx val="39"/>
        <c:spPr>
          <a:solidFill>
            <a:schemeClr val="accent1"/>
          </a:solidFill>
          <a:ln>
            <a:noFill/>
          </a:ln>
          <a:effectLst/>
          <a:sp3d/>
        </c:spPr>
        <c:marker>
          <c:symbol val="none"/>
        </c:marker>
        <c:dLbl>
          <c:idx val="0"/>
          <c:delete val="1"/>
          <c:extLst>
            <c:ext xmlns:c15="http://schemas.microsoft.com/office/drawing/2012/chart" uri="{CE6537A1-D6FC-4f65-9D91-7224C49458BB}"/>
          </c:extLst>
        </c:dLbl>
      </c:pivotFmt>
      <c:pivotFmt>
        <c:idx val="40"/>
        <c:spPr>
          <a:solidFill>
            <a:schemeClr val="accent2"/>
          </a:solidFill>
          <a:ln>
            <a:noFill/>
          </a:ln>
          <a:effectLst/>
          <a:sp3d/>
        </c:spPr>
        <c:marker>
          <c:symbol val="none"/>
        </c:marker>
        <c:dLbl>
          <c:idx val="0"/>
          <c:delete val="1"/>
          <c:extLst>
            <c:ext xmlns:c15="http://schemas.microsoft.com/office/drawing/2012/chart" uri="{CE6537A1-D6FC-4f65-9D91-7224C49458BB}"/>
          </c:extLst>
        </c:dLbl>
      </c:pivotFmt>
      <c:pivotFmt>
        <c:idx val="41"/>
        <c:spPr>
          <a:solidFill>
            <a:schemeClr val="accent3"/>
          </a:solidFill>
          <a:ln>
            <a:noFill/>
          </a:ln>
          <a:effectLst/>
          <a:sp3d/>
        </c:spPr>
        <c:marker>
          <c:symbol val="none"/>
        </c:marker>
        <c:dLbl>
          <c:idx val="0"/>
          <c:delete val="1"/>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Pivot_Analysis!$I$50</c:f>
              <c:strCache>
                <c:ptCount val="1"/>
                <c:pt idx="0">
                  <c:v>Average of Casual_Rentals</c:v>
                </c:pt>
              </c:strCache>
            </c:strRef>
          </c:tx>
          <c:spPr>
            <a:solidFill>
              <a:schemeClr val="accent1"/>
            </a:solidFill>
            <a:ln>
              <a:noFill/>
            </a:ln>
            <a:effectLst/>
            <a:sp3d/>
          </c:spPr>
          <c:invertIfNegative val="0"/>
          <c:cat>
            <c:strRef>
              <c:f>Pivot_Analysis!$H$51:$H$55</c:f>
              <c:strCache>
                <c:ptCount val="4"/>
                <c:pt idx="0">
                  <c:v>0.2-0.4</c:v>
                </c:pt>
                <c:pt idx="1">
                  <c:v>0.4-0.6</c:v>
                </c:pt>
                <c:pt idx="2">
                  <c:v>0.6-0.8</c:v>
                </c:pt>
                <c:pt idx="3">
                  <c:v>0.8-1</c:v>
                </c:pt>
              </c:strCache>
            </c:strRef>
          </c:cat>
          <c:val>
            <c:numRef>
              <c:f>Pivot_Analysis!$I$51:$I$55</c:f>
              <c:numCache>
                <c:formatCode>General</c:formatCode>
                <c:ptCount val="4"/>
                <c:pt idx="0">
                  <c:v>10.459119496855346</c:v>
                </c:pt>
                <c:pt idx="1">
                  <c:v>4.363844393592677</c:v>
                </c:pt>
                <c:pt idx="2">
                  <c:v>3.8287037037037037</c:v>
                </c:pt>
                <c:pt idx="3">
                  <c:v>2.7872340425531914</c:v>
                </c:pt>
              </c:numCache>
            </c:numRef>
          </c:val>
          <c:extLst>
            <c:ext xmlns:c16="http://schemas.microsoft.com/office/drawing/2014/chart" uri="{C3380CC4-5D6E-409C-BE32-E72D297353CC}">
              <c16:uniqueId val="{00000010-ECDE-47FD-A642-F6E9DEE46B23}"/>
            </c:ext>
          </c:extLst>
        </c:ser>
        <c:ser>
          <c:idx val="1"/>
          <c:order val="1"/>
          <c:tx>
            <c:strRef>
              <c:f>Pivot_Analysis!$J$50</c:f>
              <c:strCache>
                <c:ptCount val="1"/>
                <c:pt idx="0">
                  <c:v>Average of Registered_Rentals</c:v>
                </c:pt>
              </c:strCache>
            </c:strRef>
          </c:tx>
          <c:spPr>
            <a:solidFill>
              <a:schemeClr val="accent2"/>
            </a:solidFill>
            <a:ln>
              <a:noFill/>
            </a:ln>
            <a:effectLst/>
            <a:sp3d/>
          </c:spPr>
          <c:invertIfNegative val="0"/>
          <c:cat>
            <c:strRef>
              <c:f>Pivot_Analysis!$H$51:$H$55</c:f>
              <c:strCache>
                <c:ptCount val="4"/>
                <c:pt idx="0">
                  <c:v>0.2-0.4</c:v>
                </c:pt>
                <c:pt idx="1">
                  <c:v>0.4-0.6</c:v>
                </c:pt>
                <c:pt idx="2">
                  <c:v>0.6-0.8</c:v>
                </c:pt>
                <c:pt idx="3">
                  <c:v>0.8-1</c:v>
                </c:pt>
              </c:strCache>
            </c:strRef>
          </c:cat>
          <c:val>
            <c:numRef>
              <c:f>Pivot_Analysis!$J$51:$J$55</c:f>
              <c:numCache>
                <c:formatCode>General</c:formatCode>
                <c:ptCount val="4"/>
                <c:pt idx="0">
                  <c:v>72.522012578616355</c:v>
                </c:pt>
                <c:pt idx="1">
                  <c:v>57.897025171624712</c:v>
                </c:pt>
                <c:pt idx="2">
                  <c:v>42.430555555555557</c:v>
                </c:pt>
                <c:pt idx="3">
                  <c:v>39.287234042553195</c:v>
                </c:pt>
              </c:numCache>
            </c:numRef>
          </c:val>
          <c:extLst>
            <c:ext xmlns:c16="http://schemas.microsoft.com/office/drawing/2014/chart" uri="{C3380CC4-5D6E-409C-BE32-E72D297353CC}">
              <c16:uniqueId val="{00000012-ECDE-47FD-A642-F6E9DEE46B23}"/>
            </c:ext>
          </c:extLst>
        </c:ser>
        <c:ser>
          <c:idx val="2"/>
          <c:order val="2"/>
          <c:tx>
            <c:strRef>
              <c:f>Pivot_Analysis!$K$50</c:f>
              <c:strCache>
                <c:ptCount val="1"/>
                <c:pt idx="0">
                  <c:v>Average of Total_Rentals</c:v>
                </c:pt>
              </c:strCache>
            </c:strRef>
          </c:tx>
          <c:spPr>
            <a:solidFill>
              <a:schemeClr val="accent3"/>
            </a:solidFill>
            <a:ln>
              <a:noFill/>
            </a:ln>
            <a:effectLst/>
            <a:sp3d/>
          </c:spPr>
          <c:invertIfNegative val="0"/>
          <c:cat>
            <c:strRef>
              <c:f>Pivot_Analysis!$H$51:$H$55</c:f>
              <c:strCache>
                <c:ptCount val="4"/>
                <c:pt idx="0">
                  <c:v>0.2-0.4</c:v>
                </c:pt>
                <c:pt idx="1">
                  <c:v>0.4-0.6</c:v>
                </c:pt>
                <c:pt idx="2">
                  <c:v>0.6-0.8</c:v>
                </c:pt>
                <c:pt idx="3">
                  <c:v>0.8-1</c:v>
                </c:pt>
              </c:strCache>
            </c:strRef>
          </c:cat>
          <c:val>
            <c:numRef>
              <c:f>Pivot_Analysis!$K$51:$K$55</c:f>
              <c:numCache>
                <c:formatCode>General</c:formatCode>
                <c:ptCount val="4"/>
                <c:pt idx="0">
                  <c:v>82.981132075471692</c:v>
                </c:pt>
                <c:pt idx="1">
                  <c:v>62.260869565217391</c:v>
                </c:pt>
                <c:pt idx="2">
                  <c:v>46.25925925925926</c:v>
                </c:pt>
                <c:pt idx="3">
                  <c:v>42.074468085106382</c:v>
                </c:pt>
              </c:numCache>
            </c:numRef>
          </c:val>
          <c:extLst>
            <c:ext xmlns:c16="http://schemas.microsoft.com/office/drawing/2014/chart" uri="{C3380CC4-5D6E-409C-BE32-E72D297353CC}">
              <c16:uniqueId val="{00000014-ECDE-47FD-A642-F6E9DEE46B23}"/>
            </c:ext>
          </c:extLst>
        </c:ser>
        <c:dLbls>
          <c:showLegendKey val="0"/>
          <c:showVal val="0"/>
          <c:showCatName val="0"/>
          <c:showSerName val="0"/>
          <c:showPercent val="0"/>
          <c:showBubbleSize val="0"/>
        </c:dLbls>
        <c:gapWidth val="150"/>
        <c:shape val="box"/>
        <c:axId val="369156512"/>
        <c:axId val="369141152"/>
        <c:axId val="1935811072"/>
      </c:bar3DChart>
      <c:catAx>
        <c:axId val="36915651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9141152"/>
        <c:crosses val="autoZero"/>
        <c:auto val="1"/>
        <c:lblAlgn val="ctr"/>
        <c:lblOffset val="100"/>
        <c:noMultiLvlLbl val="0"/>
      </c:catAx>
      <c:valAx>
        <c:axId val="3691411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9156512"/>
        <c:crosses val="autoZero"/>
        <c:crossBetween val="between"/>
      </c:valAx>
      <c:serAx>
        <c:axId val="1935811072"/>
        <c:scaling>
          <c:orientation val="minMax"/>
        </c:scaling>
        <c:delete val="1"/>
        <c:axPos val="b"/>
        <c:majorTickMark val="none"/>
        <c:minorTickMark val="none"/>
        <c:tickLblPos val="nextTo"/>
        <c:crossAx val="369141152"/>
        <c:crosses val="autoZero"/>
      </c:serAx>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600" b="0" i="0" u="none" strike="noStrike" kern="1200" cap="none" spc="50" normalizeH="0" baseline="0">
              <a:solidFill>
                <a:schemeClr val="tx1">
                  <a:lumMod val="65000"/>
                  <a:lumOff val="35000"/>
                </a:schemeClr>
              </a:solidFill>
              <a:latin typeface="+mj-lt"/>
              <a:ea typeface="+mj-ea"/>
              <a:cs typeface="+mj-cs"/>
            </a:defRPr>
          </a:pPr>
          <a:endParaRPr lang="en-US"/>
        </a:p>
      </c:txPr>
    </c:title>
    <c:autoTitleDeleted val="0"/>
    <c:plotArea>
      <c:layout/>
      <c:scatterChart>
        <c:scatterStyle val="lineMarker"/>
        <c:varyColors val="0"/>
        <c:ser>
          <c:idx val="0"/>
          <c:order val="0"/>
          <c:tx>
            <c:strRef>
              <c:f>'Cleaned_DatasetB'!$Q$1</c:f>
              <c:strCache>
                <c:ptCount val="1"/>
                <c:pt idx="0">
                  <c:v>Total_Rentals</c:v>
                </c:pt>
              </c:strCache>
            </c:strRef>
          </c:tx>
          <c:spPr>
            <a:ln w="25400" cap="rnd">
              <a:noFill/>
              <a:round/>
            </a:ln>
            <a:effectLst/>
          </c:spPr>
          <c:marker>
            <c:symbol val="circle"/>
            <c:size val="6"/>
            <c:spPr>
              <a:solidFill>
                <a:schemeClr val="lt1"/>
              </a:solidFill>
              <a:ln w="38100">
                <a:solidFill>
                  <a:schemeClr val="accent1">
                    <a:alpha val="60000"/>
                  </a:schemeClr>
                </a:solidFill>
              </a:ln>
              <a:effectLst/>
            </c:spPr>
          </c:marker>
          <c:xVal>
            <c:numRef>
              <c:f>'Cleaned_DatasetB'!$K$2:$K$1001</c:f>
              <c:numCache>
                <c:formatCode>General</c:formatCode>
                <c:ptCount val="1000"/>
                <c:pt idx="0">
                  <c:v>0.24</c:v>
                </c:pt>
                <c:pt idx="1">
                  <c:v>0.22</c:v>
                </c:pt>
                <c:pt idx="2">
                  <c:v>0.22</c:v>
                </c:pt>
                <c:pt idx="3">
                  <c:v>0.24</c:v>
                </c:pt>
                <c:pt idx="4">
                  <c:v>0.24</c:v>
                </c:pt>
                <c:pt idx="5">
                  <c:v>0.24</c:v>
                </c:pt>
                <c:pt idx="6">
                  <c:v>0.22</c:v>
                </c:pt>
                <c:pt idx="7">
                  <c:v>0.2</c:v>
                </c:pt>
                <c:pt idx="8">
                  <c:v>0.24</c:v>
                </c:pt>
                <c:pt idx="9">
                  <c:v>0.32</c:v>
                </c:pt>
                <c:pt idx="10">
                  <c:v>0.38</c:v>
                </c:pt>
                <c:pt idx="11">
                  <c:v>0.36</c:v>
                </c:pt>
                <c:pt idx="12">
                  <c:v>0.42</c:v>
                </c:pt>
                <c:pt idx="13">
                  <c:v>0.46</c:v>
                </c:pt>
                <c:pt idx="14">
                  <c:v>0.46</c:v>
                </c:pt>
                <c:pt idx="15">
                  <c:v>0.44</c:v>
                </c:pt>
                <c:pt idx="16">
                  <c:v>0.42</c:v>
                </c:pt>
                <c:pt idx="17">
                  <c:v>0.44</c:v>
                </c:pt>
                <c:pt idx="18">
                  <c:v>0.42</c:v>
                </c:pt>
                <c:pt idx="19">
                  <c:v>0.42</c:v>
                </c:pt>
                <c:pt idx="20">
                  <c:v>0.4</c:v>
                </c:pt>
                <c:pt idx="21">
                  <c:v>0.4</c:v>
                </c:pt>
                <c:pt idx="22">
                  <c:v>0.4</c:v>
                </c:pt>
                <c:pt idx="23">
                  <c:v>0.46</c:v>
                </c:pt>
                <c:pt idx="24">
                  <c:v>0.46</c:v>
                </c:pt>
                <c:pt idx="25">
                  <c:v>0.44</c:v>
                </c:pt>
                <c:pt idx="26">
                  <c:v>0.42</c:v>
                </c:pt>
                <c:pt idx="27">
                  <c:v>0.46</c:v>
                </c:pt>
                <c:pt idx="28">
                  <c:v>0.46</c:v>
                </c:pt>
                <c:pt idx="29">
                  <c:v>0.42</c:v>
                </c:pt>
                <c:pt idx="30">
                  <c:v>0.4</c:v>
                </c:pt>
                <c:pt idx="31">
                  <c:v>0.4</c:v>
                </c:pt>
                <c:pt idx="32">
                  <c:v>0.38</c:v>
                </c:pt>
                <c:pt idx="33">
                  <c:v>0.36</c:v>
                </c:pt>
                <c:pt idx="34">
                  <c:v>0.36</c:v>
                </c:pt>
                <c:pt idx="35">
                  <c:v>0.36</c:v>
                </c:pt>
                <c:pt idx="36">
                  <c:v>0.36</c:v>
                </c:pt>
                <c:pt idx="37">
                  <c:v>0.36</c:v>
                </c:pt>
                <c:pt idx="38">
                  <c:v>0.34</c:v>
                </c:pt>
                <c:pt idx="39">
                  <c:v>0.34</c:v>
                </c:pt>
                <c:pt idx="40">
                  <c:v>0.34</c:v>
                </c:pt>
                <c:pt idx="41">
                  <c:v>0.36</c:v>
                </c:pt>
                <c:pt idx="42">
                  <c:v>0.32</c:v>
                </c:pt>
                <c:pt idx="43">
                  <c:v>0.3</c:v>
                </c:pt>
                <c:pt idx="44">
                  <c:v>0.26</c:v>
                </c:pt>
                <c:pt idx="45">
                  <c:v>0.24</c:v>
                </c:pt>
                <c:pt idx="46">
                  <c:v>0.22</c:v>
                </c:pt>
                <c:pt idx="47">
                  <c:v>0.22</c:v>
                </c:pt>
                <c:pt idx="48">
                  <c:v>0.2</c:v>
                </c:pt>
                <c:pt idx="49">
                  <c:v>0.16</c:v>
                </c:pt>
                <c:pt idx="50">
                  <c:v>0.16</c:v>
                </c:pt>
                <c:pt idx="51">
                  <c:v>0.14000000000000001</c:v>
                </c:pt>
                <c:pt idx="52">
                  <c:v>0.14000000000000001</c:v>
                </c:pt>
                <c:pt idx="53">
                  <c:v>0.14000000000000001</c:v>
                </c:pt>
                <c:pt idx="54">
                  <c:v>0.16</c:v>
                </c:pt>
                <c:pt idx="55">
                  <c:v>0.18</c:v>
                </c:pt>
                <c:pt idx="56">
                  <c:v>0.2</c:v>
                </c:pt>
                <c:pt idx="57">
                  <c:v>0.22</c:v>
                </c:pt>
                <c:pt idx="58">
                  <c:v>0.24</c:v>
                </c:pt>
                <c:pt idx="59">
                  <c:v>0.26</c:v>
                </c:pt>
                <c:pt idx="60">
                  <c:v>0.26</c:v>
                </c:pt>
                <c:pt idx="61">
                  <c:v>0.26</c:v>
                </c:pt>
                <c:pt idx="62">
                  <c:v>0.24</c:v>
                </c:pt>
                <c:pt idx="63">
                  <c:v>0.24</c:v>
                </c:pt>
                <c:pt idx="64">
                  <c:v>0.2</c:v>
                </c:pt>
                <c:pt idx="65">
                  <c:v>0.2</c:v>
                </c:pt>
                <c:pt idx="66">
                  <c:v>0.18</c:v>
                </c:pt>
                <c:pt idx="67">
                  <c:v>0.14000000000000001</c:v>
                </c:pt>
                <c:pt idx="68">
                  <c:v>0.18</c:v>
                </c:pt>
                <c:pt idx="69">
                  <c:v>0.16</c:v>
                </c:pt>
                <c:pt idx="70">
                  <c:v>0.16</c:v>
                </c:pt>
                <c:pt idx="71">
                  <c:v>0.14000000000000001</c:v>
                </c:pt>
                <c:pt idx="72">
                  <c:v>0.14000000000000001</c:v>
                </c:pt>
                <c:pt idx="73">
                  <c:v>0.12</c:v>
                </c:pt>
                <c:pt idx="74">
                  <c:v>0.12</c:v>
                </c:pt>
                <c:pt idx="75">
                  <c:v>0.12</c:v>
                </c:pt>
                <c:pt idx="76">
                  <c:v>0.14000000000000001</c:v>
                </c:pt>
                <c:pt idx="77">
                  <c:v>0.16</c:v>
                </c:pt>
                <c:pt idx="78">
                  <c:v>0.16</c:v>
                </c:pt>
                <c:pt idx="79">
                  <c:v>0.22</c:v>
                </c:pt>
                <c:pt idx="80">
                  <c:v>0.22</c:v>
                </c:pt>
                <c:pt idx="81">
                  <c:v>0.24</c:v>
                </c:pt>
                <c:pt idx="82">
                  <c:v>0.26</c:v>
                </c:pt>
                <c:pt idx="83">
                  <c:v>0.28000000000000003</c:v>
                </c:pt>
                <c:pt idx="84">
                  <c:v>0.3</c:v>
                </c:pt>
                <c:pt idx="85">
                  <c:v>0.28000000000000003</c:v>
                </c:pt>
                <c:pt idx="86">
                  <c:v>0.26</c:v>
                </c:pt>
                <c:pt idx="87">
                  <c:v>0.24</c:v>
                </c:pt>
                <c:pt idx="88">
                  <c:v>0.24</c:v>
                </c:pt>
                <c:pt idx="89">
                  <c:v>0.22</c:v>
                </c:pt>
                <c:pt idx="90">
                  <c:v>0.22</c:v>
                </c:pt>
                <c:pt idx="91">
                  <c:v>0.2</c:v>
                </c:pt>
                <c:pt idx="92">
                  <c:v>0.2</c:v>
                </c:pt>
                <c:pt idx="93">
                  <c:v>0.16</c:v>
                </c:pt>
                <c:pt idx="94">
                  <c:v>0.16</c:v>
                </c:pt>
                <c:pt idx="95">
                  <c:v>0.24</c:v>
                </c:pt>
                <c:pt idx="96">
                  <c:v>0.22</c:v>
                </c:pt>
                <c:pt idx="97">
                  <c:v>0.2</c:v>
                </c:pt>
                <c:pt idx="98">
                  <c:v>0.18</c:v>
                </c:pt>
                <c:pt idx="99">
                  <c:v>0.2</c:v>
                </c:pt>
                <c:pt idx="100">
                  <c:v>0.22</c:v>
                </c:pt>
                <c:pt idx="101">
                  <c:v>0.22</c:v>
                </c:pt>
                <c:pt idx="102">
                  <c:v>0.26</c:v>
                </c:pt>
                <c:pt idx="103">
                  <c:v>0.26</c:v>
                </c:pt>
                <c:pt idx="104">
                  <c:v>0.28000000000000003</c:v>
                </c:pt>
                <c:pt idx="105">
                  <c:v>0.3</c:v>
                </c:pt>
                <c:pt idx="106">
                  <c:v>0.3</c:v>
                </c:pt>
                <c:pt idx="107">
                  <c:v>0.3</c:v>
                </c:pt>
                <c:pt idx="108">
                  <c:v>0.24</c:v>
                </c:pt>
                <c:pt idx="109">
                  <c:v>0.24</c:v>
                </c:pt>
                <c:pt idx="110">
                  <c:v>0.24</c:v>
                </c:pt>
                <c:pt idx="111">
                  <c:v>0.22</c:v>
                </c:pt>
                <c:pt idx="112">
                  <c:v>0.2</c:v>
                </c:pt>
                <c:pt idx="113">
                  <c:v>0.18</c:v>
                </c:pt>
                <c:pt idx="114">
                  <c:v>0.2</c:v>
                </c:pt>
                <c:pt idx="115">
                  <c:v>0.18</c:v>
                </c:pt>
                <c:pt idx="116">
                  <c:v>0.16</c:v>
                </c:pt>
                <c:pt idx="117">
                  <c:v>0.16</c:v>
                </c:pt>
                <c:pt idx="118">
                  <c:v>0.16</c:v>
                </c:pt>
                <c:pt idx="119">
                  <c:v>0.14000000000000001</c:v>
                </c:pt>
                <c:pt idx="120">
                  <c:v>0.14000000000000001</c:v>
                </c:pt>
                <c:pt idx="121">
                  <c:v>0.16</c:v>
                </c:pt>
                <c:pt idx="122">
                  <c:v>0.16</c:v>
                </c:pt>
                <c:pt idx="123">
                  <c:v>0.18</c:v>
                </c:pt>
                <c:pt idx="124">
                  <c:v>0.2</c:v>
                </c:pt>
                <c:pt idx="125">
                  <c:v>0.22</c:v>
                </c:pt>
                <c:pt idx="126">
                  <c:v>0.26</c:v>
                </c:pt>
                <c:pt idx="127">
                  <c:v>0.26</c:v>
                </c:pt>
                <c:pt idx="128">
                  <c:v>0.28000000000000003</c:v>
                </c:pt>
                <c:pt idx="129">
                  <c:v>0.28000000000000003</c:v>
                </c:pt>
                <c:pt idx="130">
                  <c:v>0.26</c:v>
                </c:pt>
                <c:pt idx="131">
                  <c:v>0.22</c:v>
                </c:pt>
                <c:pt idx="132">
                  <c:v>0.22</c:v>
                </c:pt>
                <c:pt idx="133">
                  <c:v>0.22</c:v>
                </c:pt>
                <c:pt idx="134">
                  <c:v>0.2</c:v>
                </c:pt>
                <c:pt idx="135">
                  <c:v>0.22</c:v>
                </c:pt>
                <c:pt idx="136">
                  <c:v>0.22</c:v>
                </c:pt>
                <c:pt idx="137">
                  <c:v>0.2</c:v>
                </c:pt>
                <c:pt idx="138">
                  <c:v>0.2</c:v>
                </c:pt>
                <c:pt idx="139">
                  <c:v>0.2</c:v>
                </c:pt>
                <c:pt idx="140">
                  <c:v>0.2</c:v>
                </c:pt>
                <c:pt idx="141">
                  <c:v>0.2</c:v>
                </c:pt>
                <c:pt idx="142">
                  <c:v>0.22</c:v>
                </c:pt>
                <c:pt idx="143">
                  <c:v>0.2</c:v>
                </c:pt>
                <c:pt idx="144">
                  <c:v>0.2</c:v>
                </c:pt>
                <c:pt idx="145">
                  <c:v>0.2</c:v>
                </c:pt>
                <c:pt idx="146">
                  <c:v>0.2</c:v>
                </c:pt>
                <c:pt idx="147">
                  <c:v>0.22</c:v>
                </c:pt>
                <c:pt idx="148">
                  <c:v>0.2</c:v>
                </c:pt>
                <c:pt idx="149">
                  <c:v>0.2</c:v>
                </c:pt>
                <c:pt idx="150">
                  <c:v>0.2</c:v>
                </c:pt>
                <c:pt idx="151">
                  <c:v>0.2</c:v>
                </c:pt>
                <c:pt idx="152">
                  <c:v>0.2</c:v>
                </c:pt>
                <c:pt idx="153">
                  <c:v>0.2</c:v>
                </c:pt>
                <c:pt idx="154">
                  <c:v>0.2</c:v>
                </c:pt>
                <c:pt idx="155">
                  <c:v>0.2</c:v>
                </c:pt>
                <c:pt idx="156">
                  <c:v>0.16</c:v>
                </c:pt>
                <c:pt idx="157">
                  <c:v>0.18</c:v>
                </c:pt>
                <c:pt idx="158">
                  <c:v>0.18</c:v>
                </c:pt>
                <c:pt idx="159">
                  <c:v>0.18</c:v>
                </c:pt>
                <c:pt idx="160">
                  <c:v>0.18</c:v>
                </c:pt>
                <c:pt idx="161">
                  <c:v>0.18</c:v>
                </c:pt>
                <c:pt idx="162">
                  <c:v>0.18</c:v>
                </c:pt>
                <c:pt idx="163">
                  <c:v>0.18</c:v>
                </c:pt>
                <c:pt idx="164">
                  <c:v>0.18</c:v>
                </c:pt>
                <c:pt idx="165">
                  <c:v>0.18</c:v>
                </c:pt>
                <c:pt idx="166">
                  <c:v>0.16</c:v>
                </c:pt>
                <c:pt idx="167">
                  <c:v>0.16</c:v>
                </c:pt>
                <c:pt idx="168">
                  <c:v>0.16</c:v>
                </c:pt>
                <c:pt idx="169">
                  <c:v>0.16</c:v>
                </c:pt>
                <c:pt idx="170">
                  <c:v>0.16</c:v>
                </c:pt>
                <c:pt idx="171">
                  <c:v>0.18</c:v>
                </c:pt>
                <c:pt idx="172">
                  <c:v>0.2</c:v>
                </c:pt>
                <c:pt idx="173">
                  <c:v>0.2</c:v>
                </c:pt>
                <c:pt idx="174">
                  <c:v>0.2</c:v>
                </c:pt>
                <c:pt idx="175">
                  <c:v>0.2</c:v>
                </c:pt>
                <c:pt idx="176">
                  <c:v>0.2</c:v>
                </c:pt>
                <c:pt idx="177">
                  <c:v>0.18</c:v>
                </c:pt>
                <c:pt idx="178">
                  <c:v>0.16</c:v>
                </c:pt>
                <c:pt idx="179">
                  <c:v>0.14000000000000001</c:v>
                </c:pt>
                <c:pt idx="180">
                  <c:v>0.14000000000000001</c:v>
                </c:pt>
                <c:pt idx="181">
                  <c:v>0.12</c:v>
                </c:pt>
                <c:pt idx="182">
                  <c:v>0.12</c:v>
                </c:pt>
                <c:pt idx="183">
                  <c:v>0.12</c:v>
                </c:pt>
                <c:pt idx="184">
                  <c:v>0.1</c:v>
                </c:pt>
                <c:pt idx="185">
                  <c:v>0.1</c:v>
                </c:pt>
                <c:pt idx="186">
                  <c:v>0.1</c:v>
                </c:pt>
                <c:pt idx="187">
                  <c:v>0.1</c:v>
                </c:pt>
                <c:pt idx="188">
                  <c:v>0.1</c:v>
                </c:pt>
                <c:pt idx="189">
                  <c:v>0.08</c:v>
                </c:pt>
                <c:pt idx="190">
                  <c:v>0.08</c:v>
                </c:pt>
                <c:pt idx="191">
                  <c:v>0.1</c:v>
                </c:pt>
                <c:pt idx="192">
                  <c:v>0.08</c:v>
                </c:pt>
                <c:pt idx="193">
                  <c:v>0.1</c:v>
                </c:pt>
                <c:pt idx="194">
                  <c:v>0.12</c:v>
                </c:pt>
                <c:pt idx="195">
                  <c:v>0.14000000000000001</c:v>
                </c:pt>
                <c:pt idx="196">
                  <c:v>0.16</c:v>
                </c:pt>
                <c:pt idx="197">
                  <c:v>0.18</c:v>
                </c:pt>
                <c:pt idx="198">
                  <c:v>0.2</c:v>
                </c:pt>
                <c:pt idx="199">
                  <c:v>0.22</c:v>
                </c:pt>
                <c:pt idx="200">
                  <c:v>0.22</c:v>
                </c:pt>
                <c:pt idx="201">
                  <c:v>0.2</c:v>
                </c:pt>
                <c:pt idx="202">
                  <c:v>0.18</c:v>
                </c:pt>
                <c:pt idx="203">
                  <c:v>0.16</c:v>
                </c:pt>
                <c:pt idx="204">
                  <c:v>0.16</c:v>
                </c:pt>
                <c:pt idx="205">
                  <c:v>0.14000000000000001</c:v>
                </c:pt>
                <c:pt idx="206">
                  <c:v>0.14000000000000001</c:v>
                </c:pt>
                <c:pt idx="207">
                  <c:v>0.14000000000000001</c:v>
                </c:pt>
                <c:pt idx="208">
                  <c:v>0.12</c:v>
                </c:pt>
                <c:pt idx="209">
                  <c:v>0.12</c:v>
                </c:pt>
                <c:pt idx="210">
                  <c:v>0.12</c:v>
                </c:pt>
                <c:pt idx="211">
                  <c:v>0.12</c:v>
                </c:pt>
                <c:pt idx="212">
                  <c:v>0.12</c:v>
                </c:pt>
                <c:pt idx="213">
                  <c:v>0.1</c:v>
                </c:pt>
                <c:pt idx="214">
                  <c:v>0.1</c:v>
                </c:pt>
                <c:pt idx="215">
                  <c:v>0.12</c:v>
                </c:pt>
                <c:pt idx="216">
                  <c:v>0.12</c:v>
                </c:pt>
                <c:pt idx="217">
                  <c:v>0.12</c:v>
                </c:pt>
                <c:pt idx="218">
                  <c:v>0.14000000000000001</c:v>
                </c:pt>
                <c:pt idx="219">
                  <c:v>0.14000000000000001</c:v>
                </c:pt>
                <c:pt idx="220">
                  <c:v>0.16</c:v>
                </c:pt>
                <c:pt idx="221">
                  <c:v>0.2</c:v>
                </c:pt>
                <c:pt idx="222">
                  <c:v>0.2</c:v>
                </c:pt>
                <c:pt idx="223">
                  <c:v>0.2</c:v>
                </c:pt>
                <c:pt idx="224">
                  <c:v>0.2</c:v>
                </c:pt>
                <c:pt idx="225">
                  <c:v>0.2</c:v>
                </c:pt>
                <c:pt idx="226">
                  <c:v>0.2</c:v>
                </c:pt>
                <c:pt idx="227">
                  <c:v>0.2</c:v>
                </c:pt>
                <c:pt idx="228">
                  <c:v>0.16</c:v>
                </c:pt>
                <c:pt idx="229">
                  <c:v>0.16</c:v>
                </c:pt>
                <c:pt idx="230">
                  <c:v>0.14000000000000001</c:v>
                </c:pt>
                <c:pt idx="231">
                  <c:v>0.14000000000000001</c:v>
                </c:pt>
                <c:pt idx="232">
                  <c:v>0.14000000000000001</c:v>
                </c:pt>
                <c:pt idx="233">
                  <c:v>0.14000000000000001</c:v>
                </c:pt>
                <c:pt idx="234">
                  <c:v>0.14000000000000001</c:v>
                </c:pt>
                <c:pt idx="235">
                  <c:v>0.16</c:v>
                </c:pt>
                <c:pt idx="236">
                  <c:v>0.16</c:v>
                </c:pt>
                <c:pt idx="237">
                  <c:v>0.16</c:v>
                </c:pt>
                <c:pt idx="238">
                  <c:v>0.16</c:v>
                </c:pt>
                <c:pt idx="239">
                  <c:v>0.18</c:v>
                </c:pt>
                <c:pt idx="240">
                  <c:v>0.18</c:v>
                </c:pt>
                <c:pt idx="241">
                  <c:v>0.2</c:v>
                </c:pt>
                <c:pt idx="242">
                  <c:v>0.2</c:v>
                </c:pt>
                <c:pt idx="243">
                  <c:v>0.2</c:v>
                </c:pt>
                <c:pt idx="244">
                  <c:v>0.2</c:v>
                </c:pt>
                <c:pt idx="245">
                  <c:v>0.2</c:v>
                </c:pt>
                <c:pt idx="246">
                  <c:v>0.16</c:v>
                </c:pt>
                <c:pt idx="247">
                  <c:v>0.16</c:v>
                </c:pt>
                <c:pt idx="248">
                  <c:v>0.16</c:v>
                </c:pt>
                <c:pt idx="249">
                  <c:v>0.16</c:v>
                </c:pt>
                <c:pt idx="250">
                  <c:v>0.16</c:v>
                </c:pt>
                <c:pt idx="251">
                  <c:v>0.16</c:v>
                </c:pt>
                <c:pt idx="252">
                  <c:v>0.16</c:v>
                </c:pt>
                <c:pt idx="253">
                  <c:v>0.16</c:v>
                </c:pt>
                <c:pt idx="254">
                  <c:v>0.16</c:v>
                </c:pt>
                <c:pt idx="255">
                  <c:v>0.16</c:v>
                </c:pt>
                <c:pt idx="256">
                  <c:v>0.16</c:v>
                </c:pt>
                <c:pt idx="257">
                  <c:v>0.14000000000000001</c:v>
                </c:pt>
                <c:pt idx="258">
                  <c:v>0.14000000000000001</c:v>
                </c:pt>
                <c:pt idx="259">
                  <c:v>0.12</c:v>
                </c:pt>
                <c:pt idx="260">
                  <c:v>0.14000000000000001</c:v>
                </c:pt>
                <c:pt idx="261">
                  <c:v>0.16</c:v>
                </c:pt>
                <c:pt idx="262">
                  <c:v>0.16</c:v>
                </c:pt>
                <c:pt idx="263">
                  <c:v>0.18</c:v>
                </c:pt>
                <c:pt idx="264">
                  <c:v>0.2</c:v>
                </c:pt>
                <c:pt idx="265">
                  <c:v>0.2</c:v>
                </c:pt>
                <c:pt idx="266">
                  <c:v>0.22</c:v>
                </c:pt>
                <c:pt idx="267">
                  <c:v>0.2</c:v>
                </c:pt>
                <c:pt idx="268">
                  <c:v>0.2</c:v>
                </c:pt>
                <c:pt idx="269">
                  <c:v>0.22</c:v>
                </c:pt>
                <c:pt idx="270">
                  <c:v>0.2</c:v>
                </c:pt>
                <c:pt idx="271">
                  <c:v>0.2</c:v>
                </c:pt>
                <c:pt idx="272">
                  <c:v>0.18</c:v>
                </c:pt>
                <c:pt idx="273">
                  <c:v>0.16</c:v>
                </c:pt>
                <c:pt idx="274">
                  <c:v>0.16</c:v>
                </c:pt>
                <c:pt idx="275">
                  <c:v>0.16</c:v>
                </c:pt>
                <c:pt idx="276">
                  <c:v>0.14000000000000001</c:v>
                </c:pt>
                <c:pt idx="277">
                  <c:v>0.14000000000000001</c:v>
                </c:pt>
                <c:pt idx="278">
                  <c:v>0.14000000000000001</c:v>
                </c:pt>
                <c:pt idx="279">
                  <c:v>0.14000000000000001</c:v>
                </c:pt>
                <c:pt idx="280">
                  <c:v>0.14000000000000001</c:v>
                </c:pt>
                <c:pt idx="281">
                  <c:v>0.14000000000000001</c:v>
                </c:pt>
                <c:pt idx="282">
                  <c:v>0.14000000000000001</c:v>
                </c:pt>
                <c:pt idx="283">
                  <c:v>0.12</c:v>
                </c:pt>
                <c:pt idx="284">
                  <c:v>0.12</c:v>
                </c:pt>
                <c:pt idx="285">
                  <c:v>0.14000000000000001</c:v>
                </c:pt>
                <c:pt idx="286">
                  <c:v>0.14000000000000001</c:v>
                </c:pt>
                <c:pt idx="287">
                  <c:v>0.16</c:v>
                </c:pt>
                <c:pt idx="288">
                  <c:v>0.2</c:v>
                </c:pt>
                <c:pt idx="289">
                  <c:v>0.2</c:v>
                </c:pt>
                <c:pt idx="290">
                  <c:v>0.22</c:v>
                </c:pt>
                <c:pt idx="291">
                  <c:v>0.22</c:v>
                </c:pt>
                <c:pt idx="292">
                  <c:v>0.24</c:v>
                </c:pt>
                <c:pt idx="293">
                  <c:v>0.24</c:v>
                </c:pt>
                <c:pt idx="294">
                  <c:v>0.2</c:v>
                </c:pt>
                <c:pt idx="295">
                  <c:v>0.2</c:v>
                </c:pt>
                <c:pt idx="296">
                  <c:v>0.16</c:v>
                </c:pt>
                <c:pt idx="297">
                  <c:v>0.16</c:v>
                </c:pt>
                <c:pt idx="298">
                  <c:v>0.14000000000000001</c:v>
                </c:pt>
                <c:pt idx="299">
                  <c:v>0.14000000000000001</c:v>
                </c:pt>
                <c:pt idx="300">
                  <c:v>0.12</c:v>
                </c:pt>
                <c:pt idx="301">
                  <c:v>0.12</c:v>
                </c:pt>
                <c:pt idx="302">
                  <c:v>0.1</c:v>
                </c:pt>
                <c:pt idx="303">
                  <c:v>0.1</c:v>
                </c:pt>
                <c:pt idx="304">
                  <c:v>0.1</c:v>
                </c:pt>
                <c:pt idx="305">
                  <c:v>0.1</c:v>
                </c:pt>
                <c:pt idx="306">
                  <c:v>0.1</c:v>
                </c:pt>
                <c:pt idx="307">
                  <c:v>0.1</c:v>
                </c:pt>
                <c:pt idx="308">
                  <c:v>0.12</c:v>
                </c:pt>
                <c:pt idx="309">
                  <c:v>0.14000000000000001</c:v>
                </c:pt>
                <c:pt idx="310">
                  <c:v>0.18</c:v>
                </c:pt>
                <c:pt idx="311">
                  <c:v>0.18</c:v>
                </c:pt>
                <c:pt idx="312">
                  <c:v>0.2</c:v>
                </c:pt>
                <c:pt idx="313">
                  <c:v>0.22</c:v>
                </c:pt>
                <c:pt idx="314">
                  <c:v>0.22</c:v>
                </c:pt>
                <c:pt idx="315">
                  <c:v>0.24</c:v>
                </c:pt>
                <c:pt idx="316">
                  <c:v>0.22</c:v>
                </c:pt>
                <c:pt idx="317">
                  <c:v>0.22</c:v>
                </c:pt>
                <c:pt idx="318">
                  <c:v>0.2</c:v>
                </c:pt>
                <c:pt idx="319">
                  <c:v>0.16</c:v>
                </c:pt>
                <c:pt idx="320">
                  <c:v>0.18</c:v>
                </c:pt>
                <c:pt idx="321">
                  <c:v>0.16</c:v>
                </c:pt>
                <c:pt idx="322">
                  <c:v>0.16</c:v>
                </c:pt>
                <c:pt idx="323">
                  <c:v>0.18</c:v>
                </c:pt>
                <c:pt idx="324">
                  <c:v>0.18</c:v>
                </c:pt>
                <c:pt idx="325">
                  <c:v>0.16</c:v>
                </c:pt>
                <c:pt idx="326">
                  <c:v>0.16</c:v>
                </c:pt>
                <c:pt idx="327">
                  <c:v>0.16</c:v>
                </c:pt>
                <c:pt idx="328">
                  <c:v>0.16</c:v>
                </c:pt>
                <c:pt idx="329">
                  <c:v>0.16</c:v>
                </c:pt>
                <c:pt idx="330">
                  <c:v>0.14000000000000001</c:v>
                </c:pt>
                <c:pt idx="331">
                  <c:v>0.14000000000000001</c:v>
                </c:pt>
                <c:pt idx="332">
                  <c:v>0.14000000000000001</c:v>
                </c:pt>
                <c:pt idx="333">
                  <c:v>0.16</c:v>
                </c:pt>
                <c:pt idx="334">
                  <c:v>0.18</c:v>
                </c:pt>
                <c:pt idx="335">
                  <c:v>0.2</c:v>
                </c:pt>
                <c:pt idx="336">
                  <c:v>0.24</c:v>
                </c:pt>
                <c:pt idx="337">
                  <c:v>0.28000000000000003</c:v>
                </c:pt>
                <c:pt idx="338">
                  <c:v>0.3</c:v>
                </c:pt>
                <c:pt idx="339">
                  <c:v>0.32</c:v>
                </c:pt>
                <c:pt idx="340">
                  <c:v>0.34</c:v>
                </c:pt>
                <c:pt idx="341">
                  <c:v>0.32</c:v>
                </c:pt>
                <c:pt idx="342">
                  <c:v>0.3</c:v>
                </c:pt>
                <c:pt idx="343">
                  <c:v>0.32</c:v>
                </c:pt>
                <c:pt idx="344">
                  <c:v>0.32</c:v>
                </c:pt>
                <c:pt idx="345">
                  <c:v>0.32</c:v>
                </c:pt>
                <c:pt idx="346">
                  <c:v>0.3</c:v>
                </c:pt>
                <c:pt idx="347">
                  <c:v>0.3</c:v>
                </c:pt>
                <c:pt idx="348">
                  <c:v>0.26</c:v>
                </c:pt>
                <c:pt idx="349">
                  <c:v>0.26</c:v>
                </c:pt>
                <c:pt idx="350">
                  <c:v>0.26</c:v>
                </c:pt>
                <c:pt idx="351">
                  <c:v>0.22</c:v>
                </c:pt>
                <c:pt idx="352">
                  <c:v>0.26</c:v>
                </c:pt>
                <c:pt idx="353">
                  <c:v>0.26</c:v>
                </c:pt>
                <c:pt idx="354">
                  <c:v>0.26</c:v>
                </c:pt>
                <c:pt idx="355">
                  <c:v>0.24</c:v>
                </c:pt>
                <c:pt idx="356">
                  <c:v>0.22</c:v>
                </c:pt>
                <c:pt idx="357">
                  <c:v>0.22</c:v>
                </c:pt>
                <c:pt idx="358">
                  <c:v>0.22</c:v>
                </c:pt>
                <c:pt idx="359">
                  <c:v>0.24</c:v>
                </c:pt>
                <c:pt idx="360">
                  <c:v>0.24</c:v>
                </c:pt>
                <c:pt idx="361">
                  <c:v>0.26</c:v>
                </c:pt>
                <c:pt idx="362">
                  <c:v>0.28000000000000003</c:v>
                </c:pt>
                <c:pt idx="363">
                  <c:v>0.26</c:v>
                </c:pt>
                <c:pt idx="364">
                  <c:v>0.24</c:v>
                </c:pt>
                <c:pt idx="365">
                  <c:v>0.22</c:v>
                </c:pt>
                <c:pt idx="366">
                  <c:v>0.2</c:v>
                </c:pt>
                <c:pt idx="367">
                  <c:v>0.18</c:v>
                </c:pt>
                <c:pt idx="368">
                  <c:v>0.18</c:v>
                </c:pt>
                <c:pt idx="369">
                  <c:v>0.18</c:v>
                </c:pt>
                <c:pt idx="370">
                  <c:v>0.2</c:v>
                </c:pt>
                <c:pt idx="371">
                  <c:v>0.2</c:v>
                </c:pt>
                <c:pt idx="372">
                  <c:v>0.2</c:v>
                </c:pt>
                <c:pt idx="373">
                  <c:v>0.2</c:v>
                </c:pt>
                <c:pt idx="374">
                  <c:v>0.18</c:v>
                </c:pt>
                <c:pt idx="375">
                  <c:v>0.18</c:v>
                </c:pt>
                <c:pt idx="376">
                  <c:v>0.18</c:v>
                </c:pt>
                <c:pt idx="377">
                  <c:v>0.18</c:v>
                </c:pt>
                <c:pt idx="378">
                  <c:v>0.18</c:v>
                </c:pt>
                <c:pt idx="379">
                  <c:v>0.16</c:v>
                </c:pt>
                <c:pt idx="380">
                  <c:v>0.16</c:v>
                </c:pt>
                <c:pt idx="381">
                  <c:v>0.16</c:v>
                </c:pt>
                <c:pt idx="382">
                  <c:v>0.16</c:v>
                </c:pt>
                <c:pt idx="383">
                  <c:v>0.16</c:v>
                </c:pt>
                <c:pt idx="384">
                  <c:v>0.18</c:v>
                </c:pt>
                <c:pt idx="385">
                  <c:v>0.18</c:v>
                </c:pt>
                <c:pt idx="386">
                  <c:v>0.18</c:v>
                </c:pt>
                <c:pt idx="387">
                  <c:v>0.2</c:v>
                </c:pt>
                <c:pt idx="388">
                  <c:v>0.2</c:v>
                </c:pt>
                <c:pt idx="389">
                  <c:v>0.2</c:v>
                </c:pt>
                <c:pt idx="390">
                  <c:v>0.18</c:v>
                </c:pt>
                <c:pt idx="391">
                  <c:v>0.18</c:v>
                </c:pt>
                <c:pt idx="392">
                  <c:v>0.16</c:v>
                </c:pt>
                <c:pt idx="393">
                  <c:v>0.16</c:v>
                </c:pt>
                <c:pt idx="394">
                  <c:v>0.14000000000000001</c:v>
                </c:pt>
                <c:pt idx="395">
                  <c:v>0.16</c:v>
                </c:pt>
                <c:pt idx="396">
                  <c:v>0.2</c:v>
                </c:pt>
                <c:pt idx="397">
                  <c:v>0.2</c:v>
                </c:pt>
                <c:pt idx="398">
                  <c:v>0.22</c:v>
                </c:pt>
                <c:pt idx="399">
                  <c:v>0.22</c:v>
                </c:pt>
                <c:pt idx="400">
                  <c:v>0.22</c:v>
                </c:pt>
                <c:pt idx="401">
                  <c:v>0.22</c:v>
                </c:pt>
                <c:pt idx="402">
                  <c:v>0.22</c:v>
                </c:pt>
                <c:pt idx="403">
                  <c:v>0.22</c:v>
                </c:pt>
                <c:pt idx="404">
                  <c:v>0.22</c:v>
                </c:pt>
                <c:pt idx="405">
                  <c:v>0.22</c:v>
                </c:pt>
                <c:pt idx="406">
                  <c:v>0.22</c:v>
                </c:pt>
                <c:pt idx="407">
                  <c:v>0.22</c:v>
                </c:pt>
                <c:pt idx="408">
                  <c:v>0.22</c:v>
                </c:pt>
                <c:pt idx="409">
                  <c:v>0.22</c:v>
                </c:pt>
                <c:pt idx="410">
                  <c:v>0.22</c:v>
                </c:pt>
                <c:pt idx="411">
                  <c:v>0.22</c:v>
                </c:pt>
                <c:pt idx="412">
                  <c:v>0.22</c:v>
                </c:pt>
                <c:pt idx="413">
                  <c:v>0.22</c:v>
                </c:pt>
                <c:pt idx="414">
                  <c:v>0.24</c:v>
                </c:pt>
                <c:pt idx="415">
                  <c:v>0.24</c:v>
                </c:pt>
                <c:pt idx="416">
                  <c:v>0.24</c:v>
                </c:pt>
                <c:pt idx="417">
                  <c:v>0.26</c:v>
                </c:pt>
                <c:pt idx="418">
                  <c:v>0.28000000000000003</c:v>
                </c:pt>
                <c:pt idx="419">
                  <c:v>0.3</c:v>
                </c:pt>
                <c:pt idx="420">
                  <c:v>0.4</c:v>
                </c:pt>
                <c:pt idx="421">
                  <c:v>0.4</c:v>
                </c:pt>
                <c:pt idx="422">
                  <c:v>0.4</c:v>
                </c:pt>
                <c:pt idx="423">
                  <c:v>0.38</c:v>
                </c:pt>
                <c:pt idx="424">
                  <c:v>0.36</c:v>
                </c:pt>
                <c:pt idx="425">
                  <c:v>0.34</c:v>
                </c:pt>
                <c:pt idx="426">
                  <c:v>0.32</c:v>
                </c:pt>
                <c:pt idx="427">
                  <c:v>0.32</c:v>
                </c:pt>
                <c:pt idx="428">
                  <c:v>0.32</c:v>
                </c:pt>
                <c:pt idx="429">
                  <c:v>0.3</c:v>
                </c:pt>
                <c:pt idx="430">
                  <c:v>0.3</c:v>
                </c:pt>
                <c:pt idx="431">
                  <c:v>0.26</c:v>
                </c:pt>
                <c:pt idx="432">
                  <c:v>0.26</c:v>
                </c:pt>
                <c:pt idx="433">
                  <c:v>0.26</c:v>
                </c:pt>
                <c:pt idx="434">
                  <c:v>0.26</c:v>
                </c:pt>
                <c:pt idx="435">
                  <c:v>0.26</c:v>
                </c:pt>
                <c:pt idx="436">
                  <c:v>0.24</c:v>
                </c:pt>
                <c:pt idx="437">
                  <c:v>0.22</c:v>
                </c:pt>
                <c:pt idx="438">
                  <c:v>0.22</c:v>
                </c:pt>
                <c:pt idx="439">
                  <c:v>0.22</c:v>
                </c:pt>
                <c:pt idx="440">
                  <c:v>0.24</c:v>
                </c:pt>
                <c:pt idx="441">
                  <c:v>0.26</c:v>
                </c:pt>
                <c:pt idx="442">
                  <c:v>0.28000000000000003</c:v>
                </c:pt>
                <c:pt idx="443">
                  <c:v>0.3</c:v>
                </c:pt>
                <c:pt idx="444">
                  <c:v>0.28000000000000003</c:v>
                </c:pt>
                <c:pt idx="445">
                  <c:v>0.3</c:v>
                </c:pt>
                <c:pt idx="446">
                  <c:v>0.32</c:v>
                </c:pt>
                <c:pt idx="447">
                  <c:v>0.3</c:v>
                </c:pt>
                <c:pt idx="448">
                  <c:v>0.3</c:v>
                </c:pt>
                <c:pt idx="449">
                  <c:v>0.26</c:v>
                </c:pt>
                <c:pt idx="450">
                  <c:v>0.26</c:v>
                </c:pt>
                <c:pt idx="451">
                  <c:v>0.26</c:v>
                </c:pt>
                <c:pt idx="452">
                  <c:v>0.24</c:v>
                </c:pt>
                <c:pt idx="453">
                  <c:v>0.24</c:v>
                </c:pt>
                <c:pt idx="454">
                  <c:v>0.24</c:v>
                </c:pt>
                <c:pt idx="455">
                  <c:v>0.24</c:v>
                </c:pt>
                <c:pt idx="456">
                  <c:v>0.24</c:v>
                </c:pt>
                <c:pt idx="457">
                  <c:v>0.24</c:v>
                </c:pt>
                <c:pt idx="458">
                  <c:v>0.22</c:v>
                </c:pt>
                <c:pt idx="459">
                  <c:v>0.22</c:v>
                </c:pt>
                <c:pt idx="460">
                  <c:v>0.24</c:v>
                </c:pt>
                <c:pt idx="461">
                  <c:v>0.22</c:v>
                </c:pt>
                <c:pt idx="462">
                  <c:v>0.2</c:v>
                </c:pt>
                <c:pt idx="463">
                  <c:v>0.2</c:v>
                </c:pt>
                <c:pt idx="464">
                  <c:v>0.2</c:v>
                </c:pt>
                <c:pt idx="465">
                  <c:v>0.2</c:v>
                </c:pt>
                <c:pt idx="466">
                  <c:v>0.22</c:v>
                </c:pt>
                <c:pt idx="467">
                  <c:v>0.22</c:v>
                </c:pt>
                <c:pt idx="468">
                  <c:v>0.2</c:v>
                </c:pt>
                <c:pt idx="469">
                  <c:v>0.2</c:v>
                </c:pt>
                <c:pt idx="470">
                  <c:v>0.16</c:v>
                </c:pt>
                <c:pt idx="471">
                  <c:v>0.16</c:v>
                </c:pt>
                <c:pt idx="472">
                  <c:v>0.14000000000000001</c:v>
                </c:pt>
                <c:pt idx="473">
                  <c:v>0.12</c:v>
                </c:pt>
                <c:pt idx="474">
                  <c:v>0.12</c:v>
                </c:pt>
                <c:pt idx="475">
                  <c:v>0.1</c:v>
                </c:pt>
                <c:pt idx="476">
                  <c:v>0.08</c:v>
                </c:pt>
                <c:pt idx="477">
                  <c:v>0.06</c:v>
                </c:pt>
                <c:pt idx="478">
                  <c:v>0.06</c:v>
                </c:pt>
                <c:pt idx="479">
                  <c:v>0.04</c:v>
                </c:pt>
                <c:pt idx="480">
                  <c:v>0.04</c:v>
                </c:pt>
                <c:pt idx="481">
                  <c:v>0.04</c:v>
                </c:pt>
                <c:pt idx="482">
                  <c:v>0.04</c:v>
                </c:pt>
                <c:pt idx="483">
                  <c:v>0.02</c:v>
                </c:pt>
                <c:pt idx="484">
                  <c:v>0.02</c:v>
                </c:pt>
                <c:pt idx="485">
                  <c:v>0.02</c:v>
                </c:pt>
                <c:pt idx="486">
                  <c:v>0.02</c:v>
                </c:pt>
                <c:pt idx="487">
                  <c:v>0.04</c:v>
                </c:pt>
                <c:pt idx="488">
                  <c:v>0.04</c:v>
                </c:pt>
                <c:pt idx="489">
                  <c:v>0.06</c:v>
                </c:pt>
                <c:pt idx="490">
                  <c:v>0.06</c:v>
                </c:pt>
                <c:pt idx="491">
                  <c:v>0.08</c:v>
                </c:pt>
                <c:pt idx="492">
                  <c:v>0.1</c:v>
                </c:pt>
                <c:pt idx="493">
                  <c:v>0.12</c:v>
                </c:pt>
                <c:pt idx="494">
                  <c:v>0.12</c:v>
                </c:pt>
                <c:pt idx="495">
                  <c:v>0.12</c:v>
                </c:pt>
                <c:pt idx="496">
                  <c:v>0.08</c:v>
                </c:pt>
                <c:pt idx="497">
                  <c:v>0.08</c:v>
                </c:pt>
                <c:pt idx="498">
                  <c:v>0.06</c:v>
                </c:pt>
                <c:pt idx="499">
                  <c:v>0.06</c:v>
                </c:pt>
                <c:pt idx="500">
                  <c:v>0.06</c:v>
                </c:pt>
                <c:pt idx="501">
                  <c:v>0.04</c:v>
                </c:pt>
                <c:pt idx="502">
                  <c:v>0.04</c:v>
                </c:pt>
                <c:pt idx="503">
                  <c:v>0.04</c:v>
                </c:pt>
                <c:pt idx="504">
                  <c:v>0.02</c:v>
                </c:pt>
                <c:pt idx="505">
                  <c:v>0.02</c:v>
                </c:pt>
                <c:pt idx="506">
                  <c:v>0.04</c:v>
                </c:pt>
                <c:pt idx="507">
                  <c:v>0.04</c:v>
                </c:pt>
                <c:pt idx="508">
                  <c:v>0.08</c:v>
                </c:pt>
                <c:pt idx="509">
                  <c:v>0.06</c:v>
                </c:pt>
                <c:pt idx="510">
                  <c:v>0.1</c:v>
                </c:pt>
                <c:pt idx="511">
                  <c:v>0.14000000000000001</c:v>
                </c:pt>
                <c:pt idx="512">
                  <c:v>0.14000000000000001</c:v>
                </c:pt>
                <c:pt idx="513">
                  <c:v>0.16</c:v>
                </c:pt>
                <c:pt idx="514">
                  <c:v>0.14000000000000001</c:v>
                </c:pt>
                <c:pt idx="515">
                  <c:v>0.16</c:v>
                </c:pt>
                <c:pt idx="516">
                  <c:v>0.16</c:v>
                </c:pt>
                <c:pt idx="517">
                  <c:v>0.16</c:v>
                </c:pt>
                <c:pt idx="518">
                  <c:v>0.14000000000000001</c:v>
                </c:pt>
                <c:pt idx="519">
                  <c:v>0.12</c:v>
                </c:pt>
                <c:pt idx="520">
                  <c:v>0.12</c:v>
                </c:pt>
                <c:pt idx="521">
                  <c:v>0.1</c:v>
                </c:pt>
                <c:pt idx="522">
                  <c:v>0.1</c:v>
                </c:pt>
                <c:pt idx="523">
                  <c:v>0.08</c:v>
                </c:pt>
                <c:pt idx="524">
                  <c:v>0.06</c:v>
                </c:pt>
                <c:pt idx="525">
                  <c:v>0.06</c:v>
                </c:pt>
                <c:pt idx="526">
                  <c:v>0.04</c:v>
                </c:pt>
                <c:pt idx="527">
                  <c:v>0.04</c:v>
                </c:pt>
                <c:pt idx="528">
                  <c:v>0.02</c:v>
                </c:pt>
                <c:pt idx="529">
                  <c:v>0.02</c:v>
                </c:pt>
                <c:pt idx="530">
                  <c:v>0.02</c:v>
                </c:pt>
                <c:pt idx="531">
                  <c:v>0.02</c:v>
                </c:pt>
                <c:pt idx="532">
                  <c:v>0.04</c:v>
                </c:pt>
                <c:pt idx="533">
                  <c:v>0.06</c:v>
                </c:pt>
                <c:pt idx="534">
                  <c:v>0.1</c:v>
                </c:pt>
                <c:pt idx="535">
                  <c:v>0.1</c:v>
                </c:pt>
                <c:pt idx="536">
                  <c:v>0.12</c:v>
                </c:pt>
                <c:pt idx="537">
                  <c:v>0.14000000000000001</c:v>
                </c:pt>
                <c:pt idx="538">
                  <c:v>0.14000000000000001</c:v>
                </c:pt>
                <c:pt idx="539">
                  <c:v>0.16</c:v>
                </c:pt>
                <c:pt idx="540">
                  <c:v>0.16</c:v>
                </c:pt>
                <c:pt idx="541">
                  <c:v>0.14000000000000001</c:v>
                </c:pt>
                <c:pt idx="542">
                  <c:v>0.14000000000000001</c:v>
                </c:pt>
                <c:pt idx="543">
                  <c:v>0.14000000000000001</c:v>
                </c:pt>
                <c:pt idx="544">
                  <c:v>0.14000000000000001</c:v>
                </c:pt>
                <c:pt idx="545">
                  <c:v>0.14000000000000001</c:v>
                </c:pt>
                <c:pt idx="546">
                  <c:v>0.14000000000000001</c:v>
                </c:pt>
                <c:pt idx="547">
                  <c:v>0.16</c:v>
                </c:pt>
                <c:pt idx="548">
                  <c:v>0.16</c:v>
                </c:pt>
                <c:pt idx="549">
                  <c:v>0.16</c:v>
                </c:pt>
                <c:pt idx="550">
                  <c:v>0.16</c:v>
                </c:pt>
                <c:pt idx="551">
                  <c:v>0.14000000000000001</c:v>
                </c:pt>
                <c:pt idx="552">
                  <c:v>0.14000000000000001</c:v>
                </c:pt>
                <c:pt idx="553">
                  <c:v>0.16</c:v>
                </c:pt>
                <c:pt idx="554">
                  <c:v>0.16</c:v>
                </c:pt>
                <c:pt idx="555">
                  <c:v>0.16</c:v>
                </c:pt>
                <c:pt idx="556">
                  <c:v>0.2</c:v>
                </c:pt>
                <c:pt idx="557">
                  <c:v>0.22</c:v>
                </c:pt>
                <c:pt idx="558">
                  <c:v>0.24</c:v>
                </c:pt>
                <c:pt idx="559">
                  <c:v>0.26</c:v>
                </c:pt>
                <c:pt idx="560">
                  <c:v>0.26</c:v>
                </c:pt>
                <c:pt idx="561">
                  <c:v>0.3</c:v>
                </c:pt>
                <c:pt idx="562">
                  <c:v>0.32</c:v>
                </c:pt>
                <c:pt idx="563">
                  <c:v>0.32</c:v>
                </c:pt>
                <c:pt idx="564">
                  <c:v>0.3</c:v>
                </c:pt>
                <c:pt idx="565">
                  <c:v>0.3</c:v>
                </c:pt>
                <c:pt idx="566">
                  <c:v>0.26</c:v>
                </c:pt>
                <c:pt idx="567">
                  <c:v>0.24</c:v>
                </c:pt>
                <c:pt idx="568">
                  <c:v>0.24</c:v>
                </c:pt>
                <c:pt idx="569">
                  <c:v>0.22</c:v>
                </c:pt>
                <c:pt idx="570">
                  <c:v>0.22</c:v>
                </c:pt>
                <c:pt idx="571">
                  <c:v>0.22</c:v>
                </c:pt>
                <c:pt idx="572">
                  <c:v>0.24</c:v>
                </c:pt>
                <c:pt idx="573">
                  <c:v>0.22</c:v>
                </c:pt>
                <c:pt idx="574">
                  <c:v>0.2</c:v>
                </c:pt>
                <c:pt idx="575">
                  <c:v>0.2</c:v>
                </c:pt>
                <c:pt idx="576">
                  <c:v>0.22</c:v>
                </c:pt>
                <c:pt idx="577">
                  <c:v>0.22</c:v>
                </c:pt>
                <c:pt idx="578">
                  <c:v>0.22</c:v>
                </c:pt>
                <c:pt idx="579">
                  <c:v>0.22</c:v>
                </c:pt>
                <c:pt idx="580">
                  <c:v>0.22</c:v>
                </c:pt>
                <c:pt idx="581">
                  <c:v>0.22</c:v>
                </c:pt>
                <c:pt idx="582">
                  <c:v>0.22</c:v>
                </c:pt>
                <c:pt idx="583">
                  <c:v>0.22</c:v>
                </c:pt>
                <c:pt idx="584">
                  <c:v>0.22</c:v>
                </c:pt>
                <c:pt idx="585">
                  <c:v>0.22</c:v>
                </c:pt>
                <c:pt idx="586">
                  <c:v>0.2</c:v>
                </c:pt>
                <c:pt idx="587">
                  <c:v>0.22</c:v>
                </c:pt>
                <c:pt idx="588">
                  <c:v>0.22</c:v>
                </c:pt>
                <c:pt idx="589">
                  <c:v>0.2</c:v>
                </c:pt>
                <c:pt idx="590">
                  <c:v>0.2</c:v>
                </c:pt>
                <c:pt idx="591">
                  <c:v>0.18</c:v>
                </c:pt>
                <c:pt idx="592">
                  <c:v>0.18</c:v>
                </c:pt>
                <c:pt idx="593">
                  <c:v>0.18</c:v>
                </c:pt>
                <c:pt idx="594">
                  <c:v>0.18</c:v>
                </c:pt>
                <c:pt idx="595">
                  <c:v>0.2</c:v>
                </c:pt>
                <c:pt idx="596">
                  <c:v>0.2</c:v>
                </c:pt>
                <c:pt idx="597">
                  <c:v>0.2</c:v>
                </c:pt>
                <c:pt idx="598">
                  <c:v>0.2</c:v>
                </c:pt>
                <c:pt idx="599">
                  <c:v>0.18</c:v>
                </c:pt>
                <c:pt idx="600">
                  <c:v>0.18</c:v>
                </c:pt>
                <c:pt idx="601">
                  <c:v>0.16</c:v>
                </c:pt>
                <c:pt idx="602">
                  <c:v>0.16</c:v>
                </c:pt>
                <c:pt idx="603">
                  <c:v>0.18</c:v>
                </c:pt>
                <c:pt idx="604">
                  <c:v>0.18</c:v>
                </c:pt>
                <c:pt idx="605">
                  <c:v>0.18</c:v>
                </c:pt>
                <c:pt idx="606">
                  <c:v>0.18</c:v>
                </c:pt>
                <c:pt idx="607">
                  <c:v>0.18</c:v>
                </c:pt>
                <c:pt idx="608">
                  <c:v>0.22</c:v>
                </c:pt>
                <c:pt idx="609">
                  <c:v>0.2</c:v>
                </c:pt>
                <c:pt idx="610">
                  <c:v>0.22</c:v>
                </c:pt>
                <c:pt idx="611">
                  <c:v>0.24</c:v>
                </c:pt>
                <c:pt idx="612">
                  <c:v>0.24</c:v>
                </c:pt>
                <c:pt idx="613">
                  <c:v>0.24</c:v>
                </c:pt>
                <c:pt idx="614">
                  <c:v>0.24</c:v>
                </c:pt>
                <c:pt idx="615">
                  <c:v>0.22</c:v>
                </c:pt>
                <c:pt idx="616">
                  <c:v>0.24</c:v>
                </c:pt>
                <c:pt idx="617">
                  <c:v>0.24</c:v>
                </c:pt>
                <c:pt idx="618">
                  <c:v>0.22</c:v>
                </c:pt>
                <c:pt idx="619">
                  <c:v>0.22</c:v>
                </c:pt>
                <c:pt idx="620">
                  <c:v>0.22</c:v>
                </c:pt>
                <c:pt idx="621">
                  <c:v>0.2</c:v>
                </c:pt>
                <c:pt idx="622">
                  <c:v>0.16</c:v>
                </c:pt>
                <c:pt idx="623">
                  <c:v>0.16</c:v>
                </c:pt>
                <c:pt idx="624">
                  <c:v>0.16</c:v>
                </c:pt>
                <c:pt idx="625">
                  <c:v>0.18</c:v>
                </c:pt>
                <c:pt idx="626">
                  <c:v>0.18</c:v>
                </c:pt>
                <c:pt idx="627">
                  <c:v>0.18</c:v>
                </c:pt>
                <c:pt idx="628">
                  <c:v>0.18</c:v>
                </c:pt>
                <c:pt idx="629">
                  <c:v>0.2</c:v>
                </c:pt>
                <c:pt idx="630">
                  <c:v>0.22</c:v>
                </c:pt>
                <c:pt idx="631">
                  <c:v>0.22</c:v>
                </c:pt>
                <c:pt idx="632">
                  <c:v>0.22</c:v>
                </c:pt>
                <c:pt idx="633">
                  <c:v>0.24</c:v>
                </c:pt>
                <c:pt idx="634">
                  <c:v>0.24</c:v>
                </c:pt>
                <c:pt idx="635">
                  <c:v>0.22</c:v>
                </c:pt>
                <c:pt idx="636">
                  <c:v>0.22</c:v>
                </c:pt>
                <c:pt idx="637">
                  <c:v>0.18</c:v>
                </c:pt>
                <c:pt idx="638">
                  <c:v>0.18</c:v>
                </c:pt>
                <c:pt idx="639">
                  <c:v>0.16</c:v>
                </c:pt>
                <c:pt idx="640">
                  <c:v>0.16</c:v>
                </c:pt>
                <c:pt idx="641">
                  <c:v>0.16</c:v>
                </c:pt>
                <c:pt idx="642">
                  <c:v>0.14000000000000001</c:v>
                </c:pt>
                <c:pt idx="643">
                  <c:v>0.16</c:v>
                </c:pt>
                <c:pt idx="644">
                  <c:v>0.14000000000000001</c:v>
                </c:pt>
                <c:pt idx="645">
                  <c:v>0.14000000000000001</c:v>
                </c:pt>
                <c:pt idx="646">
                  <c:v>0.14000000000000001</c:v>
                </c:pt>
                <c:pt idx="647">
                  <c:v>0.14000000000000001</c:v>
                </c:pt>
                <c:pt idx="648">
                  <c:v>0.14000000000000001</c:v>
                </c:pt>
                <c:pt idx="649">
                  <c:v>0.16</c:v>
                </c:pt>
                <c:pt idx="650">
                  <c:v>0.18</c:v>
                </c:pt>
                <c:pt idx="651">
                  <c:v>0.22</c:v>
                </c:pt>
                <c:pt idx="652">
                  <c:v>0.3</c:v>
                </c:pt>
                <c:pt idx="653">
                  <c:v>0.28000000000000003</c:v>
                </c:pt>
                <c:pt idx="654">
                  <c:v>0.28000000000000003</c:v>
                </c:pt>
                <c:pt idx="655">
                  <c:v>0.3</c:v>
                </c:pt>
                <c:pt idx="656">
                  <c:v>0.3</c:v>
                </c:pt>
                <c:pt idx="657">
                  <c:v>0.3</c:v>
                </c:pt>
                <c:pt idx="658">
                  <c:v>0.26</c:v>
                </c:pt>
                <c:pt idx="659">
                  <c:v>0.26</c:v>
                </c:pt>
                <c:pt idx="660">
                  <c:v>0.26</c:v>
                </c:pt>
                <c:pt idx="661">
                  <c:v>0.24</c:v>
                </c:pt>
                <c:pt idx="662">
                  <c:v>0.24</c:v>
                </c:pt>
                <c:pt idx="663">
                  <c:v>0.24</c:v>
                </c:pt>
                <c:pt idx="664">
                  <c:v>0.24</c:v>
                </c:pt>
                <c:pt idx="665">
                  <c:v>0.22</c:v>
                </c:pt>
                <c:pt idx="666">
                  <c:v>0.22</c:v>
                </c:pt>
                <c:pt idx="667">
                  <c:v>0.22</c:v>
                </c:pt>
                <c:pt idx="668">
                  <c:v>0.2</c:v>
                </c:pt>
                <c:pt idx="669">
                  <c:v>0.18</c:v>
                </c:pt>
                <c:pt idx="670">
                  <c:v>0.16</c:v>
                </c:pt>
                <c:pt idx="671">
                  <c:v>0.16</c:v>
                </c:pt>
                <c:pt idx="672">
                  <c:v>0.16</c:v>
                </c:pt>
                <c:pt idx="673">
                  <c:v>0.16</c:v>
                </c:pt>
                <c:pt idx="674">
                  <c:v>0.16</c:v>
                </c:pt>
                <c:pt idx="675">
                  <c:v>0.16</c:v>
                </c:pt>
                <c:pt idx="676">
                  <c:v>0.18</c:v>
                </c:pt>
                <c:pt idx="677">
                  <c:v>0.16</c:v>
                </c:pt>
                <c:pt idx="678">
                  <c:v>0.18</c:v>
                </c:pt>
                <c:pt idx="679">
                  <c:v>0.16</c:v>
                </c:pt>
                <c:pt idx="680">
                  <c:v>0.16</c:v>
                </c:pt>
                <c:pt idx="681">
                  <c:v>0.16</c:v>
                </c:pt>
                <c:pt idx="682">
                  <c:v>0.16</c:v>
                </c:pt>
                <c:pt idx="683">
                  <c:v>0.3</c:v>
                </c:pt>
                <c:pt idx="684">
                  <c:v>0.16</c:v>
                </c:pt>
                <c:pt idx="685">
                  <c:v>0.16</c:v>
                </c:pt>
                <c:pt idx="686">
                  <c:v>0.16</c:v>
                </c:pt>
                <c:pt idx="687">
                  <c:v>0.16</c:v>
                </c:pt>
                <c:pt idx="688">
                  <c:v>0.16</c:v>
                </c:pt>
                <c:pt idx="689">
                  <c:v>0.16</c:v>
                </c:pt>
                <c:pt idx="690">
                  <c:v>0.16</c:v>
                </c:pt>
                <c:pt idx="691">
                  <c:v>0.16</c:v>
                </c:pt>
                <c:pt idx="692">
                  <c:v>0.14000000000000001</c:v>
                </c:pt>
                <c:pt idx="693">
                  <c:v>0.14000000000000001</c:v>
                </c:pt>
                <c:pt idx="694">
                  <c:v>0.16</c:v>
                </c:pt>
                <c:pt idx="695">
                  <c:v>0.16</c:v>
                </c:pt>
                <c:pt idx="696">
                  <c:v>0.16</c:v>
                </c:pt>
                <c:pt idx="697">
                  <c:v>0.16</c:v>
                </c:pt>
                <c:pt idx="698">
                  <c:v>0.18</c:v>
                </c:pt>
                <c:pt idx="699">
                  <c:v>0.2</c:v>
                </c:pt>
                <c:pt idx="700">
                  <c:v>0.2</c:v>
                </c:pt>
                <c:pt idx="701">
                  <c:v>0.22</c:v>
                </c:pt>
                <c:pt idx="702">
                  <c:v>0.24</c:v>
                </c:pt>
                <c:pt idx="703">
                  <c:v>0.24</c:v>
                </c:pt>
                <c:pt idx="704">
                  <c:v>0.24</c:v>
                </c:pt>
                <c:pt idx="705">
                  <c:v>0.24</c:v>
                </c:pt>
                <c:pt idx="706">
                  <c:v>0.24</c:v>
                </c:pt>
                <c:pt idx="707">
                  <c:v>0.22</c:v>
                </c:pt>
                <c:pt idx="708">
                  <c:v>0.22</c:v>
                </c:pt>
                <c:pt idx="709">
                  <c:v>0.22</c:v>
                </c:pt>
                <c:pt idx="710">
                  <c:v>0.2</c:v>
                </c:pt>
                <c:pt idx="711">
                  <c:v>0.22</c:v>
                </c:pt>
                <c:pt idx="712">
                  <c:v>0.22</c:v>
                </c:pt>
                <c:pt idx="713">
                  <c:v>0.22</c:v>
                </c:pt>
                <c:pt idx="714">
                  <c:v>0.22</c:v>
                </c:pt>
                <c:pt idx="715">
                  <c:v>0.22</c:v>
                </c:pt>
                <c:pt idx="716">
                  <c:v>0.22</c:v>
                </c:pt>
                <c:pt idx="717">
                  <c:v>0.22</c:v>
                </c:pt>
                <c:pt idx="718">
                  <c:v>0.22</c:v>
                </c:pt>
                <c:pt idx="719">
                  <c:v>0.22</c:v>
                </c:pt>
                <c:pt idx="720">
                  <c:v>0.24</c:v>
                </c:pt>
                <c:pt idx="721">
                  <c:v>0.22</c:v>
                </c:pt>
                <c:pt idx="722">
                  <c:v>0.24</c:v>
                </c:pt>
                <c:pt idx="723">
                  <c:v>0.24</c:v>
                </c:pt>
                <c:pt idx="724">
                  <c:v>0.34</c:v>
                </c:pt>
                <c:pt idx="725">
                  <c:v>0.38</c:v>
                </c:pt>
                <c:pt idx="726">
                  <c:v>0.38</c:v>
                </c:pt>
                <c:pt idx="727">
                  <c:v>0.36</c:v>
                </c:pt>
                <c:pt idx="728">
                  <c:v>0.36</c:v>
                </c:pt>
                <c:pt idx="729">
                  <c:v>0.34</c:v>
                </c:pt>
                <c:pt idx="730">
                  <c:v>0.28000000000000003</c:v>
                </c:pt>
                <c:pt idx="731">
                  <c:v>0.24</c:v>
                </c:pt>
                <c:pt idx="732">
                  <c:v>0.22</c:v>
                </c:pt>
                <c:pt idx="733">
                  <c:v>0.22</c:v>
                </c:pt>
                <c:pt idx="734">
                  <c:v>0.2</c:v>
                </c:pt>
                <c:pt idx="735">
                  <c:v>0.2</c:v>
                </c:pt>
                <c:pt idx="736">
                  <c:v>0.2</c:v>
                </c:pt>
                <c:pt idx="737">
                  <c:v>0.18</c:v>
                </c:pt>
                <c:pt idx="738">
                  <c:v>0.18</c:v>
                </c:pt>
                <c:pt idx="739">
                  <c:v>0.16</c:v>
                </c:pt>
                <c:pt idx="740">
                  <c:v>0.16</c:v>
                </c:pt>
                <c:pt idx="741">
                  <c:v>0.14000000000000001</c:v>
                </c:pt>
                <c:pt idx="742">
                  <c:v>0.14000000000000001</c:v>
                </c:pt>
                <c:pt idx="743">
                  <c:v>0.16</c:v>
                </c:pt>
                <c:pt idx="744">
                  <c:v>0.18</c:v>
                </c:pt>
                <c:pt idx="745">
                  <c:v>0.18</c:v>
                </c:pt>
                <c:pt idx="746">
                  <c:v>0.2</c:v>
                </c:pt>
                <c:pt idx="747">
                  <c:v>0.2</c:v>
                </c:pt>
                <c:pt idx="748">
                  <c:v>0.22</c:v>
                </c:pt>
                <c:pt idx="749">
                  <c:v>0.22</c:v>
                </c:pt>
                <c:pt idx="750">
                  <c:v>0.22</c:v>
                </c:pt>
                <c:pt idx="751">
                  <c:v>0.2</c:v>
                </c:pt>
                <c:pt idx="752">
                  <c:v>0.2</c:v>
                </c:pt>
                <c:pt idx="753">
                  <c:v>0.2</c:v>
                </c:pt>
                <c:pt idx="754">
                  <c:v>0.2</c:v>
                </c:pt>
                <c:pt idx="755">
                  <c:v>0.18</c:v>
                </c:pt>
                <c:pt idx="756">
                  <c:v>0.18</c:v>
                </c:pt>
                <c:pt idx="757">
                  <c:v>0.2</c:v>
                </c:pt>
                <c:pt idx="758">
                  <c:v>0.2</c:v>
                </c:pt>
                <c:pt idx="759">
                  <c:v>0.16</c:v>
                </c:pt>
                <c:pt idx="760">
                  <c:v>0.14000000000000001</c:v>
                </c:pt>
                <c:pt idx="761">
                  <c:v>0.14000000000000001</c:v>
                </c:pt>
                <c:pt idx="762">
                  <c:v>0.14000000000000001</c:v>
                </c:pt>
                <c:pt idx="763">
                  <c:v>0.16</c:v>
                </c:pt>
                <c:pt idx="764">
                  <c:v>0.14000000000000001</c:v>
                </c:pt>
                <c:pt idx="765">
                  <c:v>0.14000000000000001</c:v>
                </c:pt>
                <c:pt idx="766">
                  <c:v>0.16</c:v>
                </c:pt>
                <c:pt idx="767">
                  <c:v>0.2</c:v>
                </c:pt>
                <c:pt idx="768">
                  <c:v>0.22</c:v>
                </c:pt>
                <c:pt idx="769">
                  <c:v>0.24</c:v>
                </c:pt>
                <c:pt idx="770">
                  <c:v>0.26</c:v>
                </c:pt>
                <c:pt idx="771">
                  <c:v>0.28000000000000003</c:v>
                </c:pt>
                <c:pt idx="772">
                  <c:v>0.28000000000000003</c:v>
                </c:pt>
                <c:pt idx="773">
                  <c:v>0.3</c:v>
                </c:pt>
                <c:pt idx="774">
                  <c:v>0.26</c:v>
                </c:pt>
                <c:pt idx="775">
                  <c:v>0.24</c:v>
                </c:pt>
                <c:pt idx="776">
                  <c:v>0.24</c:v>
                </c:pt>
                <c:pt idx="777">
                  <c:v>0.24</c:v>
                </c:pt>
                <c:pt idx="778">
                  <c:v>0.24</c:v>
                </c:pt>
                <c:pt idx="779">
                  <c:v>0.24</c:v>
                </c:pt>
                <c:pt idx="780">
                  <c:v>0.24</c:v>
                </c:pt>
                <c:pt idx="781">
                  <c:v>0.24</c:v>
                </c:pt>
                <c:pt idx="782">
                  <c:v>0.24</c:v>
                </c:pt>
                <c:pt idx="783">
                  <c:v>0.24</c:v>
                </c:pt>
                <c:pt idx="784">
                  <c:v>0.24</c:v>
                </c:pt>
                <c:pt idx="785">
                  <c:v>0.22</c:v>
                </c:pt>
                <c:pt idx="786">
                  <c:v>0.2</c:v>
                </c:pt>
                <c:pt idx="787">
                  <c:v>0.2</c:v>
                </c:pt>
                <c:pt idx="788">
                  <c:v>0.22</c:v>
                </c:pt>
                <c:pt idx="789">
                  <c:v>0.2</c:v>
                </c:pt>
                <c:pt idx="790">
                  <c:v>0.2</c:v>
                </c:pt>
                <c:pt idx="791">
                  <c:v>0.2</c:v>
                </c:pt>
                <c:pt idx="792">
                  <c:v>0.22</c:v>
                </c:pt>
                <c:pt idx="793">
                  <c:v>0.22</c:v>
                </c:pt>
                <c:pt idx="794">
                  <c:v>0.22</c:v>
                </c:pt>
                <c:pt idx="795">
                  <c:v>0.22</c:v>
                </c:pt>
                <c:pt idx="796">
                  <c:v>0.22</c:v>
                </c:pt>
                <c:pt idx="797">
                  <c:v>0.22</c:v>
                </c:pt>
                <c:pt idx="798">
                  <c:v>0.24</c:v>
                </c:pt>
                <c:pt idx="799">
                  <c:v>0.28000000000000003</c:v>
                </c:pt>
                <c:pt idx="800">
                  <c:v>0.28000000000000003</c:v>
                </c:pt>
                <c:pt idx="801">
                  <c:v>0.3</c:v>
                </c:pt>
                <c:pt idx="802">
                  <c:v>0.26</c:v>
                </c:pt>
                <c:pt idx="803">
                  <c:v>0.26</c:v>
                </c:pt>
                <c:pt idx="804">
                  <c:v>0.26</c:v>
                </c:pt>
                <c:pt idx="805">
                  <c:v>0.26</c:v>
                </c:pt>
                <c:pt idx="806">
                  <c:v>0.26</c:v>
                </c:pt>
                <c:pt idx="807">
                  <c:v>0.26</c:v>
                </c:pt>
                <c:pt idx="808">
                  <c:v>0.26</c:v>
                </c:pt>
                <c:pt idx="809">
                  <c:v>0.26</c:v>
                </c:pt>
                <c:pt idx="810">
                  <c:v>0.26</c:v>
                </c:pt>
                <c:pt idx="811">
                  <c:v>0.26</c:v>
                </c:pt>
                <c:pt idx="812">
                  <c:v>0.24</c:v>
                </c:pt>
                <c:pt idx="813">
                  <c:v>0.24</c:v>
                </c:pt>
                <c:pt idx="814">
                  <c:v>0.28000000000000003</c:v>
                </c:pt>
                <c:pt idx="815">
                  <c:v>0.3</c:v>
                </c:pt>
                <c:pt idx="816">
                  <c:v>0.32</c:v>
                </c:pt>
                <c:pt idx="817">
                  <c:v>0.34</c:v>
                </c:pt>
                <c:pt idx="818">
                  <c:v>0.34</c:v>
                </c:pt>
                <c:pt idx="819">
                  <c:v>0.34</c:v>
                </c:pt>
                <c:pt idx="820">
                  <c:v>0.34</c:v>
                </c:pt>
                <c:pt idx="821">
                  <c:v>0.34</c:v>
                </c:pt>
                <c:pt idx="822">
                  <c:v>0.34</c:v>
                </c:pt>
                <c:pt idx="823">
                  <c:v>0.3</c:v>
                </c:pt>
                <c:pt idx="824">
                  <c:v>0.28000000000000003</c:v>
                </c:pt>
                <c:pt idx="825">
                  <c:v>0.28000000000000003</c:v>
                </c:pt>
                <c:pt idx="826">
                  <c:v>0.26</c:v>
                </c:pt>
                <c:pt idx="827">
                  <c:v>0.26</c:v>
                </c:pt>
                <c:pt idx="828">
                  <c:v>0.24</c:v>
                </c:pt>
                <c:pt idx="829">
                  <c:v>0.24</c:v>
                </c:pt>
                <c:pt idx="830">
                  <c:v>0.22</c:v>
                </c:pt>
                <c:pt idx="831">
                  <c:v>0.2</c:v>
                </c:pt>
                <c:pt idx="832">
                  <c:v>0.2</c:v>
                </c:pt>
                <c:pt idx="833">
                  <c:v>0.2</c:v>
                </c:pt>
                <c:pt idx="834">
                  <c:v>0.2</c:v>
                </c:pt>
                <c:pt idx="835">
                  <c:v>0.18</c:v>
                </c:pt>
                <c:pt idx="836">
                  <c:v>0.18</c:v>
                </c:pt>
                <c:pt idx="837">
                  <c:v>0.16</c:v>
                </c:pt>
                <c:pt idx="838">
                  <c:v>0.22</c:v>
                </c:pt>
                <c:pt idx="839">
                  <c:v>0.24</c:v>
                </c:pt>
                <c:pt idx="840">
                  <c:v>0.3</c:v>
                </c:pt>
                <c:pt idx="841">
                  <c:v>0.32</c:v>
                </c:pt>
                <c:pt idx="842">
                  <c:v>0.36</c:v>
                </c:pt>
                <c:pt idx="843">
                  <c:v>0.36</c:v>
                </c:pt>
                <c:pt idx="844">
                  <c:v>0.38</c:v>
                </c:pt>
                <c:pt idx="845">
                  <c:v>0.36</c:v>
                </c:pt>
                <c:pt idx="846">
                  <c:v>0.32</c:v>
                </c:pt>
                <c:pt idx="847">
                  <c:v>0.34</c:v>
                </c:pt>
                <c:pt idx="848">
                  <c:v>0.32</c:v>
                </c:pt>
                <c:pt idx="849">
                  <c:v>0.32</c:v>
                </c:pt>
                <c:pt idx="850">
                  <c:v>0.32</c:v>
                </c:pt>
                <c:pt idx="851">
                  <c:v>0.28000000000000003</c:v>
                </c:pt>
                <c:pt idx="852">
                  <c:v>0.3</c:v>
                </c:pt>
                <c:pt idx="853">
                  <c:v>0.28000000000000003</c:v>
                </c:pt>
                <c:pt idx="854">
                  <c:v>0.28000000000000003</c:v>
                </c:pt>
                <c:pt idx="855">
                  <c:v>0.26</c:v>
                </c:pt>
                <c:pt idx="856">
                  <c:v>0.28000000000000003</c:v>
                </c:pt>
                <c:pt idx="857">
                  <c:v>0.26</c:v>
                </c:pt>
                <c:pt idx="858">
                  <c:v>0.26</c:v>
                </c:pt>
                <c:pt idx="859">
                  <c:v>0.26</c:v>
                </c:pt>
                <c:pt idx="860">
                  <c:v>0.24</c:v>
                </c:pt>
                <c:pt idx="861">
                  <c:v>0.24</c:v>
                </c:pt>
                <c:pt idx="862">
                  <c:v>0.24</c:v>
                </c:pt>
                <c:pt idx="863">
                  <c:v>0.22</c:v>
                </c:pt>
                <c:pt idx="864">
                  <c:v>0.22</c:v>
                </c:pt>
                <c:pt idx="865">
                  <c:v>0.24</c:v>
                </c:pt>
                <c:pt idx="866">
                  <c:v>0.24</c:v>
                </c:pt>
                <c:pt idx="867">
                  <c:v>0.22</c:v>
                </c:pt>
                <c:pt idx="868">
                  <c:v>0.22</c:v>
                </c:pt>
                <c:pt idx="869">
                  <c:v>0.22</c:v>
                </c:pt>
                <c:pt idx="870">
                  <c:v>0.22</c:v>
                </c:pt>
                <c:pt idx="871">
                  <c:v>0.2</c:v>
                </c:pt>
                <c:pt idx="872">
                  <c:v>0.16</c:v>
                </c:pt>
                <c:pt idx="873">
                  <c:v>0.16</c:v>
                </c:pt>
                <c:pt idx="874">
                  <c:v>0.14000000000000001</c:v>
                </c:pt>
                <c:pt idx="875">
                  <c:v>0.12</c:v>
                </c:pt>
                <c:pt idx="876">
                  <c:v>0.12</c:v>
                </c:pt>
                <c:pt idx="877">
                  <c:v>0.1</c:v>
                </c:pt>
                <c:pt idx="878">
                  <c:v>0.1</c:v>
                </c:pt>
                <c:pt idx="879">
                  <c:v>0.08</c:v>
                </c:pt>
                <c:pt idx="880">
                  <c:v>0.06</c:v>
                </c:pt>
                <c:pt idx="881">
                  <c:v>0.06</c:v>
                </c:pt>
                <c:pt idx="882">
                  <c:v>0.06</c:v>
                </c:pt>
                <c:pt idx="883">
                  <c:v>0.06</c:v>
                </c:pt>
                <c:pt idx="884">
                  <c:v>0.1</c:v>
                </c:pt>
                <c:pt idx="885">
                  <c:v>0.12</c:v>
                </c:pt>
                <c:pt idx="886">
                  <c:v>0.14000000000000001</c:v>
                </c:pt>
                <c:pt idx="887">
                  <c:v>0.14000000000000001</c:v>
                </c:pt>
                <c:pt idx="888">
                  <c:v>0.18</c:v>
                </c:pt>
                <c:pt idx="889">
                  <c:v>0.18</c:v>
                </c:pt>
                <c:pt idx="890">
                  <c:v>0.2</c:v>
                </c:pt>
                <c:pt idx="891">
                  <c:v>0.2</c:v>
                </c:pt>
                <c:pt idx="892">
                  <c:v>0.2</c:v>
                </c:pt>
                <c:pt idx="893">
                  <c:v>0.2</c:v>
                </c:pt>
                <c:pt idx="894">
                  <c:v>0.18</c:v>
                </c:pt>
                <c:pt idx="895">
                  <c:v>0.14000000000000001</c:v>
                </c:pt>
                <c:pt idx="896">
                  <c:v>0.14000000000000001</c:v>
                </c:pt>
                <c:pt idx="897">
                  <c:v>0.14000000000000001</c:v>
                </c:pt>
                <c:pt idx="898">
                  <c:v>0.16</c:v>
                </c:pt>
                <c:pt idx="899">
                  <c:v>0.16</c:v>
                </c:pt>
                <c:pt idx="900">
                  <c:v>0.14000000000000001</c:v>
                </c:pt>
                <c:pt idx="901">
                  <c:v>0.14000000000000001</c:v>
                </c:pt>
                <c:pt idx="902">
                  <c:v>0.14000000000000001</c:v>
                </c:pt>
                <c:pt idx="903">
                  <c:v>0.14000000000000001</c:v>
                </c:pt>
                <c:pt idx="904">
                  <c:v>0.12</c:v>
                </c:pt>
                <c:pt idx="905">
                  <c:v>0.12</c:v>
                </c:pt>
                <c:pt idx="906">
                  <c:v>0.1</c:v>
                </c:pt>
                <c:pt idx="907">
                  <c:v>0.1</c:v>
                </c:pt>
                <c:pt idx="908">
                  <c:v>0.12</c:v>
                </c:pt>
                <c:pt idx="909">
                  <c:v>0.12</c:v>
                </c:pt>
                <c:pt idx="910">
                  <c:v>0.14000000000000001</c:v>
                </c:pt>
                <c:pt idx="911">
                  <c:v>0.16</c:v>
                </c:pt>
                <c:pt idx="912">
                  <c:v>0.18</c:v>
                </c:pt>
                <c:pt idx="913">
                  <c:v>0.2</c:v>
                </c:pt>
                <c:pt idx="914">
                  <c:v>0.2</c:v>
                </c:pt>
                <c:pt idx="915">
                  <c:v>0.2</c:v>
                </c:pt>
                <c:pt idx="916">
                  <c:v>0.18</c:v>
                </c:pt>
                <c:pt idx="917">
                  <c:v>0.16</c:v>
                </c:pt>
                <c:pt idx="918">
                  <c:v>0.14000000000000001</c:v>
                </c:pt>
                <c:pt idx="919">
                  <c:v>0.14000000000000001</c:v>
                </c:pt>
                <c:pt idx="920">
                  <c:v>0.14000000000000001</c:v>
                </c:pt>
                <c:pt idx="921">
                  <c:v>0.12</c:v>
                </c:pt>
                <c:pt idx="922">
                  <c:v>0.12</c:v>
                </c:pt>
                <c:pt idx="923">
                  <c:v>0.1</c:v>
                </c:pt>
                <c:pt idx="924">
                  <c:v>0.1</c:v>
                </c:pt>
                <c:pt idx="925">
                  <c:v>0.1</c:v>
                </c:pt>
                <c:pt idx="926">
                  <c:v>0.08</c:v>
                </c:pt>
                <c:pt idx="927">
                  <c:v>0.1</c:v>
                </c:pt>
                <c:pt idx="928">
                  <c:v>0.08</c:v>
                </c:pt>
                <c:pt idx="929">
                  <c:v>0.1</c:v>
                </c:pt>
                <c:pt idx="930">
                  <c:v>0.12</c:v>
                </c:pt>
                <c:pt idx="931">
                  <c:v>0.14000000000000001</c:v>
                </c:pt>
                <c:pt idx="932">
                  <c:v>0.22</c:v>
                </c:pt>
                <c:pt idx="933">
                  <c:v>0.22</c:v>
                </c:pt>
                <c:pt idx="934">
                  <c:v>0.24</c:v>
                </c:pt>
                <c:pt idx="935">
                  <c:v>0.3</c:v>
                </c:pt>
                <c:pt idx="936">
                  <c:v>0.32</c:v>
                </c:pt>
                <c:pt idx="937">
                  <c:v>0.3</c:v>
                </c:pt>
                <c:pt idx="938">
                  <c:v>0.3</c:v>
                </c:pt>
                <c:pt idx="939">
                  <c:v>0.28000000000000003</c:v>
                </c:pt>
                <c:pt idx="940">
                  <c:v>0.26</c:v>
                </c:pt>
                <c:pt idx="941">
                  <c:v>0.22</c:v>
                </c:pt>
                <c:pt idx="942">
                  <c:v>0.2</c:v>
                </c:pt>
                <c:pt idx="943">
                  <c:v>0.2</c:v>
                </c:pt>
                <c:pt idx="944">
                  <c:v>0.18</c:v>
                </c:pt>
                <c:pt idx="945">
                  <c:v>0.16</c:v>
                </c:pt>
                <c:pt idx="946">
                  <c:v>0.14000000000000001</c:v>
                </c:pt>
                <c:pt idx="947">
                  <c:v>0.14000000000000001</c:v>
                </c:pt>
                <c:pt idx="948">
                  <c:v>0.12</c:v>
                </c:pt>
                <c:pt idx="949">
                  <c:v>0.12</c:v>
                </c:pt>
                <c:pt idx="950">
                  <c:v>0.12</c:v>
                </c:pt>
                <c:pt idx="951">
                  <c:v>0.12</c:v>
                </c:pt>
                <c:pt idx="952">
                  <c:v>0.12</c:v>
                </c:pt>
                <c:pt idx="953">
                  <c:v>0.14000000000000001</c:v>
                </c:pt>
                <c:pt idx="954">
                  <c:v>0.16</c:v>
                </c:pt>
                <c:pt idx="955">
                  <c:v>0.22</c:v>
                </c:pt>
                <c:pt idx="956">
                  <c:v>0.3</c:v>
                </c:pt>
                <c:pt idx="957">
                  <c:v>0.3</c:v>
                </c:pt>
                <c:pt idx="958">
                  <c:v>0.3</c:v>
                </c:pt>
                <c:pt idx="959">
                  <c:v>0.34</c:v>
                </c:pt>
                <c:pt idx="960">
                  <c:v>0.34</c:v>
                </c:pt>
                <c:pt idx="961">
                  <c:v>0.34</c:v>
                </c:pt>
                <c:pt idx="962">
                  <c:v>0.32</c:v>
                </c:pt>
                <c:pt idx="963">
                  <c:v>0.28000000000000003</c:v>
                </c:pt>
                <c:pt idx="964">
                  <c:v>0.28000000000000003</c:v>
                </c:pt>
                <c:pt idx="965">
                  <c:v>0.26</c:v>
                </c:pt>
                <c:pt idx="966">
                  <c:v>0.26</c:v>
                </c:pt>
                <c:pt idx="967">
                  <c:v>0.24</c:v>
                </c:pt>
                <c:pt idx="968">
                  <c:v>0.22</c:v>
                </c:pt>
                <c:pt idx="969">
                  <c:v>0.2</c:v>
                </c:pt>
                <c:pt idx="970">
                  <c:v>0.2</c:v>
                </c:pt>
                <c:pt idx="971">
                  <c:v>0.2</c:v>
                </c:pt>
                <c:pt idx="972">
                  <c:v>0.2</c:v>
                </c:pt>
                <c:pt idx="973">
                  <c:v>0.2</c:v>
                </c:pt>
                <c:pt idx="974">
                  <c:v>0.2</c:v>
                </c:pt>
                <c:pt idx="975">
                  <c:v>0.22</c:v>
                </c:pt>
                <c:pt idx="976">
                  <c:v>0.22</c:v>
                </c:pt>
                <c:pt idx="977">
                  <c:v>0.24</c:v>
                </c:pt>
                <c:pt idx="978">
                  <c:v>0.3</c:v>
                </c:pt>
                <c:pt idx="979">
                  <c:v>0.32</c:v>
                </c:pt>
                <c:pt idx="980">
                  <c:v>0.36</c:v>
                </c:pt>
                <c:pt idx="981">
                  <c:v>0.38</c:v>
                </c:pt>
                <c:pt idx="982">
                  <c:v>0.4</c:v>
                </c:pt>
                <c:pt idx="983">
                  <c:v>0.4</c:v>
                </c:pt>
                <c:pt idx="984">
                  <c:v>0.42</c:v>
                </c:pt>
                <c:pt idx="985">
                  <c:v>0.42</c:v>
                </c:pt>
                <c:pt idx="986">
                  <c:v>0.4</c:v>
                </c:pt>
                <c:pt idx="987">
                  <c:v>0.4</c:v>
                </c:pt>
                <c:pt idx="988">
                  <c:v>0.4</c:v>
                </c:pt>
                <c:pt idx="989">
                  <c:v>0.4</c:v>
                </c:pt>
                <c:pt idx="990">
                  <c:v>0.4</c:v>
                </c:pt>
                <c:pt idx="991">
                  <c:v>0.4</c:v>
                </c:pt>
                <c:pt idx="992">
                  <c:v>0.38</c:v>
                </c:pt>
                <c:pt idx="993">
                  <c:v>0.38</c:v>
                </c:pt>
                <c:pt idx="994">
                  <c:v>0.36</c:v>
                </c:pt>
                <c:pt idx="995">
                  <c:v>0.34</c:v>
                </c:pt>
                <c:pt idx="996">
                  <c:v>0.32</c:v>
                </c:pt>
                <c:pt idx="997">
                  <c:v>0.32</c:v>
                </c:pt>
                <c:pt idx="998">
                  <c:v>0.34</c:v>
                </c:pt>
                <c:pt idx="999">
                  <c:v>0.34</c:v>
                </c:pt>
              </c:numCache>
            </c:numRef>
          </c:xVal>
          <c:yVal>
            <c:numRef>
              <c:f>'Cleaned_DatasetB'!$Q$2:$Q$1001</c:f>
              <c:numCache>
                <c:formatCode>General</c:formatCode>
                <c:ptCount val="1000"/>
                <c:pt idx="0">
                  <c:v>16</c:v>
                </c:pt>
                <c:pt idx="1">
                  <c:v>40</c:v>
                </c:pt>
                <c:pt idx="2">
                  <c:v>32</c:v>
                </c:pt>
                <c:pt idx="3">
                  <c:v>13</c:v>
                </c:pt>
                <c:pt idx="4">
                  <c:v>1</c:v>
                </c:pt>
                <c:pt idx="5">
                  <c:v>1</c:v>
                </c:pt>
                <c:pt idx="6">
                  <c:v>2</c:v>
                </c:pt>
                <c:pt idx="7">
                  <c:v>3</c:v>
                </c:pt>
                <c:pt idx="8">
                  <c:v>8</c:v>
                </c:pt>
                <c:pt idx="9">
                  <c:v>14</c:v>
                </c:pt>
                <c:pt idx="10">
                  <c:v>36</c:v>
                </c:pt>
                <c:pt idx="11">
                  <c:v>56</c:v>
                </c:pt>
                <c:pt idx="12">
                  <c:v>84</c:v>
                </c:pt>
                <c:pt idx="13">
                  <c:v>94</c:v>
                </c:pt>
                <c:pt idx="14">
                  <c:v>106</c:v>
                </c:pt>
                <c:pt idx="15">
                  <c:v>110</c:v>
                </c:pt>
                <c:pt idx="16">
                  <c:v>93</c:v>
                </c:pt>
                <c:pt idx="17">
                  <c:v>67</c:v>
                </c:pt>
                <c:pt idx="18">
                  <c:v>35</c:v>
                </c:pt>
                <c:pt idx="19">
                  <c:v>37</c:v>
                </c:pt>
                <c:pt idx="20">
                  <c:v>36</c:v>
                </c:pt>
                <c:pt idx="21">
                  <c:v>34</c:v>
                </c:pt>
                <c:pt idx="22">
                  <c:v>28</c:v>
                </c:pt>
                <c:pt idx="23">
                  <c:v>39</c:v>
                </c:pt>
                <c:pt idx="24">
                  <c:v>17</c:v>
                </c:pt>
                <c:pt idx="25">
                  <c:v>17</c:v>
                </c:pt>
                <c:pt idx="26">
                  <c:v>9</c:v>
                </c:pt>
                <c:pt idx="27">
                  <c:v>6</c:v>
                </c:pt>
                <c:pt idx="28">
                  <c:v>3</c:v>
                </c:pt>
                <c:pt idx="29">
                  <c:v>2</c:v>
                </c:pt>
                <c:pt idx="30">
                  <c:v>1</c:v>
                </c:pt>
                <c:pt idx="31">
                  <c:v>8</c:v>
                </c:pt>
                <c:pt idx="32">
                  <c:v>20</c:v>
                </c:pt>
                <c:pt idx="33">
                  <c:v>53</c:v>
                </c:pt>
                <c:pt idx="34">
                  <c:v>70</c:v>
                </c:pt>
                <c:pt idx="35">
                  <c:v>93</c:v>
                </c:pt>
                <c:pt idx="36">
                  <c:v>75</c:v>
                </c:pt>
                <c:pt idx="37">
                  <c:v>59</c:v>
                </c:pt>
                <c:pt idx="38">
                  <c:v>74</c:v>
                </c:pt>
                <c:pt idx="39">
                  <c:v>76</c:v>
                </c:pt>
                <c:pt idx="40">
                  <c:v>65</c:v>
                </c:pt>
                <c:pt idx="41">
                  <c:v>53</c:v>
                </c:pt>
                <c:pt idx="42">
                  <c:v>30</c:v>
                </c:pt>
                <c:pt idx="43">
                  <c:v>22</c:v>
                </c:pt>
                <c:pt idx="44">
                  <c:v>31</c:v>
                </c:pt>
                <c:pt idx="45">
                  <c:v>9</c:v>
                </c:pt>
                <c:pt idx="46">
                  <c:v>8</c:v>
                </c:pt>
                <c:pt idx="47">
                  <c:v>5</c:v>
                </c:pt>
                <c:pt idx="48">
                  <c:v>2</c:v>
                </c:pt>
                <c:pt idx="49">
                  <c:v>1</c:v>
                </c:pt>
                <c:pt idx="50">
                  <c:v>3</c:v>
                </c:pt>
                <c:pt idx="51">
                  <c:v>30</c:v>
                </c:pt>
                <c:pt idx="52">
                  <c:v>64</c:v>
                </c:pt>
                <c:pt idx="53">
                  <c:v>154</c:v>
                </c:pt>
                <c:pt idx="54">
                  <c:v>88</c:v>
                </c:pt>
                <c:pt idx="55">
                  <c:v>44</c:v>
                </c:pt>
                <c:pt idx="56">
                  <c:v>51</c:v>
                </c:pt>
                <c:pt idx="57">
                  <c:v>61</c:v>
                </c:pt>
                <c:pt idx="58">
                  <c:v>61</c:v>
                </c:pt>
                <c:pt idx="59">
                  <c:v>77</c:v>
                </c:pt>
                <c:pt idx="60">
                  <c:v>72</c:v>
                </c:pt>
                <c:pt idx="61">
                  <c:v>76</c:v>
                </c:pt>
                <c:pt idx="62">
                  <c:v>157</c:v>
                </c:pt>
                <c:pt idx="63">
                  <c:v>157</c:v>
                </c:pt>
                <c:pt idx="64">
                  <c:v>110</c:v>
                </c:pt>
                <c:pt idx="65">
                  <c:v>52</c:v>
                </c:pt>
                <c:pt idx="66">
                  <c:v>52</c:v>
                </c:pt>
                <c:pt idx="67">
                  <c:v>20</c:v>
                </c:pt>
                <c:pt idx="68">
                  <c:v>12</c:v>
                </c:pt>
                <c:pt idx="69">
                  <c:v>5</c:v>
                </c:pt>
                <c:pt idx="70">
                  <c:v>2</c:v>
                </c:pt>
                <c:pt idx="71">
                  <c:v>1</c:v>
                </c:pt>
                <c:pt idx="72">
                  <c:v>2</c:v>
                </c:pt>
                <c:pt idx="73">
                  <c:v>4</c:v>
                </c:pt>
                <c:pt idx="74">
                  <c:v>36</c:v>
                </c:pt>
                <c:pt idx="75">
                  <c:v>94</c:v>
                </c:pt>
                <c:pt idx="76">
                  <c:v>179</c:v>
                </c:pt>
                <c:pt idx="77">
                  <c:v>100</c:v>
                </c:pt>
                <c:pt idx="78">
                  <c:v>42</c:v>
                </c:pt>
                <c:pt idx="79">
                  <c:v>57</c:v>
                </c:pt>
                <c:pt idx="80">
                  <c:v>78</c:v>
                </c:pt>
                <c:pt idx="81">
                  <c:v>97</c:v>
                </c:pt>
                <c:pt idx="82">
                  <c:v>63</c:v>
                </c:pt>
                <c:pt idx="83">
                  <c:v>65</c:v>
                </c:pt>
                <c:pt idx="84">
                  <c:v>83</c:v>
                </c:pt>
                <c:pt idx="85">
                  <c:v>212</c:v>
                </c:pt>
                <c:pt idx="86">
                  <c:v>182</c:v>
                </c:pt>
                <c:pt idx="87">
                  <c:v>112</c:v>
                </c:pt>
                <c:pt idx="88">
                  <c:v>54</c:v>
                </c:pt>
                <c:pt idx="89">
                  <c:v>48</c:v>
                </c:pt>
                <c:pt idx="90">
                  <c:v>35</c:v>
                </c:pt>
                <c:pt idx="91">
                  <c:v>11</c:v>
                </c:pt>
                <c:pt idx="92">
                  <c:v>6</c:v>
                </c:pt>
                <c:pt idx="93">
                  <c:v>6</c:v>
                </c:pt>
                <c:pt idx="94">
                  <c:v>2</c:v>
                </c:pt>
                <c:pt idx="95">
                  <c:v>2</c:v>
                </c:pt>
                <c:pt idx="96">
                  <c:v>3</c:v>
                </c:pt>
                <c:pt idx="97">
                  <c:v>33</c:v>
                </c:pt>
                <c:pt idx="98">
                  <c:v>88</c:v>
                </c:pt>
                <c:pt idx="99">
                  <c:v>195</c:v>
                </c:pt>
                <c:pt idx="100">
                  <c:v>115</c:v>
                </c:pt>
                <c:pt idx="101">
                  <c:v>57</c:v>
                </c:pt>
                <c:pt idx="102">
                  <c:v>46</c:v>
                </c:pt>
                <c:pt idx="103">
                  <c:v>79</c:v>
                </c:pt>
                <c:pt idx="104">
                  <c:v>71</c:v>
                </c:pt>
                <c:pt idx="105">
                  <c:v>62</c:v>
                </c:pt>
                <c:pt idx="106">
                  <c:v>62</c:v>
                </c:pt>
                <c:pt idx="107">
                  <c:v>89</c:v>
                </c:pt>
                <c:pt idx="108">
                  <c:v>190</c:v>
                </c:pt>
                <c:pt idx="109">
                  <c:v>169</c:v>
                </c:pt>
                <c:pt idx="110">
                  <c:v>132</c:v>
                </c:pt>
                <c:pt idx="111">
                  <c:v>89</c:v>
                </c:pt>
                <c:pt idx="112">
                  <c:v>43</c:v>
                </c:pt>
                <c:pt idx="113">
                  <c:v>42</c:v>
                </c:pt>
                <c:pt idx="114">
                  <c:v>19</c:v>
                </c:pt>
                <c:pt idx="115">
                  <c:v>11</c:v>
                </c:pt>
                <c:pt idx="116">
                  <c:v>4</c:v>
                </c:pt>
                <c:pt idx="117">
                  <c:v>2</c:v>
                </c:pt>
                <c:pt idx="118">
                  <c:v>1</c:v>
                </c:pt>
                <c:pt idx="119">
                  <c:v>4</c:v>
                </c:pt>
                <c:pt idx="120">
                  <c:v>36</c:v>
                </c:pt>
                <c:pt idx="121">
                  <c:v>95</c:v>
                </c:pt>
                <c:pt idx="122">
                  <c:v>219</c:v>
                </c:pt>
                <c:pt idx="123">
                  <c:v>122</c:v>
                </c:pt>
                <c:pt idx="124">
                  <c:v>45</c:v>
                </c:pt>
                <c:pt idx="125">
                  <c:v>59</c:v>
                </c:pt>
                <c:pt idx="126">
                  <c:v>84</c:v>
                </c:pt>
                <c:pt idx="127">
                  <c:v>67</c:v>
                </c:pt>
                <c:pt idx="128">
                  <c:v>70</c:v>
                </c:pt>
                <c:pt idx="129">
                  <c:v>62</c:v>
                </c:pt>
                <c:pt idx="130">
                  <c:v>86</c:v>
                </c:pt>
                <c:pt idx="131">
                  <c:v>172</c:v>
                </c:pt>
                <c:pt idx="132">
                  <c:v>163</c:v>
                </c:pt>
                <c:pt idx="133">
                  <c:v>112</c:v>
                </c:pt>
                <c:pt idx="134">
                  <c:v>69</c:v>
                </c:pt>
                <c:pt idx="135">
                  <c:v>48</c:v>
                </c:pt>
                <c:pt idx="136">
                  <c:v>52</c:v>
                </c:pt>
                <c:pt idx="137">
                  <c:v>23</c:v>
                </c:pt>
                <c:pt idx="138">
                  <c:v>17</c:v>
                </c:pt>
                <c:pt idx="139">
                  <c:v>7</c:v>
                </c:pt>
                <c:pt idx="140">
                  <c:v>1</c:v>
                </c:pt>
                <c:pt idx="141">
                  <c:v>1</c:v>
                </c:pt>
                <c:pt idx="142">
                  <c:v>5</c:v>
                </c:pt>
                <c:pt idx="143">
                  <c:v>34</c:v>
                </c:pt>
                <c:pt idx="144">
                  <c:v>84</c:v>
                </c:pt>
                <c:pt idx="145">
                  <c:v>210</c:v>
                </c:pt>
                <c:pt idx="146">
                  <c:v>134</c:v>
                </c:pt>
                <c:pt idx="147">
                  <c:v>63</c:v>
                </c:pt>
                <c:pt idx="148">
                  <c:v>67</c:v>
                </c:pt>
                <c:pt idx="149">
                  <c:v>59</c:v>
                </c:pt>
                <c:pt idx="150">
                  <c:v>73</c:v>
                </c:pt>
                <c:pt idx="151">
                  <c:v>50</c:v>
                </c:pt>
                <c:pt idx="152">
                  <c:v>72</c:v>
                </c:pt>
                <c:pt idx="153">
                  <c:v>87</c:v>
                </c:pt>
                <c:pt idx="154">
                  <c:v>187</c:v>
                </c:pt>
                <c:pt idx="155">
                  <c:v>123</c:v>
                </c:pt>
                <c:pt idx="156">
                  <c:v>95</c:v>
                </c:pt>
                <c:pt idx="157">
                  <c:v>51</c:v>
                </c:pt>
                <c:pt idx="158">
                  <c:v>39</c:v>
                </c:pt>
                <c:pt idx="159">
                  <c:v>36</c:v>
                </c:pt>
                <c:pt idx="160">
                  <c:v>15</c:v>
                </c:pt>
                <c:pt idx="161">
                  <c:v>25</c:v>
                </c:pt>
                <c:pt idx="162">
                  <c:v>16</c:v>
                </c:pt>
                <c:pt idx="163">
                  <c:v>16</c:v>
                </c:pt>
                <c:pt idx="164">
                  <c:v>7</c:v>
                </c:pt>
                <c:pt idx="165">
                  <c:v>1</c:v>
                </c:pt>
                <c:pt idx="166">
                  <c:v>5</c:v>
                </c:pt>
                <c:pt idx="167">
                  <c:v>2</c:v>
                </c:pt>
                <c:pt idx="168">
                  <c:v>9</c:v>
                </c:pt>
                <c:pt idx="169">
                  <c:v>15</c:v>
                </c:pt>
                <c:pt idx="170">
                  <c:v>20</c:v>
                </c:pt>
                <c:pt idx="171">
                  <c:v>61</c:v>
                </c:pt>
                <c:pt idx="172">
                  <c:v>62</c:v>
                </c:pt>
                <c:pt idx="173">
                  <c:v>98</c:v>
                </c:pt>
                <c:pt idx="174">
                  <c:v>102</c:v>
                </c:pt>
                <c:pt idx="175">
                  <c:v>95</c:v>
                </c:pt>
                <c:pt idx="176">
                  <c:v>74</c:v>
                </c:pt>
                <c:pt idx="177">
                  <c:v>76</c:v>
                </c:pt>
                <c:pt idx="178">
                  <c:v>69</c:v>
                </c:pt>
                <c:pt idx="179">
                  <c:v>55</c:v>
                </c:pt>
                <c:pt idx="180">
                  <c:v>30</c:v>
                </c:pt>
                <c:pt idx="181">
                  <c:v>28</c:v>
                </c:pt>
                <c:pt idx="182">
                  <c:v>37</c:v>
                </c:pt>
                <c:pt idx="183">
                  <c:v>34</c:v>
                </c:pt>
                <c:pt idx="184">
                  <c:v>22</c:v>
                </c:pt>
                <c:pt idx="185">
                  <c:v>25</c:v>
                </c:pt>
                <c:pt idx="186">
                  <c:v>12</c:v>
                </c:pt>
                <c:pt idx="187">
                  <c:v>11</c:v>
                </c:pt>
                <c:pt idx="188">
                  <c:v>4</c:v>
                </c:pt>
                <c:pt idx="189">
                  <c:v>1</c:v>
                </c:pt>
                <c:pt idx="190">
                  <c:v>1</c:v>
                </c:pt>
                <c:pt idx="191">
                  <c:v>1</c:v>
                </c:pt>
                <c:pt idx="192">
                  <c:v>6</c:v>
                </c:pt>
                <c:pt idx="193">
                  <c:v>10</c:v>
                </c:pt>
                <c:pt idx="194">
                  <c:v>19</c:v>
                </c:pt>
                <c:pt idx="195">
                  <c:v>49</c:v>
                </c:pt>
                <c:pt idx="196">
                  <c:v>49</c:v>
                </c:pt>
                <c:pt idx="197">
                  <c:v>83</c:v>
                </c:pt>
                <c:pt idx="198">
                  <c:v>75</c:v>
                </c:pt>
                <c:pt idx="199">
                  <c:v>72</c:v>
                </c:pt>
                <c:pt idx="200">
                  <c:v>82</c:v>
                </c:pt>
                <c:pt idx="201">
                  <c:v>92</c:v>
                </c:pt>
                <c:pt idx="202">
                  <c:v>62</c:v>
                </c:pt>
                <c:pt idx="203">
                  <c:v>48</c:v>
                </c:pt>
                <c:pt idx="204">
                  <c:v>41</c:v>
                </c:pt>
                <c:pt idx="205">
                  <c:v>38</c:v>
                </c:pt>
                <c:pt idx="206">
                  <c:v>20</c:v>
                </c:pt>
                <c:pt idx="207">
                  <c:v>15</c:v>
                </c:pt>
                <c:pt idx="208">
                  <c:v>6</c:v>
                </c:pt>
                <c:pt idx="209">
                  <c:v>5</c:v>
                </c:pt>
                <c:pt idx="210">
                  <c:v>1</c:v>
                </c:pt>
                <c:pt idx="211">
                  <c:v>3</c:v>
                </c:pt>
                <c:pt idx="212">
                  <c:v>1</c:v>
                </c:pt>
                <c:pt idx="213">
                  <c:v>3</c:v>
                </c:pt>
                <c:pt idx="214">
                  <c:v>3</c:v>
                </c:pt>
                <c:pt idx="215">
                  <c:v>31</c:v>
                </c:pt>
                <c:pt idx="216">
                  <c:v>77</c:v>
                </c:pt>
                <c:pt idx="217">
                  <c:v>188</c:v>
                </c:pt>
                <c:pt idx="218">
                  <c:v>94</c:v>
                </c:pt>
                <c:pt idx="219">
                  <c:v>31</c:v>
                </c:pt>
                <c:pt idx="220">
                  <c:v>30</c:v>
                </c:pt>
                <c:pt idx="221">
                  <c:v>52</c:v>
                </c:pt>
                <c:pt idx="222">
                  <c:v>54</c:v>
                </c:pt>
                <c:pt idx="223">
                  <c:v>47</c:v>
                </c:pt>
                <c:pt idx="224">
                  <c:v>45</c:v>
                </c:pt>
                <c:pt idx="225">
                  <c:v>74</c:v>
                </c:pt>
                <c:pt idx="226">
                  <c:v>178</c:v>
                </c:pt>
                <c:pt idx="227">
                  <c:v>155</c:v>
                </c:pt>
                <c:pt idx="228">
                  <c:v>95</c:v>
                </c:pt>
                <c:pt idx="229">
                  <c:v>74</c:v>
                </c:pt>
                <c:pt idx="230">
                  <c:v>38</c:v>
                </c:pt>
                <c:pt idx="231">
                  <c:v>24</c:v>
                </c:pt>
                <c:pt idx="232">
                  <c:v>18</c:v>
                </c:pt>
                <c:pt idx="233">
                  <c:v>12</c:v>
                </c:pt>
                <c:pt idx="234">
                  <c:v>3</c:v>
                </c:pt>
                <c:pt idx="235">
                  <c:v>3</c:v>
                </c:pt>
                <c:pt idx="236">
                  <c:v>6</c:v>
                </c:pt>
                <c:pt idx="237">
                  <c:v>27</c:v>
                </c:pt>
                <c:pt idx="238">
                  <c:v>99</c:v>
                </c:pt>
                <c:pt idx="239">
                  <c:v>217</c:v>
                </c:pt>
                <c:pt idx="240">
                  <c:v>130</c:v>
                </c:pt>
                <c:pt idx="241">
                  <c:v>54</c:v>
                </c:pt>
                <c:pt idx="242">
                  <c:v>35</c:v>
                </c:pt>
                <c:pt idx="243">
                  <c:v>57</c:v>
                </c:pt>
                <c:pt idx="244">
                  <c:v>52</c:v>
                </c:pt>
                <c:pt idx="245">
                  <c:v>63</c:v>
                </c:pt>
                <c:pt idx="246">
                  <c:v>47</c:v>
                </c:pt>
                <c:pt idx="247">
                  <c:v>76</c:v>
                </c:pt>
                <c:pt idx="248">
                  <c:v>136</c:v>
                </c:pt>
                <c:pt idx="249">
                  <c:v>95</c:v>
                </c:pt>
                <c:pt idx="250">
                  <c:v>51</c:v>
                </c:pt>
                <c:pt idx="251">
                  <c:v>32</c:v>
                </c:pt>
                <c:pt idx="252">
                  <c:v>20</c:v>
                </c:pt>
                <c:pt idx="253">
                  <c:v>29</c:v>
                </c:pt>
                <c:pt idx="254">
                  <c:v>19</c:v>
                </c:pt>
                <c:pt idx="255">
                  <c:v>7</c:v>
                </c:pt>
                <c:pt idx="256">
                  <c:v>6</c:v>
                </c:pt>
                <c:pt idx="257">
                  <c:v>1</c:v>
                </c:pt>
                <c:pt idx="258">
                  <c:v>5</c:v>
                </c:pt>
                <c:pt idx="259">
                  <c:v>16</c:v>
                </c:pt>
                <c:pt idx="260">
                  <c:v>54</c:v>
                </c:pt>
                <c:pt idx="261">
                  <c:v>128</c:v>
                </c:pt>
                <c:pt idx="262">
                  <c:v>81</c:v>
                </c:pt>
                <c:pt idx="263">
                  <c:v>39</c:v>
                </c:pt>
                <c:pt idx="264">
                  <c:v>35</c:v>
                </c:pt>
                <c:pt idx="265">
                  <c:v>55</c:v>
                </c:pt>
                <c:pt idx="266">
                  <c:v>49</c:v>
                </c:pt>
                <c:pt idx="267">
                  <c:v>44</c:v>
                </c:pt>
                <c:pt idx="268">
                  <c:v>49</c:v>
                </c:pt>
                <c:pt idx="269">
                  <c:v>68</c:v>
                </c:pt>
                <c:pt idx="270">
                  <c:v>139</c:v>
                </c:pt>
                <c:pt idx="271">
                  <c:v>137</c:v>
                </c:pt>
                <c:pt idx="272">
                  <c:v>83</c:v>
                </c:pt>
                <c:pt idx="273">
                  <c:v>56</c:v>
                </c:pt>
                <c:pt idx="274">
                  <c:v>57</c:v>
                </c:pt>
                <c:pt idx="275">
                  <c:v>33</c:v>
                </c:pt>
                <c:pt idx="276">
                  <c:v>20</c:v>
                </c:pt>
                <c:pt idx="277">
                  <c:v>7</c:v>
                </c:pt>
                <c:pt idx="278">
                  <c:v>2</c:v>
                </c:pt>
                <c:pt idx="279">
                  <c:v>2</c:v>
                </c:pt>
                <c:pt idx="280">
                  <c:v>3</c:v>
                </c:pt>
                <c:pt idx="281">
                  <c:v>4</c:v>
                </c:pt>
                <c:pt idx="282">
                  <c:v>3</c:v>
                </c:pt>
                <c:pt idx="283">
                  <c:v>28</c:v>
                </c:pt>
                <c:pt idx="284">
                  <c:v>72</c:v>
                </c:pt>
                <c:pt idx="285">
                  <c:v>202</c:v>
                </c:pt>
                <c:pt idx="286">
                  <c:v>139</c:v>
                </c:pt>
                <c:pt idx="287">
                  <c:v>38</c:v>
                </c:pt>
                <c:pt idx="288">
                  <c:v>37</c:v>
                </c:pt>
                <c:pt idx="289">
                  <c:v>52</c:v>
                </c:pt>
                <c:pt idx="290">
                  <c:v>83</c:v>
                </c:pt>
                <c:pt idx="291">
                  <c:v>42</c:v>
                </c:pt>
                <c:pt idx="292">
                  <c:v>60</c:v>
                </c:pt>
                <c:pt idx="293">
                  <c:v>78</c:v>
                </c:pt>
                <c:pt idx="294">
                  <c:v>162</c:v>
                </c:pt>
                <c:pt idx="295">
                  <c:v>144</c:v>
                </c:pt>
                <c:pt idx="296">
                  <c:v>99</c:v>
                </c:pt>
                <c:pt idx="297">
                  <c:v>64</c:v>
                </c:pt>
                <c:pt idx="298">
                  <c:v>40</c:v>
                </c:pt>
                <c:pt idx="299">
                  <c:v>30</c:v>
                </c:pt>
                <c:pt idx="300">
                  <c:v>15</c:v>
                </c:pt>
                <c:pt idx="301">
                  <c:v>14</c:v>
                </c:pt>
                <c:pt idx="302">
                  <c:v>5</c:v>
                </c:pt>
                <c:pt idx="303">
                  <c:v>1</c:v>
                </c:pt>
                <c:pt idx="304">
                  <c:v>1</c:v>
                </c:pt>
                <c:pt idx="305">
                  <c:v>8</c:v>
                </c:pt>
                <c:pt idx="306">
                  <c:v>17</c:v>
                </c:pt>
                <c:pt idx="307">
                  <c:v>70</c:v>
                </c:pt>
                <c:pt idx="308">
                  <c:v>158</c:v>
                </c:pt>
                <c:pt idx="309">
                  <c:v>117</c:v>
                </c:pt>
                <c:pt idx="310">
                  <c:v>44</c:v>
                </c:pt>
                <c:pt idx="311">
                  <c:v>53</c:v>
                </c:pt>
                <c:pt idx="312">
                  <c:v>61</c:v>
                </c:pt>
                <c:pt idx="313">
                  <c:v>77</c:v>
                </c:pt>
                <c:pt idx="314">
                  <c:v>64</c:v>
                </c:pt>
                <c:pt idx="315">
                  <c:v>68</c:v>
                </c:pt>
                <c:pt idx="316">
                  <c:v>90</c:v>
                </c:pt>
                <c:pt idx="317">
                  <c:v>159</c:v>
                </c:pt>
                <c:pt idx="318">
                  <c:v>139</c:v>
                </c:pt>
                <c:pt idx="319">
                  <c:v>92</c:v>
                </c:pt>
                <c:pt idx="320">
                  <c:v>68</c:v>
                </c:pt>
                <c:pt idx="321">
                  <c:v>52</c:v>
                </c:pt>
                <c:pt idx="322">
                  <c:v>36</c:v>
                </c:pt>
                <c:pt idx="323">
                  <c:v>27</c:v>
                </c:pt>
                <c:pt idx="324">
                  <c:v>28</c:v>
                </c:pt>
                <c:pt idx="325">
                  <c:v>20</c:v>
                </c:pt>
                <c:pt idx="326">
                  <c:v>12</c:v>
                </c:pt>
                <c:pt idx="327">
                  <c:v>8</c:v>
                </c:pt>
                <c:pt idx="328">
                  <c:v>5</c:v>
                </c:pt>
                <c:pt idx="329">
                  <c:v>1</c:v>
                </c:pt>
                <c:pt idx="330">
                  <c:v>3</c:v>
                </c:pt>
                <c:pt idx="331">
                  <c:v>10</c:v>
                </c:pt>
                <c:pt idx="332">
                  <c:v>23</c:v>
                </c:pt>
                <c:pt idx="333">
                  <c:v>33</c:v>
                </c:pt>
                <c:pt idx="334">
                  <c:v>59</c:v>
                </c:pt>
                <c:pt idx="335">
                  <c:v>72</c:v>
                </c:pt>
                <c:pt idx="336">
                  <c:v>89</c:v>
                </c:pt>
                <c:pt idx="337">
                  <c:v>101</c:v>
                </c:pt>
                <c:pt idx="338">
                  <c:v>118</c:v>
                </c:pt>
                <c:pt idx="339">
                  <c:v>129</c:v>
                </c:pt>
                <c:pt idx="340">
                  <c:v>128</c:v>
                </c:pt>
                <c:pt idx="341">
                  <c:v>83</c:v>
                </c:pt>
                <c:pt idx="342">
                  <c:v>84</c:v>
                </c:pt>
                <c:pt idx="343">
                  <c:v>74</c:v>
                </c:pt>
                <c:pt idx="344">
                  <c:v>41</c:v>
                </c:pt>
                <c:pt idx="345">
                  <c:v>57</c:v>
                </c:pt>
                <c:pt idx="346">
                  <c:v>26</c:v>
                </c:pt>
                <c:pt idx="347">
                  <c:v>44</c:v>
                </c:pt>
                <c:pt idx="348">
                  <c:v>39</c:v>
                </c:pt>
                <c:pt idx="349">
                  <c:v>23</c:v>
                </c:pt>
                <c:pt idx="350">
                  <c:v>16</c:v>
                </c:pt>
                <c:pt idx="351">
                  <c:v>15</c:v>
                </c:pt>
                <c:pt idx="352">
                  <c:v>1</c:v>
                </c:pt>
                <c:pt idx="353">
                  <c:v>2</c:v>
                </c:pt>
                <c:pt idx="354">
                  <c:v>1</c:v>
                </c:pt>
                <c:pt idx="355">
                  <c:v>3</c:v>
                </c:pt>
                <c:pt idx="356">
                  <c:v>18</c:v>
                </c:pt>
                <c:pt idx="357">
                  <c:v>32</c:v>
                </c:pt>
                <c:pt idx="358">
                  <c:v>79</c:v>
                </c:pt>
                <c:pt idx="359">
                  <c:v>93</c:v>
                </c:pt>
                <c:pt idx="360">
                  <c:v>104</c:v>
                </c:pt>
                <c:pt idx="361">
                  <c:v>118</c:v>
                </c:pt>
                <c:pt idx="362">
                  <c:v>91</c:v>
                </c:pt>
                <c:pt idx="363">
                  <c:v>113</c:v>
                </c:pt>
                <c:pt idx="364">
                  <c:v>99</c:v>
                </c:pt>
                <c:pt idx="365">
                  <c:v>105</c:v>
                </c:pt>
                <c:pt idx="366">
                  <c:v>67</c:v>
                </c:pt>
                <c:pt idx="367">
                  <c:v>61</c:v>
                </c:pt>
                <c:pt idx="368">
                  <c:v>57</c:v>
                </c:pt>
                <c:pt idx="369">
                  <c:v>28</c:v>
                </c:pt>
                <c:pt idx="370">
                  <c:v>21</c:v>
                </c:pt>
                <c:pt idx="371">
                  <c:v>18</c:v>
                </c:pt>
                <c:pt idx="372">
                  <c:v>17</c:v>
                </c:pt>
                <c:pt idx="373">
                  <c:v>16</c:v>
                </c:pt>
                <c:pt idx="374">
                  <c:v>8</c:v>
                </c:pt>
                <c:pt idx="375">
                  <c:v>2</c:v>
                </c:pt>
                <c:pt idx="376">
                  <c:v>3</c:v>
                </c:pt>
                <c:pt idx="377">
                  <c:v>1</c:v>
                </c:pt>
                <c:pt idx="378">
                  <c:v>5</c:v>
                </c:pt>
                <c:pt idx="379">
                  <c:v>13</c:v>
                </c:pt>
                <c:pt idx="380">
                  <c:v>33</c:v>
                </c:pt>
                <c:pt idx="381">
                  <c:v>47</c:v>
                </c:pt>
                <c:pt idx="382">
                  <c:v>57</c:v>
                </c:pt>
                <c:pt idx="383">
                  <c:v>64</c:v>
                </c:pt>
                <c:pt idx="384">
                  <c:v>80</c:v>
                </c:pt>
                <c:pt idx="385">
                  <c:v>93</c:v>
                </c:pt>
                <c:pt idx="386">
                  <c:v>86</c:v>
                </c:pt>
                <c:pt idx="387">
                  <c:v>93</c:v>
                </c:pt>
                <c:pt idx="388">
                  <c:v>82</c:v>
                </c:pt>
                <c:pt idx="389">
                  <c:v>71</c:v>
                </c:pt>
                <c:pt idx="390">
                  <c:v>92</c:v>
                </c:pt>
                <c:pt idx="391">
                  <c:v>60</c:v>
                </c:pt>
                <c:pt idx="392">
                  <c:v>33</c:v>
                </c:pt>
                <c:pt idx="393">
                  <c:v>27</c:v>
                </c:pt>
                <c:pt idx="394">
                  <c:v>13</c:v>
                </c:pt>
                <c:pt idx="395">
                  <c:v>4</c:v>
                </c:pt>
                <c:pt idx="396">
                  <c:v>3</c:v>
                </c:pt>
                <c:pt idx="397">
                  <c:v>22</c:v>
                </c:pt>
                <c:pt idx="398">
                  <c:v>28</c:v>
                </c:pt>
                <c:pt idx="399">
                  <c:v>35</c:v>
                </c:pt>
                <c:pt idx="400">
                  <c:v>61</c:v>
                </c:pt>
                <c:pt idx="401">
                  <c:v>125</c:v>
                </c:pt>
                <c:pt idx="402">
                  <c:v>133</c:v>
                </c:pt>
                <c:pt idx="403">
                  <c:v>99</c:v>
                </c:pt>
                <c:pt idx="404">
                  <c:v>83</c:v>
                </c:pt>
                <c:pt idx="405">
                  <c:v>41</c:v>
                </c:pt>
                <c:pt idx="406">
                  <c:v>33</c:v>
                </c:pt>
                <c:pt idx="407">
                  <c:v>20</c:v>
                </c:pt>
                <c:pt idx="408">
                  <c:v>3</c:v>
                </c:pt>
                <c:pt idx="409">
                  <c:v>7</c:v>
                </c:pt>
                <c:pt idx="410">
                  <c:v>3</c:v>
                </c:pt>
                <c:pt idx="411">
                  <c:v>2</c:v>
                </c:pt>
                <c:pt idx="412">
                  <c:v>7</c:v>
                </c:pt>
                <c:pt idx="413">
                  <c:v>32</c:v>
                </c:pt>
                <c:pt idx="414">
                  <c:v>90</c:v>
                </c:pt>
                <c:pt idx="415">
                  <c:v>197</c:v>
                </c:pt>
                <c:pt idx="416">
                  <c:v>109</c:v>
                </c:pt>
                <c:pt idx="417">
                  <c:v>47</c:v>
                </c:pt>
                <c:pt idx="418">
                  <c:v>52</c:v>
                </c:pt>
                <c:pt idx="419">
                  <c:v>70</c:v>
                </c:pt>
                <c:pt idx="420">
                  <c:v>78</c:v>
                </c:pt>
                <c:pt idx="421">
                  <c:v>75</c:v>
                </c:pt>
                <c:pt idx="422">
                  <c:v>82</c:v>
                </c:pt>
                <c:pt idx="423">
                  <c:v>104</c:v>
                </c:pt>
                <c:pt idx="424">
                  <c:v>197</c:v>
                </c:pt>
                <c:pt idx="425">
                  <c:v>161</c:v>
                </c:pt>
                <c:pt idx="426">
                  <c:v>112</c:v>
                </c:pt>
                <c:pt idx="427">
                  <c:v>76</c:v>
                </c:pt>
                <c:pt idx="428">
                  <c:v>59</c:v>
                </c:pt>
                <c:pt idx="429">
                  <c:v>59</c:v>
                </c:pt>
                <c:pt idx="430">
                  <c:v>28</c:v>
                </c:pt>
                <c:pt idx="431">
                  <c:v>13</c:v>
                </c:pt>
                <c:pt idx="432">
                  <c:v>5</c:v>
                </c:pt>
                <c:pt idx="433">
                  <c:v>2</c:v>
                </c:pt>
                <c:pt idx="434">
                  <c:v>1</c:v>
                </c:pt>
                <c:pt idx="435">
                  <c:v>1</c:v>
                </c:pt>
                <c:pt idx="436">
                  <c:v>6</c:v>
                </c:pt>
                <c:pt idx="437">
                  <c:v>35</c:v>
                </c:pt>
                <c:pt idx="438">
                  <c:v>101</c:v>
                </c:pt>
                <c:pt idx="439">
                  <c:v>249</c:v>
                </c:pt>
                <c:pt idx="440">
                  <c:v>143</c:v>
                </c:pt>
                <c:pt idx="441">
                  <c:v>57</c:v>
                </c:pt>
                <c:pt idx="442">
                  <c:v>68</c:v>
                </c:pt>
                <c:pt idx="443">
                  <c:v>84</c:v>
                </c:pt>
                <c:pt idx="444">
                  <c:v>98</c:v>
                </c:pt>
                <c:pt idx="445">
                  <c:v>81</c:v>
                </c:pt>
                <c:pt idx="446">
                  <c:v>70</c:v>
                </c:pt>
                <c:pt idx="447">
                  <c:v>91</c:v>
                </c:pt>
                <c:pt idx="448">
                  <c:v>215</c:v>
                </c:pt>
                <c:pt idx="449">
                  <c:v>185</c:v>
                </c:pt>
                <c:pt idx="450">
                  <c:v>152</c:v>
                </c:pt>
                <c:pt idx="451">
                  <c:v>126</c:v>
                </c:pt>
                <c:pt idx="452">
                  <c:v>57</c:v>
                </c:pt>
                <c:pt idx="453">
                  <c:v>56</c:v>
                </c:pt>
                <c:pt idx="454">
                  <c:v>31</c:v>
                </c:pt>
                <c:pt idx="455">
                  <c:v>21</c:v>
                </c:pt>
                <c:pt idx="456">
                  <c:v>6</c:v>
                </c:pt>
                <c:pt idx="457">
                  <c:v>2</c:v>
                </c:pt>
                <c:pt idx="458">
                  <c:v>1</c:v>
                </c:pt>
                <c:pt idx="459">
                  <c:v>1</c:v>
                </c:pt>
                <c:pt idx="460">
                  <c:v>5</c:v>
                </c:pt>
                <c:pt idx="461">
                  <c:v>27</c:v>
                </c:pt>
                <c:pt idx="462">
                  <c:v>68</c:v>
                </c:pt>
                <c:pt idx="463">
                  <c:v>217</c:v>
                </c:pt>
                <c:pt idx="464">
                  <c:v>166</c:v>
                </c:pt>
                <c:pt idx="465">
                  <c:v>63</c:v>
                </c:pt>
                <c:pt idx="466">
                  <c:v>59</c:v>
                </c:pt>
                <c:pt idx="467">
                  <c:v>78</c:v>
                </c:pt>
                <c:pt idx="468">
                  <c:v>73</c:v>
                </c:pt>
                <c:pt idx="469">
                  <c:v>62</c:v>
                </c:pt>
                <c:pt idx="470">
                  <c:v>65</c:v>
                </c:pt>
                <c:pt idx="471">
                  <c:v>97</c:v>
                </c:pt>
                <c:pt idx="472">
                  <c:v>161</c:v>
                </c:pt>
                <c:pt idx="473">
                  <c:v>120</c:v>
                </c:pt>
                <c:pt idx="474">
                  <c:v>96</c:v>
                </c:pt>
                <c:pt idx="475">
                  <c:v>53</c:v>
                </c:pt>
                <c:pt idx="476">
                  <c:v>41</c:v>
                </c:pt>
                <c:pt idx="477">
                  <c:v>34</c:v>
                </c:pt>
                <c:pt idx="478">
                  <c:v>27</c:v>
                </c:pt>
                <c:pt idx="479">
                  <c:v>13</c:v>
                </c:pt>
                <c:pt idx="480">
                  <c:v>12</c:v>
                </c:pt>
                <c:pt idx="481">
                  <c:v>11</c:v>
                </c:pt>
                <c:pt idx="482">
                  <c:v>7</c:v>
                </c:pt>
                <c:pt idx="483">
                  <c:v>3</c:v>
                </c:pt>
                <c:pt idx="484">
                  <c:v>2</c:v>
                </c:pt>
                <c:pt idx="485">
                  <c:v>8</c:v>
                </c:pt>
                <c:pt idx="486">
                  <c:v>27</c:v>
                </c:pt>
                <c:pt idx="487">
                  <c:v>40</c:v>
                </c:pt>
                <c:pt idx="488">
                  <c:v>53</c:v>
                </c:pt>
                <c:pt idx="489">
                  <c:v>63</c:v>
                </c:pt>
                <c:pt idx="490">
                  <c:v>70</c:v>
                </c:pt>
                <c:pt idx="491">
                  <c:v>84</c:v>
                </c:pt>
                <c:pt idx="492">
                  <c:v>75</c:v>
                </c:pt>
                <c:pt idx="493">
                  <c:v>103</c:v>
                </c:pt>
                <c:pt idx="494">
                  <c:v>83</c:v>
                </c:pt>
                <c:pt idx="495">
                  <c:v>67</c:v>
                </c:pt>
                <c:pt idx="496">
                  <c:v>54</c:v>
                </c:pt>
                <c:pt idx="497">
                  <c:v>59</c:v>
                </c:pt>
                <c:pt idx="498">
                  <c:v>45</c:v>
                </c:pt>
                <c:pt idx="499">
                  <c:v>39</c:v>
                </c:pt>
                <c:pt idx="500">
                  <c:v>30</c:v>
                </c:pt>
                <c:pt idx="501">
                  <c:v>33</c:v>
                </c:pt>
                <c:pt idx="502">
                  <c:v>22</c:v>
                </c:pt>
                <c:pt idx="503">
                  <c:v>13</c:v>
                </c:pt>
                <c:pt idx="504">
                  <c:v>18</c:v>
                </c:pt>
                <c:pt idx="505">
                  <c:v>5</c:v>
                </c:pt>
                <c:pt idx="506">
                  <c:v>3</c:v>
                </c:pt>
                <c:pt idx="507">
                  <c:v>1</c:v>
                </c:pt>
                <c:pt idx="508">
                  <c:v>2</c:v>
                </c:pt>
                <c:pt idx="509">
                  <c:v>19</c:v>
                </c:pt>
                <c:pt idx="510">
                  <c:v>28</c:v>
                </c:pt>
                <c:pt idx="511">
                  <c:v>58</c:v>
                </c:pt>
                <c:pt idx="512">
                  <c:v>99</c:v>
                </c:pt>
                <c:pt idx="513">
                  <c:v>116</c:v>
                </c:pt>
                <c:pt idx="514">
                  <c:v>87</c:v>
                </c:pt>
                <c:pt idx="515">
                  <c:v>110</c:v>
                </c:pt>
                <c:pt idx="516">
                  <c:v>77</c:v>
                </c:pt>
                <c:pt idx="517">
                  <c:v>65</c:v>
                </c:pt>
                <c:pt idx="518">
                  <c:v>55</c:v>
                </c:pt>
                <c:pt idx="519">
                  <c:v>49</c:v>
                </c:pt>
                <c:pt idx="520">
                  <c:v>50</c:v>
                </c:pt>
                <c:pt idx="521">
                  <c:v>35</c:v>
                </c:pt>
                <c:pt idx="522">
                  <c:v>25</c:v>
                </c:pt>
                <c:pt idx="523">
                  <c:v>28</c:v>
                </c:pt>
                <c:pt idx="524">
                  <c:v>21</c:v>
                </c:pt>
                <c:pt idx="525">
                  <c:v>7</c:v>
                </c:pt>
                <c:pt idx="526">
                  <c:v>1</c:v>
                </c:pt>
                <c:pt idx="527">
                  <c:v>1</c:v>
                </c:pt>
                <c:pt idx="528">
                  <c:v>1</c:v>
                </c:pt>
                <c:pt idx="529">
                  <c:v>5</c:v>
                </c:pt>
                <c:pt idx="530">
                  <c:v>15</c:v>
                </c:pt>
                <c:pt idx="531">
                  <c:v>84</c:v>
                </c:pt>
                <c:pt idx="532">
                  <c:v>177</c:v>
                </c:pt>
                <c:pt idx="533">
                  <c:v>102</c:v>
                </c:pt>
                <c:pt idx="534">
                  <c:v>40</c:v>
                </c:pt>
                <c:pt idx="535">
                  <c:v>46</c:v>
                </c:pt>
                <c:pt idx="536">
                  <c:v>63</c:v>
                </c:pt>
                <c:pt idx="537">
                  <c:v>60</c:v>
                </c:pt>
                <c:pt idx="538">
                  <c:v>45</c:v>
                </c:pt>
                <c:pt idx="539">
                  <c:v>57</c:v>
                </c:pt>
                <c:pt idx="540">
                  <c:v>70</c:v>
                </c:pt>
                <c:pt idx="541">
                  <c:v>184</c:v>
                </c:pt>
                <c:pt idx="542">
                  <c:v>153</c:v>
                </c:pt>
                <c:pt idx="543">
                  <c:v>106</c:v>
                </c:pt>
                <c:pt idx="544">
                  <c:v>81</c:v>
                </c:pt>
                <c:pt idx="545">
                  <c:v>59</c:v>
                </c:pt>
                <c:pt idx="546">
                  <c:v>35</c:v>
                </c:pt>
                <c:pt idx="547">
                  <c:v>24</c:v>
                </c:pt>
                <c:pt idx="548">
                  <c:v>9</c:v>
                </c:pt>
                <c:pt idx="549">
                  <c:v>5</c:v>
                </c:pt>
                <c:pt idx="550">
                  <c:v>2</c:v>
                </c:pt>
                <c:pt idx="551">
                  <c:v>1</c:v>
                </c:pt>
                <c:pt idx="552">
                  <c:v>9</c:v>
                </c:pt>
                <c:pt idx="553">
                  <c:v>36</c:v>
                </c:pt>
                <c:pt idx="554">
                  <c:v>108</c:v>
                </c:pt>
                <c:pt idx="555">
                  <c:v>238</c:v>
                </c:pt>
                <c:pt idx="556">
                  <c:v>144</c:v>
                </c:pt>
                <c:pt idx="557">
                  <c:v>55</c:v>
                </c:pt>
                <c:pt idx="558">
                  <c:v>61</c:v>
                </c:pt>
                <c:pt idx="559">
                  <c:v>106</c:v>
                </c:pt>
                <c:pt idx="560">
                  <c:v>93</c:v>
                </c:pt>
                <c:pt idx="561">
                  <c:v>68</c:v>
                </c:pt>
                <c:pt idx="562">
                  <c:v>84</c:v>
                </c:pt>
                <c:pt idx="563">
                  <c:v>116</c:v>
                </c:pt>
                <c:pt idx="564">
                  <c:v>222</c:v>
                </c:pt>
                <c:pt idx="565">
                  <c:v>225</c:v>
                </c:pt>
                <c:pt idx="566">
                  <c:v>146</c:v>
                </c:pt>
                <c:pt idx="567">
                  <c:v>119</c:v>
                </c:pt>
                <c:pt idx="568">
                  <c:v>45</c:v>
                </c:pt>
                <c:pt idx="569">
                  <c:v>53</c:v>
                </c:pt>
                <c:pt idx="570">
                  <c:v>40</c:v>
                </c:pt>
                <c:pt idx="571">
                  <c:v>17</c:v>
                </c:pt>
                <c:pt idx="572">
                  <c:v>5</c:v>
                </c:pt>
                <c:pt idx="573">
                  <c:v>10</c:v>
                </c:pt>
                <c:pt idx="574">
                  <c:v>1</c:v>
                </c:pt>
                <c:pt idx="575">
                  <c:v>8</c:v>
                </c:pt>
                <c:pt idx="576">
                  <c:v>30</c:v>
                </c:pt>
                <c:pt idx="577">
                  <c:v>72</c:v>
                </c:pt>
                <c:pt idx="578">
                  <c:v>58</c:v>
                </c:pt>
                <c:pt idx="579">
                  <c:v>28</c:v>
                </c:pt>
                <c:pt idx="580">
                  <c:v>41</c:v>
                </c:pt>
                <c:pt idx="581">
                  <c:v>48</c:v>
                </c:pt>
                <c:pt idx="582">
                  <c:v>47</c:v>
                </c:pt>
                <c:pt idx="583">
                  <c:v>36</c:v>
                </c:pt>
                <c:pt idx="584">
                  <c:v>43</c:v>
                </c:pt>
                <c:pt idx="585">
                  <c:v>36</c:v>
                </c:pt>
                <c:pt idx="586">
                  <c:v>26</c:v>
                </c:pt>
                <c:pt idx="587">
                  <c:v>24</c:v>
                </c:pt>
                <c:pt idx="588">
                  <c:v>84</c:v>
                </c:pt>
                <c:pt idx="589">
                  <c:v>104</c:v>
                </c:pt>
                <c:pt idx="590">
                  <c:v>79</c:v>
                </c:pt>
                <c:pt idx="591">
                  <c:v>59</c:v>
                </c:pt>
                <c:pt idx="592">
                  <c:v>38</c:v>
                </c:pt>
                <c:pt idx="593">
                  <c:v>27</c:v>
                </c:pt>
                <c:pt idx="594">
                  <c:v>16</c:v>
                </c:pt>
                <c:pt idx="595">
                  <c:v>9</c:v>
                </c:pt>
                <c:pt idx="596">
                  <c:v>3</c:v>
                </c:pt>
                <c:pt idx="597">
                  <c:v>2</c:v>
                </c:pt>
                <c:pt idx="598">
                  <c:v>1</c:v>
                </c:pt>
                <c:pt idx="599">
                  <c:v>4</c:v>
                </c:pt>
                <c:pt idx="600">
                  <c:v>16</c:v>
                </c:pt>
                <c:pt idx="601">
                  <c:v>60</c:v>
                </c:pt>
                <c:pt idx="602">
                  <c:v>157</c:v>
                </c:pt>
                <c:pt idx="603">
                  <c:v>101</c:v>
                </c:pt>
                <c:pt idx="604">
                  <c:v>49</c:v>
                </c:pt>
                <c:pt idx="605">
                  <c:v>30</c:v>
                </c:pt>
                <c:pt idx="606">
                  <c:v>29</c:v>
                </c:pt>
                <c:pt idx="607">
                  <c:v>31</c:v>
                </c:pt>
                <c:pt idx="608">
                  <c:v>38</c:v>
                </c:pt>
                <c:pt idx="609">
                  <c:v>41</c:v>
                </c:pt>
                <c:pt idx="610">
                  <c:v>80</c:v>
                </c:pt>
                <c:pt idx="611">
                  <c:v>149</c:v>
                </c:pt>
                <c:pt idx="612">
                  <c:v>109</c:v>
                </c:pt>
                <c:pt idx="613">
                  <c:v>89</c:v>
                </c:pt>
                <c:pt idx="614">
                  <c:v>62</c:v>
                </c:pt>
                <c:pt idx="615">
                  <c:v>58</c:v>
                </c:pt>
                <c:pt idx="616">
                  <c:v>26</c:v>
                </c:pt>
                <c:pt idx="617">
                  <c:v>23</c:v>
                </c:pt>
                <c:pt idx="618">
                  <c:v>28</c:v>
                </c:pt>
                <c:pt idx="619">
                  <c:v>20</c:v>
                </c:pt>
                <c:pt idx="620">
                  <c:v>15</c:v>
                </c:pt>
                <c:pt idx="621">
                  <c:v>8</c:v>
                </c:pt>
                <c:pt idx="622">
                  <c:v>3</c:v>
                </c:pt>
                <c:pt idx="623">
                  <c:v>2</c:v>
                </c:pt>
                <c:pt idx="624">
                  <c:v>5</c:v>
                </c:pt>
                <c:pt idx="625">
                  <c:v>34</c:v>
                </c:pt>
                <c:pt idx="626">
                  <c:v>34</c:v>
                </c:pt>
                <c:pt idx="627">
                  <c:v>55</c:v>
                </c:pt>
                <c:pt idx="628">
                  <c:v>64</c:v>
                </c:pt>
                <c:pt idx="629">
                  <c:v>78</c:v>
                </c:pt>
                <c:pt idx="630">
                  <c:v>65</c:v>
                </c:pt>
                <c:pt idx="631">
                  <c:v>99</c:v>
                </c:pt>
                <c:pt idx="632">
                  <c:v>120</c:v>
                </c:pt>
                <c:pt idx="633">
                  <c:v>107</c:v>
                </c:pt>
                <c:pt idx="634">
                  <c:v>91</c:v>
                </c:pt>
                <c:pt idx="635">
                  <c:v>68</c:v>
                </c:pt>
                <c:pt idx="636">
                  <c:v>58</c:v>
                </c:pt>
                <c:pt idx="637">
                  <c:v>43</c:v>
                </c:pt>
                <c:pt idx="638">
                  <c:v>36</c:v>
                </c:pt>
                <c:pt idx="639">
                  <c:v>32</c:v>
                </c:pt>
                <c:pt idx="640">
                  <c:v>33</c:v>
                </c:pt>
                <c:pt idx="641">
                  <c:v>33</c:v>
                </c:pt>
                <c:pt idx="642">
                  <c:v>29</c:v>
                </c:pt>
                <c:pt idx="643">
                  <c:v>11</c:v>
                </c:pt>
                <c:pt idx="644">
                  <c:v>8</c:v>
                </c:pt>
                <c:pt idx="645">
                  <c:v>1</c:v>
                </c:pt>
                <c:pt idx="646">
                  <c:v>3</c:v>
                </c:pt>
                <c:pt idx="647">
                  <c:v>3</c:v>
                </c:pt>
                <c:pt idx="648">
                  <c:v>12</c:v>
                </c:pt>
                <c:pt idx="649">
                  <c:v>38</c:v>
                </c:pt>
                <c:pt idx="650">
                  <c:v>64</c:v>
                </c:pt>
                <c:pt idx="651">
                  <c:v>59</c:v>
                </c:pt>
                <c:pt idx="652">
                  <c:v>97</c:v>
                </c:pt>
                <c:pt idx="653">
                  <c:v>84</c:v>
                </c:pt>
                <c:pt idx="654">
                  <c:v>122</c:v>
                </c:pt>
                <c:pt idx="655">
                  <c:v>109</c:v>
                </c:pt>
                <c:pt idx="656">
                  <c:v>123</c:v>
                </c:pt>
                <c:pt idx="657">
                  <c:v>77</c:v>
                </c:pt>
                <c:pt idx="658">
                  <c:v>65</c:v>
                </c:pt>
                <c:pt idx="659">
                  <c:v>55</c:v>
                </c:pt>
                <c:pt idx="660">
                  <c:v>33</c:v>
                </c:pt>
                <c:pt idx="661">
                  <c:v>28</c:v>
                </c:pt>
                <c:pt idx="662">
                  <c:v>21</c:v>
                </c:pt>
                <c:pt idx="663">
                  <c:v>21</c:v>
                </c:pt>
                <c:pt idx="664">
                  <c:v>7</c:v>
                </c:pt>
                <c:pt idx="665">
                  <c:v>7</c:v>
                </c:pt>
                <c:pt idx="666">
                  <c:v>1</c:v>
                </c:pt>
                <c:pt idx="667">
                  <c:v>2</c:v>
                </c:pt>
                <c:pt idx="668">
                  <c:v>2</c:v>
                </c:pt>
                <c:pt idx="669">
                  <c:v>8</c:v>
                </c:pt>
                <c:pt idx="670">
                  <c:v>37</c:v>
                </c:pt>
                <c:pt idx="671">
                  <c:v>72</c:v>
                </c:pt>
                <c:pt idx="672">
                  <c:v>185</c:v>
                </c:pt>
                <c:pt idx="673">
                  <c:v>112</c:v>
                </c:pt>
                <c:pt idx="674">
                  <c:v>69</c:v>
                </c:pt>
                <c:pt idx="675">
                  <c:v>48</c:v>
                </c:pt>
                <c:pt idx="676">
                  <c:v>68</c:v>
                </c:pt>
                <c:pt idx="677">
                  <c:v>54</c:v>
                </c:pt>
                <c:pt idx="678">
                  <c:v>86</c:v>
                </c:pt>
                <c:pt idx="679">
                  <c:v>44</c:v>
                </c:pt>
                <c:pt idx="680">
                  <c:v>86</c:v>
                </c:pt>
                <c:pt idx="681">
                  <c:v>161</c:v>
                </c:pt>
                <c:pt idx="682">
                  <c:v>156</c:v>
                </c:pt>
                <c:pt idx="683">
                  <c:v>111</c:v>
                </c:pt>
                <c:pt idx="684">
                  <c:v>78</c:v>
                </c:pt>
                <c:pt idx="685">
                  <c:v>56</c:v>
                </c:pt>
                <c:pt idx="686">
                  <c:v>34</c:v>
                </c:pt>
                <c:pt idx="687">
                  <c:v>17</c:v>
                </c:pt>
                <c:pt idx="688">
                  <c:v>8</c:v>
                </c:pt>
                <c:pt idx="689">
                  <c:v>3</c:v>
                </c:pt>
                <c:pt idx="690">
                  <c:v>2</c:v>
                </c:pt>
                <c:pt idx="691">
                  <c:v>2</c:v>
                </c:pt>
                <c:pt idx="692">
                  <c:v>3</c:v>
                </c:pt>
                <c:pt idx="693">
                  <c:v>22</c:v>
                </c:pt>
                <c:pt idx="694">
                  <c:v>52</c:v>
                </c:pt>
                <c:pt idx="695">
                  <c:v>135</c:v>
                </c:pt>
                <c:pt idx="696">
                  <c:v>116</c:v>
                </c:pt>
                <c:pt idx="697">
                  <c:v>47</c:v>
                </c:pt>
                <c:pt idx="698">
                  <c:v>51</c:v>
                </c:pt>
                <c:pt idx="699">
                  <c:v>55</c:v>
                </c:pt>
                <c:pt idx="700">
                  <c:v>52</c:v>
                </c:pt>
                <c:pt idx="701">
                  <c:v>54</c:v>
                </c:pt>
                <c:pt idx="702">
                  <c:v>52</c:v>
                </c:pt>
                <c:pt idx="703">
                  <c:v>64</c:v>
                </c:pt>
                <c:pt idx="704">
                  <c:v>176</c:v>
                </c:pt>
                <c:pt idx="705">
                  <c:v>168</c:v>
                </c:pt>
                <c:pt idx="706">
                  <c:v>108</c:v>
                </c:pt>
                <c:pt idx="707">
                  <c:v>74</c:v>
                </c:pt>
                <c:pt idx="708">
                  <c:v>64</c:v>
                </c:pt>
                <c:pt idx="709">
                  <c:v>36</c:v>
                </c:pt>
                <c:pt idx="710">
                  <c:v>16</c:v>
                </c:pt>
                <c:pt idx="711">
                  <c:v>2</c:v>
                </c:pt>
                <c:pt idx="712">
                  <c:v>3</c:v>
                </c:pt>
                <c:pt idx="713">
                  <c:v>4</c:v>
                </c:pt>
                <c:pt idx="714">
                  <c:v>1</c:v>
                </c:pt>
                <c:pt idx="715">
                  <c:v>1</c:v>
                </c:pt>
                <c:pt idx="716">
                  <c:v>3</c:v>
                </c:pt>
                <c:pt idx="717">
                  <c:v>18</c:v>
                </c:pt>
                <c:pt idx="718">
                  <c:v>49</c:v>
                </c:pt>
                <c:pt idx="719">
                  <c:v>155</c:v>
                </c:pt>
                <c:pt idx="720">
                  <c:v>123</c:v>
                </c:pt>
                <c:pt idx="721">
                  <c:v>61</c:v>
                </c:pt>
                <c:pt idx="722">
                  <c:v>52</c:v>
                </c:pt>
                <c:pt idx="723">
                  <c:v>64</c:v>
                </c:pt>
                <c:pt idx="724">
                  <c:v>75</c:v>
                </c:pt>
                <c:pt idx="725">
                  <c:v>63</c:v>
                </c:pt>
                <c:pt idx="726">
                  <c:v>76</c:v>
                </c:pt>
                <c:pt idx="727">
                  <c:v>103</c:v>
                </c:pt>
                <c:pt idx="728">
                  <c:v>190</c:v>
                </c:pt>
                <c:pt idx="729">
                  <c:v>182</c:v>
                </c:pt>
                <c:pt idx="730">
                  <c:v>91</c:v>
                </c:pt>
                <c:pt idx="731">
                  <c:v>75</c:v>
                </c:pt>
                <c:pt idx="732">
                  <c:v>63</c:v>
                </c:pt>
                <c:pt idx="733">
                  <c:v>40</c:v>
                </c:pt>
                <c:pt idx="734">
                  <c:v>32</c:v>
                </c:pt>
                <c:pt idx="735">
                  <c:v>12</c:v>
                </c:pt>
                <c:pt idx="736">
                  <c:v>5</c:v>
                </c:pt>
                <c:pt idx="737">
                  <c:v>2</c:v>
                </c:pt>
                <c:pt idx="738">
                  <c:v>1</c:v>
                </c:pt>
                <c:pt idx="739">
                  <c:v>2</c:v>
                </c:pt>
                <c:pt idx="740">
                  <c:v>39</c:v>
                </c:pt>
                <c:pt idx="741">
                  <c:v>87</c:v>
                </c:pt>
                <c:pt idx="742">
                  <c:v>188</c:v>
                </c:pt>
                <c:pt idx="743">
                  <c:v>133</c:v>
                </c:pt>
                <c:pt idx="744">
                  <c:v>52</c:v>
                </c:pt>
                <c:pt idx="745">
                  <c:v>64</c:v>
                </c:pt>
                <c:pt idx="746">
                  <c:v>69</c:v>
                </c:pt>
                <c:pt idx="747">
                  <c:v>51</c:v>
                </c:pt>
                <c:pt idx="748">
                  <c:v>47</c:v>
                </c:pt>
                <c:pt idx="749">
                  <c:v>60</c:v>
                </c:pt>
                <c:pt idx="750">
                  <c:v>78</c:v>
                </c:pt>
                <c:pt idx="751">
                  <c:v>175</c:v>
                </c:pt>
                <c:pt idx="752">
                  <c:v>147</c:v>
                </c:pt>
                <c:pt idx="753">
                  <c:v>96</c:v>
                </c:pt>
                <c:pt idx="754">
                  <c:v>109</c:v>
                </c:pt>
                <c:pt idx="755">
                  <c:v>54</c:v>
                </c:pt>
                <c:pt idx="756">
                  <c:v>41</c:v>
                </c:pt>
                <c:pt idx="757">
                  <c:v>38</c:v>
                </c:pt>
                <c:pt idx="758">
                  <c:v>13</c:v>
                </c:pt>
                <c:pt idx="759">
                  <c:v>7</c:v>
                </c:pt>
                <c:pt idx="760">
                  <c:v>1</c:v>
                </c:pt>
                <c:pt idx="761">
                  <c:v>1</c:v>
                </c:pt>
                <c:pt idx="762">
                  <c:v>7</c:v>
                </c:pt>
                <c:pt idx="763">
                  <c:v>28</c:v>
                </c:pt>
                <c:pt idx="764">
                  <c:v>87</c:v>
                </c:pt>
                <c:pt idx="765">
                  <c:v>220</c:v>
                </c:pt>
                <c:pt idx="766">
                  <c:v>127</c:v>
                </c:pt>
                <c:pt idx="767">
                  <c:v>51</c:v>
                </c:pt>
                <c:pt idx="768">
                  <c:v>64</c:v>
                </c:pt>
                <c:pt idx="769">
                  <c:v>86</c:v>
                </c:pt>
                <c:pt idx="770">
                  <c:v>82</c:v>
                </c:pt>
                <c:pt idx="771">
                  <c:v>91</c:v>
                </c:pt>
                <c:pt idx="772">
                  <c:v>90</c:v>
                </c:pt>
                <c:pt idx="773">
                  <c:v>99</c:v>
                </c:pt>
                <c:pt idx="774">
                  <c:v>205</c:v>
                </c:pt>
                <c:pt idx="775">
                  <c:v>155</c:v>
                </c:pt>
                <c:pt idx="776">
                  <c:v>103</c:v>
                </c:pt>
                <c:pt idx="777">
                  <c:v>71</c:v>
                </c:pt>
                <c:pt idx="778">
                  <c:v>43</c:v>
                </c:pt>
                <c:pt idx="779">
                  <c:v>46</c:v>
                </c:pt>
                <c:pt idx="780">
                  <c:v>31</c:v>
                </c:pt>
                <c:pt idx="781">
                  <c:v>39</c:v>
                </c:pt>
                <c:pt idx="782">
                  <c:v>18</c:v>
                </c:pt>
                <c:pt idx="783">
                  <c:v>17</c:v>
                </c:pt>
                <c:pt idx="784">
                  <c:v>11</c:v>
                </c:pt>
                <c:pt idx="785">
                  <c:v>8</c:v>
                </c:pt>
                <c:pt idx="786">
                  <c:v>9</c:v>
                </c:pt>
                <c:pt idx="787">
                  <c:v>4</c:v>
                </c:pt>
                <c:pt idx="788">
                  <c:v>4</c:v>
                </c:pt>
                <c:pt idx="789">
                  <c:v>10</c:v>
                </c:pt>
                <c:pt idx="790">
                  <c:v>20</c:v>
                </c:pt>
                <c:pt idx="791">
                  <c:v>34</c:v>
                </c:pt>
                <c:pt idx="792">
                  <c:v>47</c:v>
                </c:pt>
                <c:pt idx="793">
                  <c:v>52</c:v>
                </c:pt>
                <c:pt idx="794">
                  <c:v>72</c:v>
                </c:pt>
                <c:pt idx="795">
                  <c:v>55</c:v>
                </c:pt>
                <c:pt idx="796">
                  <c:v>60</c:v>
                </c:pt>
                <c:pt idx="797">
                  <c:v>71</c:v>
                </c:pt>
                <c:pt idx="798">
                  <c:v>78</c:v>
                </c:pt>
                <c:pt idx="799">
                  <c:v>83</c:v>
                </c:pt>
                <c:pt idx="800">
                  <c:v>84</c:v>
                </c:pt>
                <c:pt idx="801">
                  <c:v>69</c:v>
                </c:pt>
                <c:pt idx="802">
                  <c:v>56</c:v>
                </c:pt>
                <c:pt idx="803">
                  <c:v>45</c:v>
                </c:pt>
                <c:pt idx="804">
                  <c:v>59</c:v>
                </c:pt>
                <c:pt idx="805">
                  <c:v>39</c:v>
                </c:pt>
                <c:pt idx="806">
                  <c:v>44</c:v>
                </c:pt>
                <c:pt idx="807">
                  <c:v>20</c:v>
                </c:pt>
                <c:pt idx="808">
                  <c:v>13</c:v>
                </c:pt>
                <c:pt idx="809">
                  <c:v>2</c:v>
                </c:pt>
                <c:pt idx="810">
                  <c:v>1</c:v>
                </c:pt>
                <c:pt idx="811">
                  <c:v>1</c:v>
                </c:pt>
                <c:pt idx="812">
                  <c:v>8</c:v>
                </c:pt>
                <c:pt idx="813">
                  <c:v>23</c:v>
                </c:pt>
                <c:pt idx="814">
                  <c:v>45</c:v>
                </c:pt>
                <c:pt idx="815">
                  <c:v>89</c:v>
                </c:pt>
                <c:pt idx="816">
                  <c:v>117</c:v>
                </c:pt>
                <c:pt idx="817">
                  <c:v>174</c:v>
                </c:pt>
                <c:pt idx="818">
                  <c:v>182</c:v>
                </c:pt>
                <c:pt idx="819">
                  <c:v>161</c:v>
                </c:pt>
                <c:pt idx="820">
                  <c:v>182</c:v>
                </c:pt>
                <c:pt idx="821">
                  <c:v>157</c:v>
                </c:pt>
                <c:pt idx="822">
                  <c:v>121</c:v>
                </c:pt>
                <c:pt idx="823">
                  <c:v>78</c:v>
                </c:pt>
                <c:pt idx="824">
                  <c:v>21</c:v>
                </c:pt>
                <c:pt idx="825">
                  <c:v>26</c:v>
                </c:pt>
                <c:pt idx="826">
                  <c:v>27</c:v>
                </c:pt>
                <c:pt idx="827">
                  <c:v>62</c:v>
                </c:pt>
                <c:pt idx="828">
                  <c:v>30</c:v>
                </c:pt>
                <c:pt idx="829">
                  <c:v>15</c:v>
                </c:pt>
                <c:pt idx="830">
                  <c:v>5</c:v>
                </c:pt>
                <c:pt idx="831">
                  <c:v>3</c:v>
                </c:pt>
                <c:pt idx="832">
                  <c:v>1</c:v>
                </c:pt>
                <c:pt idx="833">
                  <c:v>2</c:v>
                </c:pt>
                <c:pt idx="834">
                  <c:v>10</c:v>
                </c:pt>
                <c:pt idx="835">
                  <c:v>30</c:v>
                </c:pt>
                <c:pt idx="836">
                  <c:v>95</c:v>
                </c:pt>
                <c:pt idx="837">
                  <c:v>230</c:v>
                </c:pt>
                <c:pt idx="838">
                  <c:v>118</c:v>
                </c:pt>
                <c:pt idx="839">
                  <c:v>55</c:v>
                </c:pt>
                <c:pt idx="840">
                  <c:v>47</c:v>
                </c:pt>
                <c:pt idx="841">
                  <c:v>66</c:v>
                </c:pt>
                <c:pt idx="842">
                  <c:v>64</c:v>
                </c:pt>
                <c:pt idx="843">
                  <c:v>60</c:v>
                </c:pt>
                <c:pt idx="844">
                  <c:v>50</c:v>
                </c:pt>
                <c:pt idx="845">
                  <c:v>114</c:v>
                </c:pt>
                <c:pt idx="846">
                  <c:v>216</c:v>
                </c:pt>
                <c:pt idx="847">
                  <c:v>175</c:v>
                </c:pt>
                <c:pt idx="848">
                  <c:v>128</c:v>
                </c:pt>
                <c:pt idx="849">
                  <c:v>88</c:v>
                </c:pt>
                <c:pt idx="850">
                  <c:v>78</c:v>
                </c:pt>
                <c:pt idx="851">
                  <c:v>37</c:v>
                </c:pt>
                <c:pt idx="852">
                  <c:v>25</c:v>
                </c:pt>
                <c:pt idx="853">
                  <c:v>10</c:v>
                </c:pt>
                <c:pt idx="854">
                  <c:v>4</c:v>
                </c:pt>
                <c:pt idx="855">
                  <c:v>2</c:v>
                </c:pt>
                <c:pt idx="856">
                  <c:v>1</c:v>
                </c:pt>
                <c:pt idx="857">
                  <c:v>3</c:v>
                </c:pt>
                <c:pt idx="858">
                  <c:v>2</c:v>
                </c:pt>
                <c:pt idx="859">
                  <c:v>39</c:v>
                </c:pt>
                <c:pt idx="860">
                  <c:v>100</c:v>
                </c:pt>
                <c:pt idx="861">
                  <c:v>243</c:v>
                </c:pt>
                <c:pt idx="862">
                  <c:v>135</c:v>
                </c:pt>
                <c:pt idx="863">
                  <c:v>48</c:v>
                </c:pt>
                <c:pt idx="864">
                  <c:v>50</c:v>
                </c:pt>
                <c:pt idx="865">
                  <c:v>65</c:v>
                </c:pt>
                <c:pt idx="866">
                  <c:v>50</c:v>
                </c:pt>
                <c:pt idx="867">
                  <c:v>64</c:v>
                </c:pt>
                <c:pt idx="868">
                  <c:v>51</c:v>
                </c:pt>
                <c:pt idx="869">
                  <c:v>83</c:v>
                </c:pt>
                <c:pt idx="870">
                  <c:v>176</c:v>
                </c:pt>
                <c:pt idx="871">
                  <c:v>152</c:v>
                </c:pt>
                <c:pt idx="872">
                  <c:v>101</c:v>
                </c:pt>
                <c:pt idx="873">
                  <c:v>56</c:v>
                </c:pt>
                <c:pt idx="874">
                  <c:v>54</c:v>
                </c:pt>
                <c:pt idx="875">
                  <c:v>29</c:v>
                </c:pt>
                <c:pt idx="876">
                  <c:v>12</c:v>
                </c:pt>
                <c:pt idx="877">
                  <c:v>17</c:v>
                </c:pt>
                <c:pt idx="878">
                  <c:v>7</c:v>
                </c:pt>
                <c:pt idx="879">
                  <c:v>3</c:v>
                </c:pt>
                <c:pt idx="880">
                  <c:v>2</c:v>
                </c:pt>
                <c:pt idx="881">
                  <c:v>7</c:v>
                </c:pt>
                <c:pt idx="882">
                  <c:v>43</c:v>
                </c:pt>
                <c:pt idx="883">
                  <c:v>99</c:v>
                </c:pt>
                <c:pt idx="884">
                  <c:v>199</c:v>
                </c:pt>
                <c:pt idx="885">
                  <c:v>123</c:v>
                </c:pt>
                <c:pt idx="886">
                  <c:v>59</c:v>
                </c:pt>
                <c:pt idx="887">
                  <c:v>41</c:v>
                </c:pt>
                <c:pt idx="888">
                  <c:v>61</c:v>
                </c:pt>
                <c:pt idx="889">
                  <c:v>69</c:v>
                </c:pt>
                <c:pt idx="890">
                  <c:v>58</c:v>
                </c:pt>
                <c:pt idx="891">
                  <c:v>64</c:v>
                </c:pt>
                <c:pt idx="892">
                  <c:v>79</c:v>
                </c:pt>
                <c:pt idx="893">
                  <c:v>166</c:v>
                </c:pt>
                <c:pt idx="894">
                  <c:v>170</c:v>
                </c:pt>
                <c:pt idx="895">
                  <c:v>88</c:v>
                </c:pt>
                <c:pt idx="896">
                  <c:v>84</c:v>
                </c:pt>
                <c:pt idx="897">
                  <c:v>83</c:v>
                </c:pt>
                <c:pt idx="898">
                  <c:v>46</c:v>
                </c:pt>
                <c:pt idx="899">
                  <c:v>37</c:v>
                </c:pt>
                <c:pt idx="900">
                  <c:v>16</c:v>
                </c:pt>
                <c:pt idx="901">
                  <c:v>7</c:v>
                </c:pt>
                <c:pt idx="902">
                  <c:v>3</c:v>
                </c:pt>
                <c:pt idx="903">
                  <c:v>1</c:v>
                </c:pt>
                <c:pt idx="904">
                  <c:v>6</c:v>
                </c:pt>
                <c:pt idx="905">
                  <c:v>26</c:v>
                </c:pt>
                <c:pt idx="906">
                  <c:v>99</c:v>
                </c:pt>
                <c:pt idx="907">
                  <c:v>178</c:v>
                </c:pt>
                <c:pt idx="908">
                  <c:v>122</c:v>
                </c:pt>
                <c:pt idx="909">
                  <c:v>35</c:v>
                </c:pt>
                <c:pt idx="910">
                  <c:v>45</c:v>
                </c:pt>
                <c:pt idx="911">
                  <c:v>69</c:v>
                </c:pt>
                <c:pt idx="912">
                  <c:v>62</c:v>
                </c:pt>
                <c:pt idx="913">
                  <c:v>48</c:v>
                </c:pt>
                <c:pt idx="914">
                  <c:v>50</c:v>
                </c:pt>
                <c:pt idx="915">
                  <c:v>80</c:v>
                </c:pt>
                <c:pt idx="916">
                  <c:v>165</c:v>
                </c:pt>
                <c:pt idx="917">
                  <c:v>160</c:v>
                </c:pt>
                <c:pt idx="918">
                  <c:v>112</c:v>
                </c:pt>
                <c:pt idx="919">
                  <c:v>97</c:v>
                </c:pt>
                <c:pt idx="920">
                  <c:v>72</c:v>
                </c:pt>
                <c:pt idx="921">
                  <c:v>51</c:v>
                </c:pt>
                <c:pt idx="922">
                  <c:v>34</c:v>
                </c:pt>
                <c:pt idx="923">
                  <c:v>14</c:v>
                </c:pt>
                <c:pt idx="924">
                  <c:v>7</c:v>
                </c:pt>
                <c:pt idx="925">
                  <c:v>3</c:v>
                </c:pt>
                <c:pt idx="926">
                  <c:v>4</c:v>
                </c:pt>
                <c:pt idx="927">
                  <c:v>24</c:v>
                </c:pt>
                <c:pt idx="928">
                  <c:v>74</c:v>
                </c:pt>
                <c:pt idx="929">
                  <c:v>216</c:v>
                </c:pt>
                <c:pt idx="930">
                  <c:v>140</c:v>
                </c:pt>
                <c:pt idx="931">
                  <c:v>44</c:v>
                </c:pt>
                <c:pt idx="932">
                  <c:v>64</c:v>
                </c:pt>
                <c:pt idx="933">
                  <c:v>71</c:v>
                </c:pt>
                <c:pt idx="934">
                  <c:v>110</c:v>
                </c:pt>
                <c:pt idx="935">
                  <c:v>84</c:v>
                </c:pt>
                <c:pt idx="936">
                  <c:v>74</c:v>
                </c:pt>
                <c:pt idx="937">
                  <c:v>125</c:v>
                </c:pt>
                <c:pt idx="938">
                  <c:v>211</c:v>
                </c:pt>
                <c:pt idx="939">
                  <c:v>174</c:v>
                </c:pt>
                <c:pt idx="940">
                  <c:v>101</c:v>
                </c:pt>
                <c:pt idx="941">
                  <c:v>63</c:v>
                </c:pt>
                <c:pt idx="942">
                  <c:v>47</c:v>
                </c:pt>
                <c:pt idx="943">
                  <c:v>43</c:v>
                </c:pt>
                <c:pt idx="944">
                  <c:v>53</c:v>
                </c:pt>
                <c:pt idx="945">
                  <c:v>30</c:v>
                </c:pt>
                <c:pt idx="946">
                  <c:v>24</c:v>
                </c:pt>
                <c:pt idx="947">
                  <c:v>15</c:v>
                </c:pt>
                <c:pt idx="948">
                  <c:v>10</c:v>
                </c:pt>
                <c:pt idx="949">
                  <c:v>4</c:v>
                </c:pt>
                <c:pt idx="950">
                  <c:v>1</c:v>
                </c:pt>
                <c:pt idx="951">
                  <c:v>2</c:v>
                </c:pt>
                <c:pt idx="952">
                  <c:v>11</c:v>
                </c:pt>
                <c:pt idx="953">
                  <c:v>30</c:v>
                </c:pt>
                <c:pt idx="954">
                  <c:v>43</c:v>
                </c:pt>
                <c:pt idx="955">
                  <c:v>84</c:v>
                </c:pt>
                <c:pt idx="956">
                  <c:v>114</c:v>
                </c:pt>
                <c:pt idx="957">
                  <c:v>120</c:v>
                </c:pt>
                <c:pt idx="958">
                  <c:v>135</c:v>
                </c:pt>
                <c:pt idx="959">
                  <c:v>120</c:v>
                </c:pt>
                <c:pt idx="960">
                  <c:v>174</c:v>
                </c:pt>
                <c:pt idx="961">
                  <c:v>145</c:v>
                </c:pt>
                <c:pt idx="962">
                  <c:v>137</c:v>
                </c:pt>
                <c:pt idx="963">
                  <c:v>64</c:v>
                </c:pt>
                <c:pt idx="964">
                  <c:v>41</c:v>
                </c:pt>
                <c:pt idx="965">
                  <c:v>40</c:v>
                </c:pt>
                <c:pt idx="966">
                  <c:v>51</c:v>
                </c:pt>
                <c:pt idx="967">
                  <c:v>45</c:v>
                </c:pt>
                <c:pt idx="968">
                  <c:v>32</c:v>
                </c:pt>
                <c:pt idx="969">
                  <c:v>39</c:v>
                </c:pt>
                <c:pt idx="970">
                  <c:v>24</c:v>
                </c:pt>
                <c:pt idx="971">
                  <c:v>20</c:v>
                </c:pt>
                <c:pt idx="972">
                  <c:v>12</c:v>
                </c:pt>
                <c:pt idx="973">
                  <c:v>2</c:v>
                </c:pt>
                <c:pt idx="974">
                  <c:v>5</c:v>
                </c:pt>
                <c:pt idx="975">
                  <c:v>3</c:v>
                </c:pt>
                <c:pt idx="976">
                  <c:v>12</c:v>
                </c:pt>
                <c:pt idx="977">
                  <c:v>47</c:v>
                </c:pt>
                <c:pt idx="978">
                  <c:v>105</c:v>
                </c:pt>
                <c:pt idx="979">
                  <c:v>112</c:v>
                </c:pt>
                <c:pt idx="980">
                  <c:v>152</c:v>
                </c:pt>
                <c:pt idx="981">
                  <c:v>154</c:v>
                </c:pt>
                <c:pt idx="982">
                  <c:v>161</c:v>
                </c:pt>
                <c:pt idx="983">
                  <c:v>162</c:v>
                </c:pt>
                <c:pt idx="984">
                  <c:v>134</c:v>
                </c:pt>
                <c:pt idx="985">
                  <c:v>125</c:v>
                </c:pt>
                <c:pt idx="986">
                  <c:v>95</c:v>
                </c:pt>
                <c:pt idx="987">
                  <c:v>61</c:v>
                </c:pt>
                <c:pt idx="988">
                  <c:v>47</c:v>
                </c:pt>
                <c:pt idx="989">
                  <c:v>51</c:v>
                </c:pt>
                <c:pt idx="990">
                  <c:v>36</c:v>
                </c:pt>
                <c:pt idx="991">
                  <c:v>30</c:v>
                </c:pt>
                <c:pt idx="992">
                  <c:v>11</c:v>
                </c:pt>
                <c:pt idx="993">
                  <c:v>7</c:v>
                </c:pt>
                <c:pt idx="994">
                  <c:v>2</c:v>
                </c:pt>
                <c:pt idx="995">
                  <c:v>2</c:v>
                </c:pt>
                <c:pt idx="996">
                  <c:v>2</c:v>
                </c:pt>
                <c:pt idx="997">
                  <c:v>3</c:v>
                </c:pt>
                <c:pt idx="998">
                  <c:v>26</c:v>
                </c:pt>
                <c:pt idx="999">
                  <c:v>98</c:v>
                </c:pt>
              </c:numCache>
            </c:numRef>
          </c:yVal>
          <c:smooth val="0"/>
          <c:extLst>
            <c:ext xmlns:c16="http://schemas.microsoft.com/office/drawing/2014/chart" uri="{C3380CC4-5D6E-409C-BE32-E72D297353CC}">
              <c16:uniqueId val="{00000000-B76A-4DCC-AE4B-9FCD81285837}"/>
            </c:ext>
          </c:extLst>
        </c:ser>
        <c:dLbls>
          <c:showLegendKey val="0"/>
          <c:showVal val="0"/>
          <c:showCatName val="0"/>
          <c:showSerName val="0"/>
          <c:showPercent val="0"/>
          <c:showBubbleSize val="0"/>
        </c:dLbls>
        <c:axId val="400524176"/>
        <c:axId val="400530416"/>
      </c:scatterChart>
      <c:valAx>
        <c:axId val="40052417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solidFill>
              <a:schemeClr val="tx1">
                <a:lumMod val="25000"/>
                <a:lumOff val="75000"/>
              </a:schemeClr>
            </a:solidFill>
          </a:ln>
          <a:effectLst/>
        </c:spPr>
        <c:txPr>
          <a:bodyPr rot="-60000000" spcFirstLastPara="1" vertOverflow="ellipsis" vert="horz" wrap="square" anchor="ctr" anchorCtr="1"/>
          <a:lstStyle/>
          <a:p>
            <a:pPr>
              <a:defRPr sz="900" b="0" i="0" u="none" strike="noStrike" kern="1200" spc="20" baseline="0">
                <a:solidFill>
                  <a:schemeClr val="tx1">
                    <a:lumMod val="65000"/>
                    <a:lumOff val="35000"/>
                  </a:schemeClr>
                </a:solidFill>
                <a:latin typeface="+mn-lt"/>
                <a:ea typeface="+mn-ea"/>
                <a:cs typeface="+mn-cs"/>
              </a:defRPr>
            </a:pPr>
            <a:endParaRPr lang="en-US"/>
          </a:p>
        </c:txPr>
        <c:crossAx val="400530416"/>
        <c:crosses val="autoZero"/>
        <c:crossBetween val="midCat"/>
      </c:valAx>
      <c:valAx>
        <c:axId val="4005304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solidFill>
              <a:schemeClr val="tx1">
                <a:lumMod val="25000"/>
                <a:lumOff val="75000"/>
              </a:schemeClr>
            </a:solidFill>
          </a:ln>
          <a:effectLst/>
        </c:spPr>
        <c:txPr>
          <a:bodyPr rot="-60000000" spcFirstLastPara="1" vertOverflow="ellipsis" vert="horz" wrap="square" anchor="ctr" anchorCtr="1"/>
          <a:lstStyle/>
          <a:p>
            <a:pPr>
              <a:defRPr sz="900" b="0" i="0" u="none" strike="noStrike" kern="1200" spc="20" baseline="0">
                <a:solidFill>
                  <a:schemeClr val="tx1">
                    <a:lumMod val="65000"/>
                    <a:lumOff val="35000"/>
                  </a:schemeClr>
                </a:solidFill>
                <a:latin typeface="+mn-lt"/>
                <a:ea typeface="+mn-ea"/>
                <a:cs typeface="+mn-cs"/>
              </a:defRPr>
            </a:pPr>
            <a:endParaRPr lang="en-US"/>
          </a:p>
        </c:txPr>
        <c:crossAx val="400524176"/>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[Workbook.xlsx]Pivot_Analysis!PivotTable9</c:name>
    <c:fmtId val="7"/>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Pivot_Analysis!$K$144</c:f>
              <c:strCache>
                <c:ptCount val="1"/>
                <c:pt idx="0">
                  <c:v>Average of Casual_Rentals</c:v>
                </c:pt>
              </c:strCache>
            </c:strRef>
          </c:tx>
          <c:spPr>
            <a:ln w="28575" cap="rnd">
              <a:solidFill>
                <a:schemeClr val="accent1"/>
              </a:solidFill>
              <a:round/>
            </a:ln>
            <a:effectLst/>
          </c:spPr>
          <c:marker>
            <c:symbol val="none"/>
          </c:marker>
          <c:cat>
            <c:strRef>
              <c:f>Pivot_Analysis!$J$145:$J$169</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Pivot_Analysis!$K$145:$K$169</c:f>
              <c:numCache>
                <c:formatCode>General</c:formatCode>
                <c:ptCount val="24"/>
                <c:pt idx="0">
                  <c:v>1.7209302325581395</c:v>
                </c:pt>
                <c:pt idx="1">
                  <c:v>1.1162790697674418</c:v>
                </c:pt>
                <c:pt idx="2">
                  <c:v>0.80487804878048785</c:v>
                </c:pt>
                <c:pt idx="3">
                  <c:v>1.096774193548387</c:v>
                </c:pt>
                <c:pt idx="4">
                  <c:v>0.21875</c:v>
                </c:pt>
                <c:pt idx="5">
                  <c:v>7.6923076923076927E-2</c:v>
                </c:pt>
                <c:pt idx="6">
                  <c:v>0.5</c:v>
                </c:pt>
                <c:pt idx="7">
                  <c:v>1.4883720930232558</c:v>
                </c:pt>
                <c:pt idx="8">
                  <c:v>3.0238095238095237</c:v>
                </c:pt>
                <c:pt idx="9">
                  <c:v>4.0952380952380949</c:v>
                </c:pt>
                <c:pt idx="10">
                  <c:v>5.1428571428571432</c:v>
                </c:pt>
                <c:pt idx="11">
                  <c:v>8.7380952380952372</c:v>
                </c:pt>
                <c:pt idx="12">
                  <c:v>11.209302325581396</c:v>
                </c:pt>
                <c:pt idx="13">
                  <c:v>11.930232558139535</c:v>
                </c:pt>
                <c:pt idx="14">
                  <c:v>10.837209302325581</c:v>
                </c:pt>
                <c:pt idx="15">
                  <c:v>12.465116279069768</c:v>
                </c:pt>
                <c:pt idx="16">
                  <c:v>11.204545454545455</c:v>
                </c:pt>
                <c:pt idx="17">
                  <c:v>8.9772727272727266</c:v>
                </c:pt>
                <c:pt idx="18">
                  <c:v>5.1627906976744189</c:v>
                </c:pt>
                <c:pt idx="19">
                  <c:v>4.3488372093023253</c:v>
                </c:pt>
                <c:pt idx="20">
                  <c:v>3.2558139534883721</c:v>
                </c:pt>
                <c:pt idx="21">
                  <c:v>2.7209302325581395</c:v>
                </c:pt>
                <c:pt idx="22">
                  <c:v>2.3953488372093021</c:v>
                </c:pt>
                <c:pt idx="23">
                  <c:v>2.3488372093023258</c:v>
                </c:pt>
              </c:numCache>
            </c:numRef>
          </c:val>
          <c:smooth val="0"/>
          <c:extLst>
            <c:ext xmlns:c16="http://schemas.microsoft.com/office/drawing/2014/chart" uri="{C3380CC4-5D6E-409C-BE32-E72D297353CC}">
              <c16:uniqueId val="{00000000-AF18-4A6E-B3B6-6C90BAE17C7D}"/>
            </c:ext>
          </c:extLst>
        </c:ser>
        <c:ser>
          <c:idx val="1"/>
          <c:order val="1"/>
          <c:tx>
            <c:strRef>
              <c:f>Pivot_Analysis!$L$144</c:f>
              <c:strCache>
                <c:ptCount val="1"/>
                <c:pt idx="0">
                  <c:v>Average of Registered_Rentals</c:v>
                </c:pt>
              </c:strCache>
            </c:strRef>
          </c:tx>
          <c:spPr>
            <a:ln w="28575" cap="rnd">
              <a:solidFill>
                <a:schemeClr val="accent2"/>
              </a:solidFill>
              <a:round/>
            </a:ln>
            <a:effectLst/>
          </c:spPr>
          <c:marker>
            <c:symbol val="none"/>
          </c:marker>
          <c:cat>
            <c:strRef>
              <c:f>Pivot_Analysis!$J$145:$J$169</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Pivot_Analysis!$L$145:$L$169</c:f>
              <c:numCache>
                <c:formatCode>General</c:formatCode>
                <c:ptCount val="24"/>
                <c:pt idx="0">
                  <c:v>14.627906976744185</c:v>
                </c:pt>
                <c:pt idx="1">
                  <c:v>9.5813953488372086</c:v>
                </c:pt>
                <c:pt idx="2">
                  <c:v>6.3658536585365857</c:v>
                </c:pt>
                <c:pt idx="3">
                  <c:v>3.774193548387097</c:v>
                </c:pt>
                <c:pt idx="4">
                  <c:v>1.9375</c:v>
                </c:pt>
                <c:pt idx="5">
                  <c:v>4.1282051282051286</c:v>
                </c:pt>
                <c:pt idx="6">
                  <c:v>19.071428571428573</c:v>
                </c:pt>
                <c:pt idx="7">
                  <c:v>52.906976744186046</c:v>
                </c:pt>
                <c:pt idx="8">
                  <c:v>125.26190476190476</c:v>
                </c:pt>
                <c:pt idx="9">
                  <c:v>83.333333333333329</c:v>
                </c:pt>
                <c:pt idx="10">
                  <c:v>48.5</c:v>
                </c:pt>
                <c:pt idx="11">
                  <c:v>50.642857142857146</c:v>
                </c:pt>
                <c:pt idx="12">
                  <c:v>65.139534883720927</c:v>
                </c:pt>
                <c:pt idx="13">
                  <c:v>66.581395348837205</c:v>
                </c:pt>
                <c:pt idx="14">
                  <c:v>63.581395348837212</c:v>
                </c:pt>
                <c:pt idx="15">
                  <c:v>65.488372093023258</c:v>
                </c:pt>
                <c:pt idx="16">
                  <c:v>78.068181818181813</c:v>
                </c:pt>
                <c:pt idx="17">
                  <c:v>131.22727272727272</c:v>
                </c:pt>
                <c:pt idx="18">
                  <c:v>117.69767441860465</c:v>
                </c:pt>
                <c:pt idx="19">
                  <c:v>80.79069767441861</c:v>
                </c:pt>
                <c:pt idx="20">
                  <c:v>58.511627906976742</c:v>
                </c:pt>
                <c:pt idx="21">
                  <c:v>43.697674418604649</c:v>
                </c:pt>
                <c:pt idx="22">
                  <c:v>32.674418604651166</c:v>
                </c:pt>
                <c:pt idx="23">
                  <c:v>22.837209302325583</c:v>
                </c:pt>
              </c:numCache>
            </c:numRef>
          </c:val>
          <c:smooth val="0"/>
          <c:extLst>
            <c:ext xmlns:c16="http://schemas.microsoft.com/office/drawing/2014/chart" uri="{C3380CC4-5D6E-409C-BE32-E72D297353CC}">
              <c16:uniqueId val="{00000001-AF18-4A6E-B3B6-6C90BAE17C7D}"/>
            </c:ext>
          </c:extLst>
        </c:ser>
        <c:dLbls>
          <c:showLegendKey val="0"/>
          <c:showVal val="0"/>
          <c:showCatName val="0"/>
          <c:showSerName val="0"/>
          <c:showPercent val="0"/>
          <c:showBubbleSize val="0"/>
        </c:dLbls>
        <c:smooth val="0"/>
        <c:axId val="369130112"/>
        <c:axId val="369130592"/>
      </c:lineChart>
      <c:catAx>
        <c:axId val="3691301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9130592"/>
        <c:crosses val="autoZero"/>
        <c:auto val="1"/>
        <c:lblAlgn val="ctr"/>
        <c:lblOffset val="100"/>
        <c:noMultiLvlLbl val="0"/>
      </c:catAx>
      <c:valAx>
        <c:axId val="3691305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91301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[Workbook.xlsx]Pivot_Analysis!PivotTable 2</c:name>
    <c:fmtId val="35"/>
  </c:pivotSource>
  <c:chart>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Pivot_Analysis!$I$8</c:f>
              <c:strCache>
                <c:ptCount val="1"/>
                <c:pt idx="0">
                  <c:v>Average of Casual_Rentals</c:v>
                </c:pt>
              </c:strCache>
            </c:strRef>
          </c:tx>
          <c:spPr>
            <a:ln w="28575" cap="rnd">
              <a:solidFill>
                <a:schemeClr val="accent1"/>
              </a:solidFill>
              <a:round/>
            </a:ln>
            <a:effectLst/>
          </c:spPr>
          <c:marker>
            <c:symbol val="none"/>
          </c:marker>
          <c:cat>
            <c:strRef>
              <c:f>Pivot_Analysis!$H$9:$H$33</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Pivot_Analysis!$I$9:$I$33</c:f>
              <c:numCache>
                <c:formatCode>General</c:formatCode>
                <c:ptCount val="24"/>
                <c:pt idx="0">
                  <c:v>1.7209302325581395</c:v>
                </c:pt>
                <c:pt idx="1">
                  <c:v>1.1162790697674418</c:v>
                </c:pt>
                <c:pt idx="2">
                  <c:v>0.80487804878048785</c:v>
                </c:pt>
                <c:pt idx="3">
                  <c:v>1.096774193548387</c:v>
                </c:pt>
                <c:pt idx="4">
                  <c:v>0.21875</c:v>
                </c:pt>
                <c:pt idx="5">
                  <c:v>7.6923076923076927E-2</c:v>
                </c:pt>
                <c:pt idx="6">
                  <c:v>0.5</c:v>
                </c:pt>
                <c:pt idx="7">
                  <c:v>1.4883720930232558</c:v>
                </c:pt>
                <c:pt idx="8">
                  <c:v>3.0238095238095237</c:v>
                </c:pt>
                <c:pt idx="9">
                  <c:v>4.0952380952380949</c:v>
                </c:pt>
                <c:pt idx="10">
                  <c:v>5.1428571428571432</c:v>
                </c:pt>
                <c:pt idx="11">
                  <c:v>8.7380952380952372</c:v>
                </c:pt>
                <c:pt idx="12">
                  <c:v>11.209302325581396</c:v>
                </c:pt>
                <c:pt idx="13">
                  <c:v>11.930232558139535</c:v>
                </c:pt>
                <c:pt idx="14">
                  <c:v>10.837209302325581</c:v>
                </c:pt>
                <c:pt idx="15">
                  <c:v>12.465116279069768</c:v>
                </c:pt>
                <c:pt idx="16">
                  <c:v>11.204545454545455</c:v>
                </c:pt>
                <c:pt idx="17">
                  <c:v>8.9772727272727266</c:v>
                </c:pt>
                <c:pt idx="18">
                  <c:v>5.1627906976744189</c:v>
                </c:pt>
                <c:pt idx="19">
                  <c:v>4.3488372093023253</c:v>
                </c:pt>
                <c:pt idx="20">
                  <c:v>3.2558139534883721</c:v>
                </c:pt>
                <c:pt idx="21">
                  <c:v>2.7209302325581395</c:v>
                </c:pt>
                <c:pt idx="22">
                  <c:v>2.3953488372093021</c:v>
                </c:pt>
                <c:pt idx="23">
                  <c:v>2.3488372093023258</c:v>
                </c:pt>
              </c:numCache>
            </c:numRef>
          </c:val>
          <c:smooth val="0"/>
          <c:extLst>
            <c:ext xmlns:c16="http://schemas.microsoft.com/office/drawing/2014/chart" uri="{C3380CC4-5D6E-409C-BE32-E72D297353CC}">
              <c16:uniqueId val="{00000000-EA32-4533-A006-ED1BF6E5E90D}"/>
            </c:ext>
          </c:extLst>
        </c:ser>
        <c:ser>
          <c:idx val="1"/>
          <c:order val="1"/>
          <c:tx>
            <c:strRef>
              <c:f>Pivot_Analysis!$J$8</c:f>
              <c:strCache>
                <c:ptCount val="1"/>
                <c:pt idx="0">
                  <c:v>Average of Registered_Rentals</c:v>
                </c:pt>
              </c:strCache>
            </c:strRef>
          </c:tx>
          <c:spPr>
            <a:ln w="28575" cap="rnd">
              <a:solidFill>
                <a:schemeClr val="accent2"/>
              </a:solidFill>
              <a:round/>
            </a:ln>
            <a:effectLst/>
          </c:spPr>
          <c:marker>
            <c:symbol val="none"/>
          </c:marker>
          <c:cat>
            <c:strRef>
              <c:f>Pivot_Analysis!$H$9:$H$33</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Pivot_Analysis!$J$9:$J$33</c:f>
              <c:numCache>
                <c:formatCode>General</c:formatCode>
                <c:ptCount val="24"/>
                <c:pt idx="0">
                  <c:v>14.627906976744185</c:v>
                </c:pt>
                <c:pt idx="1">
                  <c:v>9.5813953488372086</c:v>
                </c:pt>
                <c:pt idx="2">
                  <c:v>6.3658536585365857</c:v>
                </c:pt>
                <c:pt idx="3">
                  <c:v>3.774193548387097</c:v>
                </c:pt>
                <c:pt idx="4">
                  <c:v>1.9375</c:v>
                </c:pt>
                <c:pt idx="5">
                  <c:v>4.1282051282051286</c:v>
                </c:pt>
                <c:pt idx="6">
                  <c:v>19.071428571428573</c:v>
                </c:pt>
                <c:pt idx="7">
                  <c:v>52.906976744186046</c:v>
                </c:pt>
                <c:pt idx="8">
                  <c:v>125.26190476190476</c:v>
                </c:pt>
                <c:pt idx="9">
                  <c:v>83.333333333333329</c:v>
                </c:pt>
                <c:pt idx="10">
                  <c:v>48.5</c:v>
                </c:pt>
                <c:pt idx="11">
                  <c:v>50.642857142857146</c:v>
                </c:pt>
                <c:pt idx="12">
                  <c:v>65.139534883720927</c:v>
                </c:pt>
                <c:pt idx="13">
                  <c:v>66.581395348837205</c:v>
                </c:pt>
                <c:pt idx="14">
                  <c:v>63.581395348837212</c:v>
                </c:pt>
                <c:pt idx="15">
                  <c:v>65.488372093023258</c:v>
                </c:pt>
                <c:pt idx="16">
                  <c:v>78.068181818181813</c:v>
                </c:pt>
                <c:pt idx="17">
                  <c:v>131.22727272727272</c:v>
                </c:pt>
                <c:pt idx="18">
                  <c:v>117.69767441860465</c:v>
                </c:pt>
                <c:pt idx="19">
                  <c:v>80.79069767441861</c:v>
                </c:pt>
                <c:pt idx="20">
                  <c:v>58.511627906976742</c:v>
                </c:pt>
                <c:pt idx="21">
                  <c:v>43.697674418604649</c:v>
                </c:pt>
                <c:pt idx="22">
                  <c:v>32.674418604651166</c:v>
                </c:pt>
                <c:pt idx="23">
                  <c:v>22.837209302325583</c:v>
                </c:pt>
              </c:numCache>
            </c:numRef>
          </c:val>
          <c:smooth val="0"/>
          <c:extLst>
            <c:ext xmlns:c16="http://schemas.microsoft.com/office/drawing/2014/chart" uri="{C3380CC4-5D6E-409C-BE32-E72D297353CC}">
              <c16:uniqueId val="{00000001-EA32-4533-A006-ED1BF6E5E90D}"/>
            </c:ext>
          </c:extLst>
        </c:ser>
        <c:ser>
          <c:idx val="2"/>
          <c:order val="2"/>
          <c:tx>
            <c:strRef>
              <c:f>Pivot_Analysis!$K$8</c:f>
              <c:strCache>
                <c:ptCount val="1"/>
                <c:pt idx="0">
                  <c:v>Average of Total_Rentals</c:v>
                </c:pt>
              </c:strCache>
            </c:strRef>
          </c:tx>
          <c:spPr>
            <a:ln w="28575" cap="rnd">
              <a:solidFill>
                <a:schemeClr val="accent3"/>
              </a:solidFill>
              <a:round/>
            </a:ln>
            <a:effectLst/>
          </c:spPr>
          <c:marker>
            <c:symbol val="none"/>
          </c:marker>
          <c:cat>
            <c:strRef>
              <c:f>Pivot_Analysis!$H$9:$H$33</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Pivot_Analysis!$K$9:$K$33</c:f>
              <c:numCache>
                <c:formatCode>General</c:formatCode>
                <c:ptCount val="24"/>
                <c:pt idx="0">
                  <c:v>16.348837209302324</c:v>
                </c:pt>
                <c:pt idx="1">
                  <c:v>10.697674418604651</c:v>
                </c:pt>
                <c:pt idx="2">
                  <c:v>7.1707317073170733</c:v>
                </c:pt>
                <c:pt idx="3">
                  <c:v>4.870967741935484</c:v>
                </c:pt>
                <c:pt idx="4">
                  <c:v>2.15625</c:v>
                </c:pt>
                <c:pt idx="5">
                  <c:v>4.2051282051282053</c:v>
                </c:pt>
                <c:pt idx="6">
                  <c:v>19.571428571428573</c:v>
                </c:pt>
                <c:pt idx="7">
                  <c:v>54.395348837209305</c:v>
                </c:pt>
                <c:pt idx="8">
                  <c:v>128.28571428571428</c:v>
                </c:pt>
                <c:pt idx="9">
                  <c:v>87.428571428571431</c:v>
                </c:pt>
                <c:pt idx="10">
                  <c:v>53.642857142857146</c:v>
                </c:pt>
                <c:pt idx="11">
                  <c:v>59.38095238095238</c:v>
                </c:pt>
                <c:pt idx="12">
                  <c:v>76.348837209302332</c:v>
                </c:pt>
                <c:pt idx="13">
                  <c:v>78.511627906976742</c:v>
                </c:pt>
                <c:pt idx="14">
                  <c:v>74.418604651162795</c:v>
                </c:pt>
                <c:pt idx="15">
                  <c:v>77.95348837209302</c:v>
                </c:pt>
                <c:pt idx="16">
                  <c:v>89.272727272727266</c:v>
                </c:pt>
                <c:pt idx="17">
                  <c:v>140.20454545454547</c:v>
                </c:pt>
                <c:pt idx="18">
                  <c:v>122.86046511627907</c:v>
                </c:pt>
                <c:pt idx="19">
                  <c:v>85.139534883720927</c:v>
                </c:pt>
                <c:pt idx="20">
                  <c:v>61.767441860465119</c:v>
                </c:pt>
                <c:pt idx="21">
                  <c:v>46.418604651162788</c:v>
                </c:pt>
                <c:pt idx="22">
                  <c:v>35.069767441860463</c:v>
                </c:pt>
                <c:pt idx="23">
                  <c:v>25.186046511627907</c:v>
                </c:pt>
              </c:numCache>
            </c:numRef>
          </c:val>
          <c:smooth val="0"/>
          <c:extLst>
            <c:ext xmlns:c16="http://schemas.microsoft.com/office/drawing/2014/chart" uri="{C3380CC4-5D6E-409C-BE32-E72D297353CC}">
              <c16:uniqueId val="{00000002-EA32-4533-A006-ED1BF6E5E90D}"/>
            </c:ext>
          </c:extLst>
        </c:ser>
        <c:dLbls>
          <c:showLegendKey val="0"/>
          <c:showVal val="0"/>
          <c:showCatName val="0"/>
          <c:showSerName val="0"/>
          <c:showPercent val="0"/>
          <c:showBubbleSize val="0"/>
        </c:dLbls>
        <c:smooth val="0"/>
        <c:axId val="499042847"/>
        <c:axId val="499043807"/>
      </c:lineChart>
      <c:catAx>
        <c:axId val="4990428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9043807"/>
        <c:crosses val="autoZero"/>
        <c:auto val="1"/>
        <c:lblAlgn val="ctr"/>
        <c:lblOffset val="100"/>
        <c:noMultiLvlLbl val="0"/>
      </c:catAx>
      <c:valAx>
        <c:axId val="49904380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90428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7.9433058912451851E-2"/>
          <c:y val="3.565889573308257E-2"/>
          <c:w val="0.8973334952041897"/>
          <c:h val="0.69777137576364479"/>
        </c:manualLayout>
      </c:layout>
      <c:lineChart>
        <c:grouping val="standard"/>
        <c:varyColors val="0"/>
        <c:ser>
          <c:idx val="0"/>
          <c:order val="0"/>
          <c:tx>
            <c:strRef>
              <c:f>Forecast_Table!$B$1</c:f>
              <c:strCache>
                <c:ptCount val="1"/>
                <c:pt idx="0">
                  <c:v>Forecast 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val>
            <c:numRef>
              <c:f>Forecast_Table!$B$2:$B$67</c:f>
              <c:numCache>
                <c:formatCode>General</c:formatCode>
                <c:ptCount val="66"/>
                <c:pt idx="0">
                  <c:v>978.608501415619</c:v>
                </c:pt>
                <c:pt idx="1">
                  <c:v>1027.8906520549583</c:v>
                </c:pt>
                <c:pt idx="2">
                  <c:v>1232.4161583754856</c:v>
                </c:pt>
                <c:pt idx="3">
                  <c:v>1208.5643768611815</c:v>
                </c:pt>
                <c:pt idx="4">
                  <c:v>1303.4948408367686</c:v>
                </c:pt>
                <c:pt idx="5">
                  <c:v>1411.2004808512963</c:v>
                </c:pt>
                <c:pt idx="6">
                  <c:v>1415.8183008278236</c:v>
                </c:pt>
                <c:pt idx="7">
                  <c:v>1021.3958943788325</c:v>
                </c:pt>
                <c:pt idx="8">
                  <c:v>1070.678045018172</c:v>
                </c:pt>
                <c:pt idx="9">
                  <c:v>1275.2035513386993</c:v>
                </c:pt>
                <c:pt idx="10">
                  <c:v>1251.3517698243952</c:v>
                </c:pt>
                <c:pt idx="11">
                  <c:v>1346.2822337999821</c:v>
                </c:pt>
                <c:pt idx="12">
                  <c:v>1453.9878738145098</c:v>
                </c:pt>
                <c:pt idx="13">
                  <c:v>1458.6056937910371</c:v>
                </c:pt>
                <c:pt idx="14">
                  <c:v>1064.183287342046</c:v>
                </c:pt>
                <c:pt idx="15">
                  <c:v>1113.4654379813901</c:v>
                </c:pt>
                <c:pt idx="16">
                  <c:v>1317.9909443019128</c:v>
                </c:pt>
                <c:pt idx="17">
                  <c:v>1294.1391627876087</c:v>
                </c:pt>
                <c:pt idx="18">
                  <c:v>1389.0696267631956</c:v>
                </c:pt>
                <c:pt idx="19">
                  <c:v>1496.7752667777236</c:v>
                </c:pt>
                <c:pt idx="20">
                  <c:v>1501.3930867542508</c:v>
                </c:pt>
                <c:pt idx="21">
                  <c:v>1106.9706803052597</c:v>
                </c:pt>
                <c:pt idx="22">
                  <c:v>1156.2528309445991</c:v>
                </c:pt>
                <c:pt idx="23">
                  <c:v>1360.7783372651263</c:v>
                </c:pt>
                <c:pt idx="24">
                  <c:v>1336.9265557508222</c:v>
                </c:pt>
                <c:pt idx="25">
                  <c:v>1431.8570197264094</c:v>
                </c:pt>
                <c:pt idx="26">
                  <c:v>1539.5626597409371</c:v>
                </c:pt>
                <c:pt idx="27">
                  <c:v>1544.1804797174643</c:v>
                </c:pt>
                <c:pt idx="28">
                  <c:v>1149.7580732684733</c:v>
                </c:pt>
                <c:pt idx="29">
                  <c:v>1199.0402239078126</c:v>
                </c:pt>
                <c:pt idx="30">
                  <c:v>1403.56573022834</c:v>
                </c:pt>
                <c:pt idx="31">
                  <c:v>1379.713948714036</c:v>
                </c:pt>
                <c:pt idx="32">
                  <c:v>1474.6444126896229</c:v>
                </c:pt>
                <c:pt idx="33">
                  <c:v>1582.3500527041506</c:v>
                </c:pt>
                <c:pt idx="34">
                  <c:v>1586.9678726806778</c:v>
                </c:pt>
                <c:pt idx="35">
                  <c:v>1192.5454662316868</c:v>
                </c:pt>
                <c:pt idx="36">
                  <c:v>1241.8276168710263</c:v>
                </c:pt>
                <c:pt idx="37">
                  <c:v>1446.3531231915535</c:v>
                </c:pt>
                <c:pt idx="38">
                  <c:v>1422.5013416772495</c:v>
                </c:pt>
                <c:pt idx="39">
                  <c:v>1517.4318056528364</c:v>
                </c:pt>
                <c:pt idx="40">
                  <c:v>1625.1374456673641</c:v>
                </c:pt>
                <c:pt idx="41">
                  <c:v>1629.7552656438916</c:v>
                </c:pt>
                <c:pt idx="42">
                  <c:v>1235.3328591949005</c:v>
                </c:pt>
                <c:pt idx="43">
                  <c:v>1284.6150098342398</c:v>
                </c:pt>
                <c:pt idx="44">
                  <c:v>1489.1405161547671</c:v>
                </c:pt>
                <c:pt idx="45">
                  <c:v>1465.288734640463</c:v>
                </c:pt>
                <c:pt idx="46">
                  <c:v>1560.2191986160501</c:v>
                </c:pt>
                <c:pt idx="47">
                  <c:v>1667.9248386305778</c:v>
                </c:pt>
                <c:pt idx="48">
                  <c:v>1672.5426586071051</c:v>
                </c:pt>
                <c:pt idx="49">
                  <c:v>1278.120252158114</c:v>
                </c:pt>
                <c:pt idx="50">
                  <c:v>1327.4024027974533</c:v>
                </c:pt>
                <c:pt idx="51">
                  <c:v>1531.9279091179808</c:v>
                </c:pt>
              </c:numCache>
            </c:numRef>
          </c:val>
          <c:smooth val="0"/>
          <c:extLst>
            <c:ext xmlns:c16="http://schemas.microsoft.com/office/drawing/2014/chart" uri="{C3380CC4-5D6E-409C-BE32-E72D297353CC}">
              <c16:uniqueId val="{00000000-4053-46C4-B13C-5C88ABA68B5E}"/>
            </c:ext>
          </c:extLst>
        </c:ser>
        <c:ser>
          <c:idx val="1"/>
          <c:order val="1"/>
          <c:tx>
            <c:strRef>
              <c:f>Forecast_Table!$C$1</c:f>
              <c:strCache>
                <c:ptCount val="1"/>
                <c:pt idx="0">
                  <c:v>Forecast(Forecast Total)</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numRef>
              <c:f>Forecast_Table!$A$2:$A$67</c:f>
              <c:numCache>
                <c:formatCode>[$-F800]dddd\,\ mmmm\ dd\,\ yyyy</c:formatCode>
                <c:ptCount val="66"/>
                <c:pt idx="0">
                  <c:v>40544</c:v>
                </c:pt>
                <c:pt idx="1">
                  <c:v>40545</c:v>
                </c:pt>
                <c:pt idx="2">
                  <c:v>40546</c:v>
                </c:pt>
                <c:pt idx="3">
                  <c:v>40547</c:v>
                </c:pt>
                <c:pt idx="4">
                  <c:v>40548</c:v>
                </c:pt>
                <c:pt idx="5">
                  <c:v>40549</c:v>
                </c:pt>
                <c:pt idx="6">
                  <c:v>40550</c:v>
                </c:pt>
                <c:pt idx="7">
                  <c:v>40551</c:v>
                </c:pt>
                <c:pt idx="8">
                  <c:v>40552</c:v>
                </c:pt>
                <c:pt idx="9">
                  <c:v>40553</c:v>
                </c:pt>
                <c:pt idx="10">
                  <c:v>40554</c:v>
                </c:pt>
                <c:pt idx="11">
                  <c:v>40555</c:v>
                </c:pt>
                <c:pt idx="12">
                  <c:v>40556</c:v>
                </c:pt>
                <c:pt idx="13">
                  <c:v>40557</c:v>
                </c:pt>
                <c:pt idx="14">
                  <c:v>40558</c:v>
                </c:pt>
                <c:pt idx="15">
                  <c:v>40559</c:v>
                </c:pt>
                <c:pt idx="16">
                  <c:v>40560</c:v>
                </c:pt>
                <c:pt idx="17">
                  <c:v>40561</c:v>
                </c:pt>
                <c:pt idx="18">
                  <c:v>40562</c:v>
                </c:pt>
                <c:pt idx="19">
                  <c:v>40563</c:v>
                </c:pt>
                <c:pt idx="20">
                  <c:v>40564</c:v>
                </c:pt>
                <c:pt idx="21">
                  <c:v>40565</c:v>
                </c:pt>
                <c:pt idx="22">
                  <c:v>40566</c:v>
                </c:pt>
                <c:pt idx="23">
                  <c:v>40567</c:v>
                </c:pt>
                <c:pt idx="24">
                  <c:v>40568</c:v>
                </c:pt>
                <c:pt idx="25">
                  <c:v>40569</c:v>
                </c:pt>
                <c:pt idx="26">
                  <c:v>40570</c:v>
                </c:pt>
                <c:pt idx="27">
                  <c:v>40571</c:v>
                </c:pt>
                <c:pt idx="28">
                  <c:v>40572</c:v>
                </c:pt>
                <c:pt idx="29">
                  <c:v>40573</c:v>
                </c:pt>
                <c:pt idx="30">
                  <c:v>40574</c:v>
                </c:pt>
                <c:pt idx="31">
                  <c:v>40575</c:v>
                </c:pt>
                <c:pt idx="32">
                  <c:v>40576</c:v>
                </c:pt>
                <c:pt idx="33">
                  <c:v>40577</c:v>
                </c:pt>
                <c:pt idx="34">
                  <c:v>40578</c:v>
                </c:pt>
                <c:pt idx="35">
                  <c:v>40579</c:v>
                </c:pt>
                <c:pt idx="36">
                  <c:v>40580</c:v>
                </c:pt>
                <c:pt idx="37">
                  <c:v>40581</c:v>
                </c:pt>
                <c:pt idx="38">
                  <c:v>40582</c:v>
                </c:pt>
                <c:pt idx="39">
                  <c:v>40583</c:v>
                </c:pt>
                <c:pt idx="40">
                  <c:v>40584</c:v>
                </c:pt>
                <c:pt idx="41">
                  <c:v>40585</c:v>
                </c:pt>
                <c:pt idx="42">
                  <c:v>40586</c:v>
                </c:pt>
                <c:pt idx="43">
                  <c:v>40587</c:v>
                </c:pt>
                <c:pt idx="44">
                  <c:v>40588</c:v>
                </c:pt>
                <c:pt idx="45">
                  <c:v>40589</c:v>
                </c:pt>
                <c:pt idx="46">
                  <c:v>40590</c:v>
                </c:pt>
                <c:pt idx="47">
                  <c:v>40591</c:v>
                </c:pt>
                <c:pt idx="48">
                  <c:v>40592</c:v>
                </c:pt>
                <c:pt idx="49">
                  <c:v>40593</c:v>
                </c:pt>
                <c:pt idx="50">
                  <c:v>40594</c:v>
                </c:pt>
                <c:pt idx="51">
                  <c:v>40595</c:v>
                </c:pt>
                <c:pt idx="52">
                  <c:v>40596</c:v>
                </c:pt>
                <c:pt idx="53">
                  <c:v>40597</c:v>
                </c:pt>
                <c:pt idx="54">
                  <c:v>40598</c:v>
                </c:pt>
                <c:pt idx="55">
                  <c:v>40599</c:v>
                </c:pt>
                <c:pt idx="56">
                  <c:v>40600</c:v>
                </c:pt>
                <c:pt idx="57">
                  <c:v>40601</c:v>
                </c:pt>
                <c:pt idx="58">
                  <c:v>40602</c:v>
                </c:pt>
                <c:pt idx="59">
                  <c:v>40603</c:v>
                </c:pt>
                <c:pt idx="60">
                  <c:v>40604</c:v>
                </c:pt>
                <c:pt idx="61">
                  <c:v>40605</c:v>
                </c:pt>
                <c:pt idx="62">
                  <c:v>40606</c:v>
                </c:pt>
                <c:pt idx="63">
                  <c:v>40607</c:v>
                </c:pt>
                <c:pt idx="64">
                  <c:v>40608</c:v>
                </c:pt>
                <c:pt idx="65">
                  <c:v>40609</c:v>
                </c:pt>
              </c:numCache>
            </c:numRef>
          </c:cat>
          <c:val>
            <c:numRef>
              <c:f>Forecast_Table!$C$2:$C$67</c:f>
              <c:numCache>
                <c:formatCode>General</c:formatCode>
                <c:ptCount val="66"/>
                <c:pt idx="51">
                  <c:v>1531.9279091179806</c:v>
                </c:pt>
                <c:pt idx="52">
                  <c:v>1508.0761276036765</c:v>
                </c:pt>
                <c:pt idx="53">
                  <c:v>1603.0065915792634</c:v>
                </c:pt>
                <c:pt idx="54">
                  <c:v>1710.7122315937911</c:v>
                </c:pt>
                <c:pt idx="55">
                  <c:v>1715.3300515703186</c:v>
                </c:pt>
                <c:pt idx="56">
                  <c:v>1320.9076451213273</c:v>
                </c:pt>
                <c:pt idx="57">
                  <c:v>1370.1897957606684</c:v>
                </c:pt>
                <c:pt idx="58">
                  <c:v>1574.7153020811941</c:v>
                </c:pt>
                <c:pt idx="59">
                  <c:v>1550.86352056689</c:v>
                </c:pt>
                <c:pt idx="60">
                  <c:v>1645.7939845424769</c:v>
                </c:pt>
                <c:pt idx="61">
                  <c:v>1753.4996245570046</c:v>
                </c:pt>
                <c:pt idx="62">
                  <c:v>1758.1174445335319</c:v>
                </c:pt>
                <c:pt idx="63">
                  <c:v>1363.6950380845408</c:v>
                </c:pt>
                <c:pt idx="64">
                  <c:v>1412.9771887238817</c:v>
                </c:pt>
                <c:pt idx="65">
                  <c:v>1617.5026950444076</c:v>
                </c:pt>
              </c:numCache>
            </c:numRef>
          </c:val>
          <c:smooth val="0"/>
          <c:extLst>
            <c:ext xmlns:c16="http://schemas.microsoft.com/office/drawing/2014/chart" uri="{C3380CC4-5D6E-409C-BE32-E72D297353CC}">
              <c16:uniqueId val="{00000001-4053-46C4-B13C-5C88ABA68B5E}"/>
            </c:ext>
          </c:extLst>
        </c:ser>
        <c:ser>
          <c:idx val="2"/>
          <c:order val="2"/>
          <c:tx>
            <c:strRef>
              <c:f>Forecast_Table!$D$1</c:f>
              <c:strCache>
                <c:ptCount val="1"/>
                <c:pt idx="0">
                  <c:v>Lower Confidence Bound(Forecast Total)</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numRef>
              <c:f>Forecast_Table!$A$2:$A$67</c:f>
              <c:numCache>
                <c:formatCode>[$-F800]dddd\,\ mmmm\ dd\,\ yyyy</c:formatCode>
                <c:ptCount val="66"/>
                <c:pt idx="0">
                  <c:v>40544</c:v>
                </c:pt>
                <c:pt idx="1">
                  <c:v>40545</c:v>
                </c:pt>
                <c:pt idx="2">
                  <c:v>40546</c:v>
                </c:pt>
                <c:pt idx="3">
                  <c:v>40547</c:v>
                </c:pt>
                <c:pt idx="4">
                  <c:v>40548</c:v>
                </c:pt>
                <c:pt idx="5">
                  <c:v>40549</c:v>
                </c:pt>
                <c:pt idx="6">
                  <c:v>40550</c:v>
                </c:pt>
                <c:pt idx="7">
                  <c:v>40551</c:v>
                </c:pt>
                <c:pt idx="8">
                  <c:v>40552</c:v>
                </c:pt>
                <c:pt idx="9">
                  <c:v>40553</c:v>
                </c:pt>
                <c:pt idx="10">
                  <c:v>40554</c:v>
                </c:pt>
                <c:pt idx="11">
                  <c:v>40555</c:v>
                </c:pt>
                <c:pt idx="12">
                  <c:v>40556</c:v>
                </c:pt>
                <c:pt idx="13">
                  <c:v>40557</c:v>
                </c:pt>
                <c:pt idx="14">
                  <c:v>40558</c:v>
                </c:pt>
                <c:pt idx="15">
                  <c:v>40559</c:v>
                </c:pt>
                <c:pt idx="16">
                  <c:v>40560</c:v>
                </c:pt>
                <c:pt idx="17">
                  <c:v>40561</c:v>
                </c:pt>
                <c:pt idx="18">
                  <c:v>40562</c:v>
                </c:pt>
                <c:pt idx="19">
                  <c:v>40563</c:v>
                </c:pt>
                <c:pt idx="20">
                  <c:v>40564</c:v>
                </c:pt>
                <c:pt idx="21">
                  <c:v>40565</c:v>
                </c:pt>
                <c:pt idx="22">
                  <c:v>40566</c:v>
                </c:pt>
                <c:pt idx="23">
                  <c:v>40567</c:v>
                </c:pt>
                <c:pt idx="24">
                  <c:v>40568</c:v>
                </c:pt>
                <c:pt idx="25">
                  <c:v>40569</c:v>
                </c:pt>
                <c:pt idx="26">
                  <c:v>40570</c:v>
                </c:pt>
                <c:pt idx="27">
                  <c:v>40571</c:v>
                </c:pt>
                <c:pt idx="28">
                  <c:v>40572</c:v>
                </c:pt>
                <c:pt idx="29">
                  <c:v>40573</c:v>
                </c:pt>
                <c:pt idx="30">
                  <c:v>40574</c:v>
                </c:pt>
                <c:pt idx="31">
                  <c:v>40575</c:v>
                </c:pt>
                <c:pt idx="32">
                  <c:v>40576</c:v>
                </c:pt>
                <c:pt idx="33">
                  <c:v>40577</c:v>
                </c:pt>
                <c:pt idx="34">
                  <c:v>40578</c:v>
                </c:pt>
                <c:pt idx="35">
                  <c:v>40579</c:v>
                </c:pt>
                <c:pt idx="36">
                  <c:v>40580</c:v>
                </c:pt>
                <c:pt idx="37">
                  <c:v>40581</c:v>
                </c:pt>
                <c:pt idx="38">
                  <c:v>40582</c:v>
                </c:pt>
                <c:pt idx="39">
                  <c:v>40583</c:v>
                </c:pt>
                <c:pt idx="40">
                  <c:v>40584</c:v>
                </c:pt>
                <c:pt idx="41">
                  <c:v>40585</c:v>
                </c:pt>
                <c:pt idx="42">
                  <c:v>40586</c:v>
                </c:pt>
                <c:pt idx="43">
                  <c:v>40587</c:v>
                </c:pt>
                <c:pt idx="44">
                  <c:v>40588</c:v>
                </c:pt>
                <c:pt idx="45">
                  <c:v>40589</c:v>
                </c:pt>
                <c:pt idx="46">
                  <c:v>40590</c:v>
                </c:pt>
                <c:pt idx="47">
                  <c:v>40591</c:v>
                </c:pt>
                <c:pt idx="48">
                  <c:v>40592</c:v>
                </c:pt>
                <c:pt idx="49">
                  <c:v>40593</c:v>
                </c:pt>
                <c:pt idx="50">
                  <c:v>40594</c:v>
                </c:pt>
                <c:pt idx="51">
                  <c:v>40595</c:v>
                </c:pt>
                <c:pt idx="52">
                  <c:v>40596</c:v>
                </c:pt>
                <c:pt idx="53">
                  <c:v>40597</c:v>
                </c:pt>
                <c:pt idx="54">
                  <c:v>40598</c:v>
                </c:pt>
                <c:pt idx="55">
                  <c:v>40599</c:v>
                </c:pt>
                <c:pt idx="56">
                  <c:v>40600</c:v>
                </c:pt>
                <c:pt idx="57">
                  <c:v>40601</c:v>
                </c:pt>
                <c:pt idx="58">
                  <c:v>40602</c:v>
                </c:pt>
                <c:pt idx="59">
                  <c:v>40603</c:v>
                </c:pt>
                <c:pt idx="60">
                  <c:v>40604</c:v>
                </c:pt>
                <c:pt idx="61">
                  <c:v>40605</c:v>
                </c:pt>
                <c:pt idx="62">
                  <c:v>40606</c:v>
                </c:pt>
                <c:pt idx="63">
                  <c:v>40607</c:v>
                </c:pt>
                <c:pt idx="64">
                  <c:v>40608</c:v>
                </c:pt>
                <c:pt idx="65">
                  <c:v>40609</c:v>
                </c:pt>
              </c:numCache>
            </c:numRef>
          </c:cat>
          <c:val>
            <c:numRef>
              <c:f>Forecast_Table!$D$2:$D$67</c:f>
              <c:numCache>
                <c:formatCode>General</c:formatCode>
                <c:ptCount val="66"/>
                <c:pt idx="51" formatCode="0.00">
                  <c:v>1531.9279091179808</c:v>
                </c:pt>
                <c:pt idx="52" formatCode="0.00">
                  <c:v>1508.0761276036749</c:v>
                </c:pt>
                <c:pt idx="53" formatCode="0.00">
                  <c:v>1603.0065915792618</c:v>
                </c:pt>
                <c:pt idx="54" formatCode="0.00">
                  <c:v>1710.7122315937895</c:v>
                </c:pt>
                <c:pt idx="55" formatCode="0.00">
                  <c:v>1715.330051570317</c:v>
                </c:pt>
                <c:pt idx="56" formatCode="0.00">
                  <c:v>1320.9076451213257</c:v>
                </c:pt>
                <c:pt idx="57" formatCode="0.00">
                  <c:v>1370.1897957606666</c:v>
                </c:pt>
                <c:pt idx="58" formatCode="0.00">
                  <c:v>1574.7153020811922</c:v>
                </c:pt>
                <c:pt idx="59" formatCode="0.00">
                  <c:v>1550.8635205668882</c:v>
                </c:pt>
                <c:pt idx="60" formatCode="0.00">
                  <c:v>1645.7939845424751</c:v>
                </c:pt>
                <c:pt idx="61" formatCode="0.00">
                  <c:v>1753.4996245570028</c:v>
                </c:pt>
                <c:pt idx="62" formatCode="0.00">
                  <c:v>1758.11744453353</c:v>
                </c:pt>
                <c:pt idx="63" formatCode="0.00">
                  <c:v>1363.6950380845387</c:v>
                </c:pt>
                <c:pt idx="64" formatCode="0.00">
                  <c:v>1412.9771887238796</c:v>
                </c:pt>
                <c:pt idx="65" formatCode="0.00">
                  <c:v>1617.5026950444055</c:v>
                </c:pt>
              </c:numCache>
            </c:numRef>
          </c:val>
          <c:smooth val="0"/>
          <c:extLst>
            <c:ext xmlns:c16="http://schemas.microsoft.com/office/drawing/2014/chart" uri="{C3380CC4-5D6E-409C-BE32-E72D297353CC}">
              <c16:uniqueId val="{00000002-4053-46C4-B13C-5C88ABA68B5E}"/>
            </c:ext>
          </c:extLst>
        </c:ser>
        <c:ser>
          <c:idx val="3"/>
          <c:order val="3"/>
          <c:tx>
            <c:strRef>
              <c:f>Forecast_Table!$E$1</c:f>
              <c:strCache>
                <c:ptCount val="1"/>
                <c:pt idx="0">
                  <c:v>Upper Confidence Bound(Forecast Total)</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numRef>
              <c:f>Forecast_Table!$A$2:$A$67</c:f>
              <c:numCache>
                <c:formatCode>[$-F800]dddd\,\ mmmm\ dd\,\ yyyy</c:formatCode>
                <c:ptCount val="66"/>
                <c:pt idx="0">
                  <c:v>40544</c:v>
                </c:pt>
                <c:pt idx="1">
                  <c:v>40545</c:v>
                </c:pt>
                <c:pt idx="2">
                  <c:v>40546</c:v>
                </c:pt>
                <c:pt idx="3">
                  <c:v>40547</c:v>
                </c:pt>
                <c:pt idx="4">
                  <c:v>40548</c:v>
                </c:pt>
                <c:pt idx="5">
                  <c:v>40549</c:v>
                </c:pt>
                <c:pt idx="6">
                  <c:v>40550</c:v>
                </c:pt>
                <c:pt idx="7">
                  <c:v>40551</c:v>
                </c:pt>
                <c:pt idx="8">
                  <c:v>40552</c:v>
                </c:pt>
                <c:pt idx="9">
                  <c:v>40553</c:v>
                </c:pt>
                <c:pt idx="10">
                  <c:v>40554</c:v>
                </c:pt>
                <c:pt idx="11">
                  <c:v>40555</c:v>
                </c:pt>
                <c:pt idx="12">
                  <c:v>40556</c:v>
                </c:pt>
                <c:pt idx="13">
                  <c:v>40557</c:v>
                </c:pt>
                <c:pt idx="14">
                  <c:v>40558</c:v>
                </c:pt>
                <c:pt idx="15">
                  <c:v>40559</c:v>
                </c:pt>
                <c:pt idx="16">
                  <c:v>40560</c:v>
                </c:pt>
                <c:pt idx="17">
                  <c:v>40561</c:v>
                </c:pt>
                <c:pt idx="18">
                  <c:v>40562</c:v>
                </c:pt>
                <c:pt idx="19">
                  <c:v>40563</c:v>
                </c:pt>
                <c:pt idx="20">
                  <c:v>40564</c:v>
                </c:pt>
                <c:pt idx="21">
                  <c:v>40565</c:v>
                </c:pt>
                <c:pt idx="22">
                  <c:v>40566</c:v>
                </c:pt>
                <c:pt idx="23">
                  <c:v>40567</c:v>
                </c:pt>
                <c:pt idx="24">
                  <c:v>40568</c:v>
                </c:pt>
                <c:pt idx="25">
                  <c:v>40569</c:v>
                </c:pt>
                <c:pt idx="26">
                  <c:v>40570</c:v>
                </c:pt>
                <c:pt idx="27">
                  <c:v>40571</c:v>
                </c:pt>
                <c:pt idx="28">
                  <c:v>40572</c:v>
                </c:pt>
                <c:pt idx="29">
                  <c:v>40573</c:v>
                </c:pt>
                <c:pt idx="30">
                  <c:v>40574</c:v>
                </c:pt>
                <c:pt idx="31">
                  <c:v>40575</c:v>
                </c:pt>
                <c:pt idx="32">
                  <c:v>40576</c:v>
                </c:pt>
                <c:pt idx="33">
                  <c:v>40577</c:v>
                </c:pt>
                <c:pt idx="34">
                  <c:v>40578</c:v>
                </c:pt>
                <c:pt idx="35">
                  <c:v>40579</c:v>
                </c:pt>
                <c:pt idx="36">
                  <c:v>40580</c:v>
                </c:pt>
                <c:pt idx="37">
                  <c:v>40581</c:v>
                </c:pt>
                <c:pt idx="38">
                  <c:v>40582</c:v>
                </c:pt>
                <c:pt idx="39">
                  <c:v>40583</c:v>
                </c:pt>
                <c:pt idx="40">
                  <c:v>40584</c:v>
                </c:pt>
                <c:pt idx="41">
                  <c:v>40585</c:v>
                </c:pt>
                <c:pt idx="42">
                  <c:v>40586</c:v>
                </c:pt>
                <c:pt idx="43">
                  <c:v>40587</c:v>
                </c:pt>
                <c:pt idx="44">
                  <c:v>40588</c:v>
                </c:pt>
                <c:pt idx="45">
                  <c:v>40589</c:v>
                </c:pt>
                <c:pt idx="46">
                  <c:v>40590</c:v>
                </c:pt>
                <c:pt idx="47">
                  <c:v>40591</c:v>
                </c:pt>
                <c:pt idx="48">
                  <c:v>40592</c:v>
                </c:pt>
                <c:pt idx="49">
                  <c:v>40593</c:v>
                </c:pt>
                <c:pt idx="50">
                  <c:v>40594</c:v>
                </c:pt>
                <c:pt idx="51">
                  <c:v>40595</c:v>
                </c:pt>
                <c:pt idx="52">
                  <c:v>40596</c:v>
                </c:pt>
                <c:pt idx="53">
                  <c:v>40597</c:v>
                </c:pt>
                <c:pt idx="54">
                  <c:v>40598</c:v>
                </c:pt>
                <c:pt idx="55">
                  <c:v>40599</c:v>
                </c:pt>
                <c:pt idx="56">
                  <c:v>40600</c:v>
                </c:pt>
                <c:pt idx="57">
                  <c:v>40601</c:v>
                </c:pt>
                <c:pt idx="58">
                  <c:v>40602</c:v>
                </c:pt>
                <c:pt idx="59">
                  <c:v>40603</c:v>
                </c:pt>
                <c:pt idx="60">
                  <c:v>40604</c:v>
                </c:pt>
                <c:pt idx="61">
                  <c:v>40605</c:v>
                </c:pt>
                <c:pt idx="62">
                  <c:v>40606</c:v>
                </c:pt>
                <c:pt idx="63">
                  <c:v>40607</c:v>
                </c:pt>
                <c:pt idx="64">
                  <c:v>40608</c:v>
                </c:pt>
                <c:pt idx="65">
                  <c:v>40609</c:v>
                </c:pt>
              </c:numCache>
            </c:numRef>
          </c:cat>
          <c:val>
            <c:numRef>
              <c:f>Forecast_Table!$E$2:$E$67</c:f>
              <c:numCache>
                <c:formatCode>General</c:formatCode>
                <c:ptCount val="66"/>
                <c:pt idx="51" formatCode="0.00">
                  <c:v>1531.9279091179808</c:v>
                </c:pt>
                <c:pt idx="52" formatCode="0.00">
                  <c:v>1508.0761276036781</c:v>
                </c:pt>
                <c:pt idx="53" formatCode="0.00">
                  <c:v>1603.006591579265</c:v>
                </c:pt>
                <c:pt idx="54" formatCode="0.00">
                  <c:v>1710.7122315937927</c:v>
                </c:pt>
                <c:pt idx="55" formatCode="0.00">
                  <c:v>1715.3300515703202</c:v>
                </c:pt>
                <c:pt idx="56" formatCode="0.00">
                  <c:v>1320.9076451213289</c:v>
                </c:pt>
                <c:pt idx="57" formatCode="0.00">
                  <c:v>1370.1897957606702</c:v>
                </c:pt>
                <c:pt idx="58" formatCode="0.00">
                  <c:v>1574.7153020811959</c:v>
                </c:pt>
                <c:pt idx="59" formatCode="0.00">
                  <c:v>1550.8635205668918</c:v>
                </c:pt>
                <c:pt idx="60" formatCode="0.00">
                  <c:v>1645.7939845424787</c:v>
                </c:pt>
                <c:pt idx="61" formatCode="0.00">
                  <c:v>1753.4996245570064</c:v>
                </c:pt>
                <c:pt idx="62" formatCode="0.00">
                  <c:v>1758.1174445335337</c:v>
                </c:pt>
                <c:pt idx="63" formatCode="0.00">
                  <c:v>1363.6950380845428</c:v>
                </c:pt>
                <c:pt idx="64" formatCode="0.00">
                  <c:v>1412.9771887238837</c:v>
                </c:pt>
                <c:pt idx="65" formatCode="0.00">
                  <c:v>1617.5026950444096</c:v>
                </c:pt>
              </c:numCache>
            </c:numRef>
          </c:val>
          <c:smooth val="0"/>
          <c:extLst>
            <c:ext xmlns:c16="http://schemas.microsoft.com/office/drawing/2014/chart" uri="{C3380CC4-5D6E-409C-BE32-E72D297353CC}">
              <c16:uniqueId val="{00000003-4053-46C4-B13C-5C88ABA68B5E}"/>
            </c:ext>
          </c:extLst>
        </c:ser>
        <c:dLbls>
          <c:showLegendKey val="0"/>
          <c:showVal val="0"/>
          <c:showCatName val="0"/>
          <c:showSerName val="0"/>
          <c:showPercent val="0"/>
          <c:showBubbleSize val="0"/>
        </c:dLbls>
        <c:marker val="1"/>
        <c:smooth val="0"/>
        <c:axId val="601294320"/>
        <c:axId val="601294800"/>
      </c:lineChart>
      <c:catAx>
        <c:axId val="601294320"/>
        <c:scaling>
          <c:orientation val="minMax"/>
        </c:scaling>
        <c:delete val="0"/>
        <c:axPos val="b"/>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1294800"/>
        <c:crosses val="autoZero"/>
        <c:auto val="1"/>
        <c:lblAlgn val="ctr"/>
        <c:lblOffset val="100"/>
        <c:noMultiLvlLbl val="0"/>
      </c:catAx>
      <c:valAx>
        <c:axId val="6012948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129432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Anomaly!$M$8</c:f>
              <c:strCache>
                <c:ptCount val="1"/>
                <c:pt idx="0">
                  <c:v>Total Rentals</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numRef>
              <c:f>Anomaly!$J$9:$J$53</c:f>
              <c:numCache>
                <c:formatCode>[$-F800]dddd\,\ mmmm\ dd\,\ yyyy</c:formatCode>
                <c:ptCount val="45"/>
                <c:pt idx="0">
                  <c:v>40544</c:v>
                </c:pt>
                <c:pt idx="1">
                  <c:v>40545</c:v>
                </c:pt>
                <c:pt idx="2">
                  <c:v>40546</c:v>
                </c:pt>
                <c:pt idx="3">
                  <c:v>40547</c:v>
                </c:pt>
                <c:pt idx="4">
                  <c:v>40548</c:v>
                </c:pt>
                <c:pt idx="5">
                  <c:v>40549</c:v>
                </c:pt>
                <c:pt idx="6">
                  <c:v>40550</c:v>
                </c:pt>
                <c:pt idx="7">
                  <c:v>40551</c:v>
                </c:pt>
                <c:pt idx="8">
                  <c:v>40552</c:v>
                </c:pt>
                <c:pt idx="9">
                  <c:v>40553</c:v>
                </c:pt>
                <c:pt idx="10">
                  <c:v>40554</c:v>
                </c:pt>
                <c:pt idx="11">
                  <c:v>40555</c:v>
                </c:pt>
                <c:pt idx="12">
                  <c:v>40556</c:v>
                </c:pt>
                <c:pt idx="13">
                  <c:v>40557</c:v>
                </c:pt>
                <c:pt idx="14">
                  <c:v>40558</c:v>
                </c:pt>
                <c:pt idx="15">
                  <c:v>40559</c:v>
                </c:pt>
                <c:pt idx="16">
                  <c:v>40560</c:v>
                </c:pt>
                <c:pt idx="17">
                  <c:v>40561</c:v>
                </c:pt>
                <c:pt idx="18">
                  <c:v>40562</c:v>
                </c:pt>
                <c:pt idx="19">
                  <c:v>40563</c:v>
                </c:pt>
                <c:pt idx="20">
                  <c:v>40564</c:v>
                </c:pt>
                <c:pt idx="21">
                  <c:v>40565</c:v>
                </c:pt>
                <c:pt idx="22">
                  <c:v>40566</c:v>
                </c:pt>
                <c:pt idx="23">
                  <c:v>40567</c:v>
                </c:pt>
                <c:pt idx="24">
                  <c:v>40568</c:v>
                </c:pt>
                <c:pt idx="25">
                  <c:v>40569</c:v>
                </c:pt>
                <c:pt idx="26">
                  <c:v>40570</c:v>
                </c:pt>
                <c:pt idx="27">
                  <c:v>40571</c:v>
                </c:pt>
                <c:pt idx="28">
                  <c:v>40572</c:v>
                </c:pt>
                <c:pt idx="29">
                  <c:v>40573</c:v>
                </c:pt>
                <c:pt idx="30">
                  <c:v>40574</c:v>
                </c:pt>
                <c:pt idx="31">
                  <c:v>40575</c:v>
                </c:pt>
                <c:pt idx="32">
                  <c:v>40576</c:v>
                </c:pt>
                <c:pt idx="33">
                  <c:v>40577</c:v>
                </c:pt>
                <c:pt idx="34">
                  <c:v>40578</c:v>
                </c:pt>
                <c:pt idx="35">
                  <c:v>40579</c:v>
                </c:pt>
                <c:pt idx="36">
                  <c:v>40580</c:v>
                </c:pt>
                <c:pt idx="37">
                  <c:v>40581</c:v>
                </c:pt>
                <c:pt idx="38">
                  <c:v>40582</c:v>
                </c:pt>
                <c:pt idx="39">
                  <c:v>40583</c:v>
                </c:pt>
                <c:pt idx="40">
                  <c:v>40584</c:v>
                </c:pt>
                <c:pt idx="41">
                  <c:v>40585</c:v>
                </c:pt>
                <c:pt idx="42">
                  <c:v>40586</c:v>
                </c:pt>
                <c:pt idx="43">
                  <c:v>40587</c:v>
                </c:pt>
                <c:pt idx="44">
                  <c:v>40588</c:v>
                </c:pt>
              </c:numCache>
            </c:numRef>
          </c:cat>
          <c:val>
            <c:numRef>
              <c:f>Anomaly!$M$9:$M$53</c:f>
              <c:numCache>
                <c:formatCode>General</c:formatCode>
                <c:ptCount val="45"/>
                <c:pt idx="0">
                  <c:v>985</c:v>
                </c:pt>
                <c:pt idx="1">
                  <c:v>801</c:v>
                </c:pt>
                <c:pt idx="2">
                  <c:v>1349</c:v>
                </c:pt>
                <c:pt idx="3">
                  <c:v>1562</c:v>
                </c:pt>
                <c:pt idx="4">
                  <c:v>1600</c:v>
                </c:pt>
                <c:pt idx="5">
                  <c:v>1606</c:v>
                </c:pt>
                <c:pt idx="6">
                  <c:v>1510</c:v>
                </c:pt>
                <c:pt idx="7">
                  <c:v>959</c:v>
                </c:pt>
                <c:pt idx="8">
                  <c:v>822</c:v>
                </c:pt>
                <c:pt idx="9">
                  <c:v>1321</c:v>
                </c:pt>
                <c:pt idx="10">
                  <c:v>1263</c:v>
                </c:pt>
                <c:pt idx="11">
                  <c:v>1162</c:v>
                </c:pt>
                <c:pt idx="12">
                  <c:v>1406</c:v>
                </c:pt>
                <c:pt idx="13">
                  <c:v>1421</c:v>
                </c:pt>
                <c:pt idx="14">
                  <c:v>1248</c:v>
                </c:pt>
                <c:pt idx="15">
                  <c:v>1204</c:v>
                </c:pt>
                <c:pt idx="16">
                  <c:v>1000</c:v>
                </c:pt>
                <c:pt idx="17">
                  <c:v>683</c:v>
                </c:pt>
                <c:pt idx="18">
                  <c:v>1650</c:v>
                </c:pt>
                <c:pt idx="19">
                  <c:v>1927</c:v>
                </c:pt>
                <c:pt idx="20">
                  <c:v>1543</c:v>
                </c:pt>
                <c:pt idx="21">
                  <c:v>981</c:v>
                </c:pt>
                <c:pt idx="22">
                  <c:v>986</c:v>
                </c:pt>
                <c:pt idx="23">
                  <c:v>1416</c:v>
                </c:pt>
                <c:pt idx="24">
                  <c:v>1985</c:v>
                </c:pt>
                <c:pt idx="25">
                  <c:v>506</c:v>
                </c:pt>
                <c:pt idx="26">
                  <c:v>431</c:v>
                </c:pt>
                <c:pt idx="27">
                  <c:v>1167</c:v>
                </c:pt>
                <c:pt idx="28">
                  <c:v>1098</c:v>
                </c:pt>
                <c:pt idx="29">
                  <c:v>1096</c:v>
                </c:pt>
                <c:pt idx="30">
                  <c:v>1501</c:v>
                </c:pt>
                <c:pt idx="31">
                  <c:v>1360</c:v>
                </c:pt>
                <c:pt idx="32">
                  <c:v>1526</c:v>
                </c:pt>
                <c:pt idx="33">
                  <c:v>1550</c:v>
                </c:pt>
                <c:pt idx="34">
                  <c:v>1708</c:v>
                </c:pt>
                <c:pt idx="35">
                  <c:v>1005</c:v>
                </c:pt>
                <c:pt idx="36">
                  <c:v>1623</c:v>
                </c:pt>
                <c:pt idx="37">
                  <c:v>1712</c:v>
                </c:pt>
                <c:pt idx="38">
                  <c:v>1530</c:v>
                </c:pt>
                <c:pt idx="39">
                  <c:v>1605</c:v>
                </c:pt>
                <c:pt idx="40">
                  <c:v>1538</c:v>
                </c:pt>
                <c:pt idx="41">
                  <c:v>1746</c:v>
                </c:pt>
                <c:pt idx="42">
                  <c:v>1472</c:v>
                </c:pt>
                <c:pt idx="43">
                  <c:v>1589</c:v>
                </c:pt>
                <c:pt idx="44">
                  <c:v>151</c:v>
                </c:pt>
              </c:numCache>
            </c:numRef>
          </c:val>
          <c:smooth val="0"/>
          <c:extLst>
            <c:ext xmlns:c16="http://schemas.microsoft.com/office/drawing/2014/chart" uri="{C3380CC4-5D6E-409C-BE32-E72D297353CC}">
              <c16:uniqueId val="{00000000-FDD7-4786-A6E5-4CB02EF4DF96}"/>
            </c:ext>
          </c:extLst>
        </c:ser>
        <c:dLbls>
          <c:showLegendKey val="0"/>
          <c:showVal val="0"/>
          <c:showCatName val="0"/>
          <c:showSerName val="0"/>
          <c:showPercent val="0"/>
          <c:showBubbleSize val="0"/>
        </c:dLbls>
        <c:marker val="1"/>
        <c:smooth val="0"/>
        <c:axId val="302874367"/>
        <c:axId val="302880607"/>
      </c:lineChart>
      <c:dateAx>
        <c:axId val="302874367"/>
        <c:scaling>
          <c:orientation val="minMax"/>
        </c:scaling>
        <c:delete val="0"/>
        <c:axPos val="b"/>
        <c:numFmt formatCode="[$-F800]dddd\,\ mmmm\ dd\,\ yy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2880607"/>
        <c:crosses val="autoZero"/>
        <c:auto val="1"/>
        <c:lblOffset val="100"/>
        <c:baseTimeUnit val="days"/>
      </c:dateAx>
      <c:valAx>
        <c:axId val="30288060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287436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rgbClr val="FF0000">
            <a:tint val="66000"/>
            <a:satMod val="160000"/>
          </a:srgbClr>
        </a:gs>
        <a:gs pos="50000">
          <a:srgbClr val="FF0000">
            <a:tint val="44500"/>
            <a:satMod val="160000"/>
          </a:srgbClr>
        </a:gs>
        <a:gs pos="100000">
          <a:srgbClr val="FF0000">
            <a:tint val="23500"/>
            <a:satMod val="160000"/>
          </a:srgbClr>
        </a:gs>
      </a:gsLst>
      <a:lin ang="18900000" scaled="1"/>
      <a:tileRect/>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[Workbook.xlsx]Pivot_Analysis!PivotTable5</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200" b="0" i="0" u="none" strike="noStrike" baseline="0"/>
              <a:t>Working Day vs Non-Working Day</a:t>
            </a:r>
            <a:endParaRPr lang="en-IN" sz="1200"/>
          </a:p>
        </c:rich>
      </c:tx>
      <c:overlay val="0"/>
      <c:spPr>
        <a:solidFill>
          <a:schemeClr val="accent1">
            <a:lumMod val="60000"/>
            <a:lumOff val="40000"/>
          </a:schemeClr>
        </a:solidFill>
        <a:ln>
          <a:noFill/>
        </a:ln>
        <a:effectLst/>
      </c:spPr>
    </c:title>
    <c:autoTitleDeleted val="0"/>
    <c:pivotFmts>
      <c:pivotFmt>
        <c:idx val="0"/>
        <c:spPr>
          <a:solidFill>
            <a:schemeClr val="accent1"/>
          </a:solidFill>
          <a:ln>
            <a:noFill/>
          </a:ln>
          <a:effectLst/>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1"/>
          </a:solidFill>
          <a:ln>
            <a:noFill/>
          </a:ln>
          <a:effectLst/>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accent1"/>
          </a:solidFill>
          <a:ln>
            <a:noFill/>
          </a:ln>
          <a:effectLst/>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5"/>
        <c:spPr>
          <a:solidFill>
            <a:schemeClr val="accent1"/>
          </a:solidFill>
          <a:ln>
            <a:noFill/>
          </a:ln>
          <a:effectLst/>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6"/>
        <c:spPr>
          <a:solidFill>
            <a:schemeClr val="accent1"/>
          </a:solidFill>
          <a:ln>
            <a:noFill/>
          </a:ln>
          <a:effectLst/>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7"/>
        <c:spPr>
          <a:solidFill>
            <a:schemeClr val="accent1"/>
          </a:solidFill>
          <a:ln>
            <a:noFill/>
          </a:ln>
          <a:effectLst/>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8"/>
        <c:spPr>
          <a:solidFill>
            <a:schemeClr val="accent1"/>
          </a:solidFill>
          <a:ln>
            <a:noFill/>
          </a:ln>
          <a:effectLst/>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9"/>
        <c:spPr>
          <a:solidFill>
            <a:schemeClr val="accent1"/>
          </a:solidFill>
          <a:ln>
            <a:noFill/>
          </a:ln>
          <a:effectLst/>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0"/>
        <c:spPr>
          <a:solidFill>
            <a:schemeClr val="accent1"/>
          </a:solidFill>
          <a:ln>
            <a:noFill/>
          </a:ln>
          <a:effectLst/>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1"/>
        <c:spPr>
          <a:solidFill>
            <a:schemeClr val="accent1"/>
          </a:solidFill>
          <a:ln>
            <a:noFill/>
          </a:ln>
          <a:effectLst/>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2"/>
        <c:spPr>
          <a:solidFill>
            <a:schemeClr val="accent1"/>
          </a:solidFill>
          <a:ln>
            <a:noFill/>
          </a:ln>
          <a:effectLst/>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3"/>
        <c:spPr>
          <a:solidFill>
            <a:schemeClr val="accent1"/>
          </a:solidFill>
          <a:ln>
            <a:noFill/>
          </a:ln>
          <a:effectLst/>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4"/>
        <c:spPr>
          <a:solidFill>
            <a:schemeClr val="accent1"/>
          </a:solidFill>
          <a:ln>
            <a:noFill/>
          </a:ln>
          <a:effectLst/>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5"/>
        <c:spPr>
          <a:solidFill>
            <a:schemeClr val="accent1"/>
          </a:solidFill>
          <a:ln>
            <a:noFill/>
          </a:ln>
          <a:effectLst/>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6"/>
        <c:spPr>
          <a:solidFill>
            <a:schemeClr val="accent1"/>
          </a:solidFill>
          <a:ln>
            <a:noFill/>
          </a:ln>
          <a:effectLst/>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7"/>
        <c:spPr>
          <a:solidFill>
            <a:schemeClr val="accent1"/>
          </a:solidFill>
          <a:ln>
            <a:noFill/>
          </a:ln>
          <a:effectLst/>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8"/>
        <c:spPr>
          <a:solidFill>
            <a:schemeClr val="accent1"/>
          </a:solidFill>
          <a:ln>
            <a:noFill/>
          </a:ln>
          <a:effectLst/>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9"/>
        <c:spPr>
          <a:solidFill>
            <a:schemeClr val="accent1"/>
          </a:solidFill>
          <a:ln>
            <a:noFill/>
          </a:ln>
          <a:effectLst/>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0"/>
        <c:spPr>
          <a:solidFill>
            <a:schemeClr val="accent1"/>
          </a:solidFill>
          <a:ln>
            <a:noFill/>
          </a:ln>
          <a:effectLst/>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1"/>
        <c:spPr>
          <a:solidFill>
            <a:schemeClr val="accent1"/>
          </a:solidFill>
          <a:ln>
            <a:noFill/>
          </a:ln>
          <a:effectLst/>
          <a:sp3d/>
        </c:spPr>
        <c:marker>
          <c:symbol val="none"/>
        </c:marker>
        <c:dLbl>
          <c:idx val="0"/>
          <c:delete val="1"/>
          <c:extLst>
            <c:ext xmlns:c15="http://schemas.microsoft.com/office/drawing/2012/chart" uri="{CE6537A1-D6FC-4f65-9D91-7224C49458BB}"/>
          </c:extLst>
        </c:dLbl>
      </c:pivotFmt>
      <c:pivotFmt>
        <c:idx val="22"/>
        <c:spPr>
          <a:solidFill>
            <a:schemeClr val="accent2"/>
          </a:solidFill>
          <a:ln>
            <a:noFill/>
          </a:ln>
          <a:effectLst/>
          <a:sp3d/>
        </c:spPr>
        <c:marker>
          <c:symbol val="none"/>
        </c:marker>
        <c:dLbl>
          <c:idx val="0"/>
          <c:delete val="1"/>
          <c:extLst>
            <c:ext xmlns:c15="http://schemas.microsoft.com/office/drawing/2012/chart" uri="{CE6537A1-D6FC-4f65-9D91-7224C49458BB}"/>
          </c:extLst>
        </c:dLbl>
      </c:pivotFmt>
      <c:pivotFmt>
        <c:idx val="23"/>
        <c:spPr>
          <a:solidFill>
            <a:schemeClr val="accent3"/>
          </a:solidFill>
          <a:ln>
            <a:noFill/>
          </a:ln>
          <a:effectLst/>
          <a:sp3d/>
        </c:spPr>
        <c:marker>
          <c:symbol val="none"/>
        </c:marker>
        <c:dLbl>
          <c:idx val="0"/>
          <c:delete val="1"/>
          <c:extLst>
            <c:ext xmlns:c15="http://schemas.microsoft.com/office/drawing/2012/chart" uri="{CE6537A1-D6FC-4f65-9D91-7224C49458BB}"/>
          </c:extLst>
        </c:dLbl>
      </c:pivotFmt>
    </c:pivotFmts>
    <c:plotArea>
      <c:layout>
        <c:manualLayout>
          <c:layoutTarget val="inner"/>
          <c:xMode val="edge"/>
          <c:yMode val="edge"/>
          <c:x val="7.361049290961863E-2"/>
          <c:y val="0.14858676697999984"/>
          <c:w val="0.89443692049456303"/>
          <c:h val="0.74012700621894612"/>
        </c:manualLayout>
      </c:layout>
      <c:barChart>
        <c:barDir val="col"/>
        <c:grouping val="clustered"/>
        <c:varyColors val="0"/>
        <c:ser>
          <c:idx val="0"/>
          <c:order val="0"/>
          <c:tx>
            <c:strRef>
              <c:f>Pivot_Analysis!$D$54</c:f>
              <c:strCache>
                <c:ptCount val="1"/>
                <c:pt idx="0">
                  <c:v>Average of Casual_Rentals</c:v>
                </c:pt>
              </c:strCache>
            </c:strRef>
          </c:tx>
          <c:spPr>
            <a:solidFill>
              <a:schemeClr val="accent1"/>
            </a:solidFill>
            <a:ln>
              <a:noFill/>
            </a:ln>
            <a:effectLst/>
            <a:sp3d/>
          </c:spPr>
          <c:invertIfNegative val="0"/>
          <c:cat>
            <c:strRef>
              <c:f>Pivot_Analysis!$C$55:$C$57</c:f>
              <c:strCache>
                <c:ptCount val="2"/>
                <c:pt idx="0">
                  <c:v>Non-Working Day</c:v>
                </c:pt>
                <c:pt idx="1">
                  <c:v>Working Day</c:v>
                </c:pt>
              </c:strCache>
            </c:strRef>
          </c:cat>
          <c:val>
            <c:numRef>
              <c:f>Pivot_Analysis!$D$55:$D$57</c:f>
              <c:numCache>
                <c:formatCode>General</c:formatCode>
                <c:ptCount val="2"/>
                <c:pt idx="0">
                  <c:v>7.963276836158192</c:v>
                </c:pt>
                <c:pt idx="1">
                  <c:v>3.2538699690402475</c:v>
                </c:pt>
              </c:numCache>
            </c:numRef>
          </c:val>
          <c:extLst>
            <c:ext xmlns:c16="http://schemas.microsoft.com/office/drawing/2014/chart" uri="{C3380CC4-5D6E-409C-BE32-E72D297353CC}">
              <c16:uniqueId val="{00000004-6C93-46DE-8EF6-802AD0A87C51}"/>
            </c:ext>
          </c:extLst>
        </c:ser>
        <c:ser>
          <c:idx val="1"/>
          <c:order val="1"/>
          <c:tx>
            <c:strRef>
              <c:f>Pivot_Analysis!$E$54</c:f>
              <c:strCache>
                <c:ptCount val="1"/>
                <c:pt idx="0">
                  <c:v>Average of Registered_Rentals</c:v>
                </c:pt>
              </c:strCache>
            </c:strRef>
          </c:tx>
          <c:spPr>
            <a:solidFill>
              <a:schemeClr val="accent2"/>
            </a:solidFill>
            <a:ln>
              <a:noFill/>
            </a:ln>
            <a:effectLst/>
            <a:sp3d/>
          </c:spPr>
          <c:invertIfNegative val="0"/>
          <c:cat>
            <c:strRef>
              <c:f>Pivot_Analysis!$C$55:$C$57</c:f>
              <c:strCache>
                <c:ptCount val="2"/>
                <c:pt idx="0">
                  <c:v>Non-Working Day</c:v>
                </c:pt>
                <c:pt idx="1">
                  <c:v>Working Day</c:v>
                </c:pt>
              </c:strCache>
            </c:strRef>
          </c:cat>
          <c:val>
            <c:numRef>
              <c:f>Pivot_Analysis!$E$55:$E$57</c:f>
              <c:numCache>
                <c:formatCode>General</c:formatCode>
                <c:ptCount val="2"/>
                <c:pt idx="0">
                  <c:v>39.689265536723163</c:v>
                </c:pt>
                <c:pt idx="1">
                  <c:v>60.88699690402477</c:v>
                </c:pt>
              </c:numCache>
            </c:numRef>
          </c:val>
          <c:extLst>
            <c:ext xmlns:c16="http://schemas.microsoft.com/office/drawing/2014/chart" uri="{C3380CC4-5D6E-409C-BE32-E72D297353CC}">
              <c16:uniqueId val="{00000006-6C93-46DE-8EF6-802AD0A87C51}"/>
            </c:ext>
          </c:extLst>
        </c:ser>
        <c:ser>
          <c:idx val="2"/>
          <c:order val="2"/>
          <c:tx>
            <c:strRef>
              <c:f>Pivot_Analysis!$F$54</c:f>
              <c:strCache>
                <c:ptCount val="1"/>
                <c:pt idx="0">
                  <c:v>Average of Total_Rentals</c:v>
                </c:pt>
              </c:strCache>
            </c:strRef>
          </c:tx>
          <c:spPr>
            <a:solidFill>
              <a:schemeClr val="accent3"/>
            </a:solidFill>
            <a:ln>
              <a:noFill/>
            </a:ln>
            <a:effectLst/>
            <a:sp3d/>
          </c:spPr>
          <c:invertIfNegative val="0"/>
          <c:cat>
            <c:strRef>
              <c:f>Pivot_Analysis!$C$55:$C$57</c:f>
              <c:strCache>
                <c:ptCount val="2"/>
                <c:pt idx="0">
                  <c:v>Non-Working Day</c:v>
                </c:pt>
                <c:pt idx="1">
                  <c:v>Working Day</c:v>
                </c:pt>
              </c:strCache>
            </c:strRef>
          </c:cat>
          <c:val>
            <c:numRef>
              <c:f>Pivot_Analysis!$F$55:$F$57</c:f>
              <c:numCache>
                <c:formatCode>General</c:formatCode>
                <c:ptCount val="2"/>
                <c:pt idx="0">
                  <c:v>47.652542372881356</c:v>
                </c:pt>
                <c:pt idx="1">
                  <c:v>64.140866873065022</c:v>
                </c:pt>
              </c:numCache>
            </c:numRef>
          </c:val>
          <c:extLst>
            <c:ext xmlns:c16="http://schemas.microsoft.com/office/drawing/2014/chart" uri="{C3380CC4-5D6E-409C-BE32-E72D297353CC}">
              <c16:uniqueId val="{00000008-6C93-46DE-8EF6-802AD0A87C51}"/>
            </c:ext>
          </c:extLst>
        </c:ser>
        <c:dLbls>
          <c:showLegendKey val="0"/>
          <c:showVal val="0"/>
          <c:showCatName val="0"/>
          <c:showSerName val="0"/>
          <c:showPercent val="0"/>
          <c:showBubbleSize val="0"/>
        </c:dLbls>
        <c:gapWidth val="150"/>
        <c:axId val="1915399456"/>
        <c:axId val="1915405696"/>
      </c:barChart>
      <c:catAx>
        <c:axId val="191539945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5405696"/>
        <c:crosses val="autoZero"/>
        <c:auto val="1"/>
        <c:lblAlgn val="ctr"/>
        <c:lblOffset val="100"/>
        <c:noMultiLvlLbl val="0"/>
      </c:catAx>
      <c:valAx>
        <c:axId val="19154056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5399456"/>
        <c:crosses val="autoZero"/>
        <c:crossBetween val="between"/>
      </c:valAx>
      <c:spPr>
        <a:noFill/>
        <a:ln>
          <a:noFill/>
        </a:ln>
        <a:effectLst/>
        <a:sp3d/>
      </c:spPr>
    </c:plotArea>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[Workbook.xlsx]Pivot_Analysis!PivotTable8</c:name>
    <c:fmtId val="2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200" b="0" i="0" u="none" strike="noStrike" baseline="0"/>
              <a:t>Demand by Weather</a:t>
            </a:r>
            <a:endParaRPr lang="en-IN" sz="1200"/>
          </a:p>
        </c:rich>
      </c:tx>
      <c:overlay val="0"/>
      <c:spPr>
        <a:solidFill>
          <a:schemeClr val="accent1">
            <a:lumMod val="60000"/>
            <a:lumOff val="40000"/>
          </a:schemeClr>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1"/>
          </a:solidFill>
          <a:ln>
            <a:noFill/>
          </a:ln>
          <a:effectLst/>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accent1"/>
          </a:solidFill>
          <a:ln>
            <a:noFill/>
          </a:ln>
          <a:effectLst/>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5"/>
        <c:spPr>
          <a:solidFill>
            <a:schemeClr val="accent1"/>
          </a:solidFill>
          <a:ln>
            <a:noFill/>
          </a:ln>
          <a:effectLst/>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6"/>
        <c:spPr>
          <a:solidFill>
            <a:schemeClr val="accent1"/>
          </a:solidFill>
          <a:ln>
            <a:noFill/>
          </a:ln>
          <a:effectLst/>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7"/>
        <c:spPr>
          <a:solidFill>
            <a:schemeClr val="accent1"/>
          </a:solidFill>
          <a:ln>
            <a:noFill/>
          </a:ln>
          <a:effectLst/>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8"/>
        <c:spPr>
          <a:solidFill>
            <a:schemeClr val="accent1"/>
          </a:solidFill>
          <a:ln>
            <a:noFill/>
          </a:ln>
          <a:effectLst/>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9"/>
        <c:spPr>
          <a:solidFill>
            <a:schemeClr val="accent1"/>
          </a:solidFill>
          <a:ln>
            <a:noFill/>
          </a:ln>
          <a:effectLst/>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0"/>
        <c:spPr>
          <a:solidFill>
            <a:schemeClr val="accent1"/>
          </a:solidFill>
          <a:ln>
            <a:noFill/>
          </a:ln>
          <a:effectLst/>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1"/>
        <c:spPr>
          <a:solidFill>
            <a:schemeClr val="accent1"/>
          </a:solidFill>
          <a:ln>
            <a:noFill/>
          </a:ln>
          <a:effectLst/>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5788678419105517E-2"/>
          <c:y val="0.1508337804996662"/>
          <c:w val="0.93358790047409612"/>
          <c:h val="0.74392686365804772"/>
        </c:manualLayout>
      </c:layout>
      <c:barChart>
        <c:barDir val="col"/>
        <c:grouping val="clustered"/>
        <c:varyColors val="0"/>
        <c:ser>
          <c:idx val="0"/>
          <c:order val="0"/>
          <c:tx>
            <c:strRef>
              <c:f>Pivot_Analysis!$D$39</c:f>
              <c:strCache>
                <c:ptCount val="1"/>
                <c:pt idx="0">
                  <c:v>Average of Casual_Rentals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Pivot_Analysis!$C$40:$C$44</c:f>
              <c:strCache>
                <c:ptCount val="4"/>
                <c:pt idx="0">
                  <c:v>Clear</c:v>
                </c:pt>
                <c:pt idx="1">
                  <c:v>Cloudy</c:v>
                </c:pt>
                <c:pt idx="2">
                  <c:v>Light Rain</c:v>
                </c:pt>
                <c:pt idx="3">
                  <c:v>Heavy Rain</c:v>
                </c:pt>
              </c:strCache>
            </c:strRef>
          </c:cat>
          <c:val>
            <c:numRef>
              <c:f>Pivot_Analysis!$D$40:$D$44</c:f>
              <c:numCache>
                <c:formatCode>General</c:formatCode>
                <c:ptCount val="4"/>
                <c:pt idx="0">
                  <c:v>5.2986798679867988</c:v>
                </c:pt>
                <c:pt idx="1">
                  <c:v>4.9773462783171523</c:v>
                </c:pt>
                <c:pt idx="2">
                  <c:v>2.0357142857142856</c:v>
                </c:pt>
                <c:pt idx="3">
                  <c:v>1</c:v>
                </c:pt>
              </c:numCache>
            </c:numRef>
          </c:val>
          <c:extLst>
            <c:ext xmlns:c16="http://schemas.microsoft.com/office/drawing/2014/chart" uri="{C3380CC4-5D6E-409C-BE32-E72D297353CC}">
              <c16:uniqueId val="{00000000-F08C-4A03-BFB9-93D2C1318B11}"/>
            </c:ext>
          </c:extLst>
        </c:ser>
        <c:ser>
          <c:idx val="1"/>
          <c:order val="1"/>
          <c:tx>
            <c:strRef>
              <c:f>Pivot_Analysis!$E$39</c:f>
              <c:strCache>
                <c:ptCount val="1"/>
                <c:pt idx="0">
                  <c:v>Average of Registered_Rentals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Pivot_Analysis!$C$40:$C$44</c:f>
              <c:strCache>
                <c:ptCount val="4"/>
                <c:pt idx="0">
                  <c:v>Clear</c:v>
                </c:pt>
                <c:pt idx="1">
                  <c:v>Cloudy</c:v>
                </c:pt>
                <c:pt idx="2">
                  <c:v>Light Rain</c:v>
                </c:pt>
                <c:pt idx="3">
                  <c:v>Heavy Rain</c:v>
                </c:pt>
              </c:strCache>
            </c:strRef>
          </c:cat>
          <c:val>
            <c:numRef>
              <c:f>Pivot_Analysis!$E$40:$E$44</c:f>
              <c:numCache>
                <c:formatCode>General</c:formatCode>
                <c:ptCount val="4"/>
                <c:pt idx="0">
                  <c:v>56.372937293729372</c:v>
                </c:pt>
                <c:pt idx="1">
                  <c:v>53.618122977346282</c:v>
                </c:pt>
                <c:pt idx="2">
                  <c:v>31.166666666666668</c:v>
                </c:pt>
                <c:pt idx="3">
                  <c:v>35</c:v>
                </c:pt>
              </c:numCache>
            </c:numRef>
          </c:val>
          <c:extLst>
            <c:ext xmlns:c16="http://schemas.microsoft.com/office/drawing/2014/chart" uri="{C3380CC4-5D6E-409C-BE32-E72D297353CC}">
              <c16:uniqueId val="{00000001-F08C-4A03-BFB9-93D2C1318B11}"/>
            </c:ext>
          </c:extLst>
        </c:ser>
        <c:ser>
          <c:idx val="2"/>
          <c:order val="2"/>
          <c:tx>
            <c:strRef>
              <c:f>Pivot_Analysis!$F$39</c:f>
              <c:strCache>
                <c:ptCount val="1"/>
                <c:pt idx="0">
                  <c:v>Average of Total_Rentals</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Pivot_Analysis!$C$40:$C$44</c:f>
              <c:strCache>
                <c:ptCount val="4"/>
                <c:pt idx="0">
                  <c:v>Clear</c:v>
                </c:pt>
                <c:pt idx="1">
                  <c:v>Cloudy</c:v>
                </c:pt>
                <c:pt idx="2">
                  <c:v>Light Rain</c:v>
                </c:pt>
                <c:pt idx="3">
                  <c:v>Heavy Rain</c:v>
                </c:pt>
              </c:strCache>
            </c:strRef>
          </c:cat>
          <c:val>
            <c:numRef>
              <c:f>Pivot_Analysis!$F$40:$F$44</c:f>
              <c:numCache>
                <c:formatCode>General</c:formatCode>
                <c:ptCount val="4"/>
                <c:pt idx="0">
                  <c:v>61.671617161716171</c:v>
                </c:pt>
                <c:pt idx="1">
                  <c:v>58.595469255663431</c:v>
                </c:pt>
                <c:pt idx="2">
                  <c:v>33.202380952380949</c:v>
                </c:pt>
                <c:pt idx="3">
                  <c:v>36</c:v>
                </c:pt>
              </c:numCache>
            </c:numRef>
          </c:val>
          <c:extLst>
            <c:ext xmlns:c16="http://schemas.microsoft.com/office/drawing/2014/chart" uri="{C3380CC4-5D6E-409C-BE32-E72D297353CC}">
              <c16:uniqueId val="{00000002-F08C-4A03-BFB9-93D2C1318B11}"/>
            </c:ext>
          </c:extLst>
        </c:ser>
        <c:dLbls>
          <c:dLblPos val="outEnd"/>
          <c:showLegendKey val="0"/>
          <c:showVal val="1"/>
          <c:showCatName val="0"/>
          <c:showSerName val="0"/>
          <c:showPercent val="0"/>
          <c:showBubbleSize val="0"/>
        </c:dLbls>
        <c:gapWidth val="150"/>
        <c:axId val="369156512"/>
        <c:axId val="369141152"/>
      </c:barChart>
      <c:catAx>
        <c:axId val="36915651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9141152"/>
        <c:crosses val="autoZero"/>
        <c:auto val="1"/>
        <c:lblAlgn val="ctr"/>
        <c:lblOffset val="100"/>
        <c:noMultiLvlLbl val="0"/>
      </c:catAx>
      <c:valAx>
        <c:axId val="3691411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915651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Forecast_Table!$B$1</c:f>
              <c:strCache>
                <c:ptCount val="1"/>
                <c:pt idx="0">
                  <c:v>Forecast 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val>
            <c:numRef>
              <c:f>Forecast_Table!$B$2:$B$67</c:f>
              <c:numCache>
                <c:formatCode>General</c:formatCode>
                <c:ptCount val="66"/>
                <c:pt idx="0">
                  <c:v>978.608501415619</c:v>
                </c:pt>
                <c:pt idx="1">
                  <c:v>1027.8906520549583</c:v>
                </c:pt>
                <c:pt idx="2">
                  <c:v>1232.4161583754856</c:v>
                </c:pt>
                <c:pt idx="3">
                  <c:v>1208.5643768611815</c:v>
                </c:pt>
                <c:pt idx="4">
                  <c:v>1303.4948408367686</c:v>
                </c:pt>
                <c:pt idx="5">
                  <c:v>1411.2004808512963</c:v>
                </c:pt>
                <c:pt idx="6">
                  <c:v>1415.8183008278236</c:v>
                </c:pt>
                <c:pt idx="7">
                  <c:v>1021.3958943788325</c:v>
                </c:pt>
                <c:pt idx="8">
                  <c:v>1070.678045018172</c:v>
                </c:pt>
                <c:pt idx="9">
                  <c:v>1275.2035513386993</c:v>
                </c:pt>
                <c:pt idx="10">
                  <c:v>1251.3517698243952</c:v>
                </c:pt>
                <c:pt idx="11">
                  <c:v>1346.2822337999821</c:v>
                </c:pt>
                <c:pt idx="12">
                  <c:v>1453.9878738145098</c:v>
                </c:pt>
                <c:pt idx="13">
                  <c:v>1458.6056937910371</c:v>
                </c:pt>
                <c:pt idx="14">
                  <c:v>1064.183287342046</c:v>
                </c:pt>
                <c:pt idx="15">
                  <c:v>1113.4654379813901</c:v>
                </c:pt>
                <c:pt idx="16">
                  <c:v>1317.9909443019128</c:v>
                </c:pt>
                <c:pt idx="17">
                  <c:v>1294.1391627876087</c:v>
                </c:pt>
                <c:pt idx="18">
                  <c:v>1389.0696267631956</c:v>
                </c:pt>
                <c:pt idx="19">
                  <c:v>1496.7752667777236</c:v>
                </c:pt>
                <c:pt idx="20">
                  <c:v>1501.3930867542508</c:v>
                </c:pt>
                <c:pt idx="21">
                  <c:v>1106.9706803052597</c:v>
                </c:pt>
                <c:pt idx="22">
                  <c:v>1156.2528309445991</c:v>
                </c:pt>
                <c:pt idx="23">
                  <c:v>1360.7783372651263</c:v>
                </c:pt>
                <c:pt idx="24">
                  <c:v>1336.9265557508222</c:v>
                </c:pt>
                <c:pt idx="25">
                  <c:v>1431.8570197264094</c:v>
                </c:pt>
                <c:pt idx="26">
                  <c:v>1539.5626597409371</c:v>
                </c:pt>
                <c:pt idx="27">
                  <c:v>1544.1804797174643</c:v>
                </c:pt>
                <c:pt idx="28">
                  <c:v>1149.7580732684733</c:v>
                </c:pt>
                <c:pt idx="29">
                  <c:v>1199.0402239078126</c:v>
                </c:pt>
                <c:pt idx="30">
                  <c:v>1403.56573022834</c:v>
                </c:pt>
                <c:pt idx="31">
                  <c:v>1379.713948714036</c:v>
                </c:pt>
                <c:pt idx="32">
                  <c:v>1474.6444126896229</c:v>
                </c:pt>
                <c:pt idx="33">
                  <c:v>1582.3500527041506</c:v>
                </c:pt>
                <c:pt idx="34">
                  <c:v>1586.9678726806778</c:v>
                </c:pt>
                <c:pt idx="35">
                  <c:v>1192.5454662316868</c:v>
                </c:pt>
                <c:pt idx="36">
                  <c:v>1241.8276168710263</c:v>
                </c:pt>
                <c:pt idx="37">
                  <c:v>1446.3531231915535</c:v>
                </c:pt>
                <c:pt idx="38">
                  <c:v>1422.5013416772495</c:v>
                </c:pt>
                <c:pt idx="39">
                  <c:v>1517.4318056528364</c:v>
                </c:pt>
                <c:pt idx="40">
                  <c:v>1625.1374456673641</c:v>
                </c:pt>
                <c:pt idx="41">
                  <c:v>1629.7552656438916</c:v>
                </c:pt>
                <c:pt idx="42">
                  <c:v>1235.3328591949005</c:v>
                </c:pt>
                <c:pt idx="43">
                  <c:v>1284.6150098342398</c:v>
                </c:pt>
                <c:pt idx="44">
                  <c:v>1489.1405161547671</c:v>
                </c:pt>
                <c:pt idx="45">
                  <c:v>1465.288734640463</c:v>
                </c:pt>
                <c:pt idx="46">
                  <c:v>1560.2191986160501</c:v>
                </c:pt>
                <c:pt idx="47">
                  <c:v>1667.9248386305778</c:v>
                </c:pt>
                <c:pt idx="48">
                  <c:v>1672.5426586071051</c:v>
                </c:pt>
                <c:pt idx="49">
                  <c:v>1278.120252158114</c:v>
                </c:pt>
                <c:pt idx="50">
                  <c:v>1327.4024027974533</c:v>
                </c:pt>
                <c:pt idx="51">
                  <c:v>1531.9279091179808</c:v>
                </c:pt>
              </c:numCache>
            </c:numRef>
          </c:val>
          <c:smooth val="0"/>
          <c:extLst>
            <c:ext xmlns:c16="http://schemas.microsoft.com/office/drawing/2014/chart" uri="{C3380CC4-5D6E-409C-BE32-E72D297353CC}">
              <c16:uniqueId val="{00000000-B472-4AF6-866E-6D2A9AE0D86D}"/>
            </c:ext>
          </c:extLst>
        </c:ser>
        <c:ser>
          <c:idx val="1"/>
          <c:order val="1"/>
          <c:tx>
            <c:strRef>
              <c:f>Forecast_Table!$C$1</c:f>
              <c:strCache>
                <c:ptCount val="1"/>
                <c:pt idx="0">
                  <c:v>Forecast(Forecast Total)</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numRef>
              <c:f>Forecast_Table!$A$2:$A$67</c:f>
              <c:numCache>
                <c:formatCode>[$-F800]dddd\,\ mmmm\ dd\,\ yyyy</c:formatCode>
                <c:ptCount val="66"/>
                <c:pt idx="0">
                  <c:v>40544</c:v>
                </c:pt>
                <c:pt idx="1">
                  <c:v>40545</c:v>
                </c:pt>
                <c:pt idx="2">
                  <c:v>40546</c:v>
                </c:pt>
                <c:pt idx="3">
                  <c:v>40547</c:v>
                </c:pt>
                <c:pt idx="4">
                  <c:v>40548</c:v>
                </c:pt>
                <c:pt idx="5">
                  <c:v>40549</c:v>
                </c:pt>
                <c:pt idx="6">
                  <c:v>40550</c:v>
                </c:pt>
                <c:pt idx="7">
                  <c:v>40551</c:v>
                </c:pt>
                <c:pt idx="8">
                  <c:v>40552</c:v>
                </c:pt>
                <c:pt idx="9">
                  <c:v>40553</c:v>
                </c:pt>
                <c:pt idx="10">
                  <c:v>40554</c:v>
                </c:pt>
                <c:pt idx="11">
                  <c:v>40555</c:v>
                </c:pt>
                <c:pt idx="12">
                  <c:v>40556</c:v>
                </c:pt>
                <c:pt idx="13">
                  <c:v>40557</c:v>
                </c:pt>
                <c:pt idx="14">
                  <c:v>40558</c:v>
                </c:pt>
                <c:pt idx="15">
                  <c:v>40559</c:v>
                </c:pt>
                <c:pt idx="16">
                  <c:v>40560</c:v>
                </c:pt>
                <c:pt idx="17">
                  <c:v>40561</c:v>
                </c:pt>
                <c:pt idx="18">
                  <c:v>40562</c:v>
                </c:pt>
                <c:pt idx="19">
                  <c:v>40563</c:v>
                </c:pt>
                <c:pt idx="20">
                  <c:v>40564</c:v>
                </c:pt>
                <c:pt idx="21">
                  <c:v>40565</c:v>
                </c:pt>
                <c:pt idx="22">
                  <c:v>40566</c:v>
                </c:pt>
                <c:pt idx="23">
                  <c:v>40567</c:v>
                </c:pt>
                <c:pt idx="24">
                  <c:v>40568</c:v>
                </c:pt>
                <c:pt idx="25">
                  <c:v>40569</c:v>
                </c:pt>
                <c:pt idx="26">
                  <c:v>40570</c:v>
                </c:pt>
                <c:pt idx="27">
                  <c:v>40571</c:v>
                </c:pt>
                <c:pt idx="28">
                  <c:v>40572</c:v>
                </c:pt>
                <c:pt idx="29">
                  <c:v>40573</c:v>
                </c:pt>
                <c:pt idx="30">
                  <c:v>40574</c:v>
                </c:pt>
                <c:pt idx="31">
                  <c:v>40575</c:v>
                </c:pt>
                <c:pt idx="32">
                  <c:v>40576</c:v>
                </c:pt>
                <c:pt idx="33">
                  <c:v>40577</c:v>
                </c:pt>
                <c:pt idx="34">
                  <c:v>40578</c:v>
                </c:pt>
                <c:pt idx="35">
                  <c:v>40579</c:v>
                </c:pt>
                <c:pt idx="36">
                  <c:v>40580</c:v>
                </c:pt>
                <c:pt idx="37">
                  <c:v>40581</c:v>
                </c:pt>
                <c:pt idx="38">
                  <c:v>40582</c:v>
                </c:pt>
                <c:pt idx="39">
                  <c:v>40583</c:v>
                </c:pt>
                <c:pt idx="40">
                  <c:v>40584</c:v>
                </c:pt>
                <c:pt idx="41">
                  <c:v>40585</c:v>
                </c:pt>
                <c:pt idx="42">
                  <c:v>40586</c:v>
                </c:pt>
                <c:pt idx="43">
                  <c:v>40587</c:v>
                </c:pt>
                <c:pt idx="44">
                  <c:v>40588</c:v>
                </c:pt>
                <c:pt idx="45">
                  <c:v>40589</c:v>
                </c:pt>
                <c:pt idx="46">
                  <c:v>40590</c:v>
                </c:pt>
                <c:pt idx="47">
                  <c:v>40591</c:v>
                </c:pt>
                <c:pt idx="48">
                  <c:v>40592</c:v>
                </c:pt>
                <c:pt idx="49">
                  <c:v>40593</c:v>
                </c:pt>
                <c:pt idx="50">
                  <c:v>40594</c:v>
                </c:pt>
                <c:pt idx="51">
                  <c:v>40595</c:v>
                </c:pt>
                <c:pt idx="52">
                  <c:v>40596</c:v>
                </c:pt>
                <c:pt idx="53">
                  <c:v>40597</c:v>
                </c:pt>
                <c:pt idx="54">
                  <c:v>40598</c:v>
                </c:pt>
                <c:pt idx="55">
                  <c:v>40599</c:v>
                </c:pt>
                <c:pt idx="56">
                  <c:v>40600</c:v>
                </c:pt>
                <c:pt idx="57">
                  <c:v>40601</c:v>
                </c:pt>
                <c:pt idx="58">
                  <c:v>40602</c:v>
                </c:pt>
                <c:pt idx="59">
                  <c:v>40603</c:v>
                </c:pt>
                <c:pt idx="60">
                  <c:v>40604</c:v>
                </c:pt>
                <c:pt idx="61">
                  <c:v>40605</c:v>
                </c:pt>
                <c:pt idx="62">
                  <c:v>40606</c:v>
                </c:pt>
                <c:pt idx="63">
                  <c:v>40607</c:v>
                </c:pt>
                <c:pt idx="64">
                  <c:v>40608</c:v>
                </c:pt>
                <c:pt idx="65">
                  <c:v>40609</c:v>
                </c:pt>
              </c:numCache>
            </c:numRef>
          </c:cat>
          <c:val>
            <c:numRef>
              <c:f>Forecast_Table!$C$2:$C$67</c:f>
              <c:numCache>
                <c:formatCode>General</c:formatCode>
                <c:ptCount val="66"/>
                <c:pt idx="51">
                  <c:v>1531.9279091179806</c:v>
                </c:pt>
                <c:pt idx="52">
                  <c:v>1508.0761276036765</c:v>
                </c:pt>
                <c:pt idx="53">
                  <c:v>1603.0065915792634</c:v>
                </c:pt>
                <c:pt idx="54">
                  <c:v>1710.7122315937911</c:v>
                </c:pt>
                <c:pt idx="55">
                  <c:v>1715.3300515703186</c:v>
                </c:pt>
                <c:pt idx="56">
                  <c:v>1320.9076451213273</c:v>
                </c:pt>
                <c:pt idx="57">
                  <c:v>1370.1897957606684</c:v>
                </c:pt>
                <c:pt idx="58">
                  <c:v>1574.7153020811941</c:v>
                </c:pt>
                <c:pt idx="59">
                  <c:v>1550.86352056689</c:v>
                </c:pt>
                <c:pt idx="60">
                  <c:v>1645.7939845424769</c:v>
                </c:pt>
                <c:pt idx="61">
                  <c:v>1753.4996245570046</c:v>
                </c:pt>
                <c:pt idx="62">
                  <c:v>1758.1174445335319</c:v>
                </c:pt>
                <c:pt idx="63">
                  <c:v>1363.6950380845408</c:v>
                </c:pt>
                <c:pt idx="64">
                  <c:v>1412.9771887238817</c:v>
                </c:pt>
                <c:pt idx="65">
                  <c:v>1617.5026950444076</c:v>
                </c:pt>
              </c:numCache>
            </c:numRef>
          </c:val>
          <c:smooth val="0"/>
          <c:extLst>
            <c:ext xmlns:c16="http://schemas.microsoft.com/office/drawing/2014/chart" uri="{C3380CC4-5D6E-409C-BE32-E72D297353CC}">
              <c16:uniqueId val="{00000001-B472-4AF6-866E-6D2A9AE0D86D}"/>
            </c:ext>
          </c:extLst>
        </c:ser>
        <c:ser>
          <c:idx val="2"/>
          <c:order val="2"/>
          <c:tx>
            <c:strRef>
              <c:f>Forecast_Table!$D$1</c:f>
              <c:strCache>
                <c:ptCount val="1"/>
                <c:pt idx="0">
                  <c:v>Lower Confidence Bound(Forecast Total)</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numRef>
              <c:f>Forecast_Table!$A$2:$A$67</c:f>
              <c:numCache>
                <c:formatCode>[$-F800]dddd\,\ mmmm\ dd\,\ yyyy</c:formatCode>
                <c:ptCount val="66"/>
                <c:pt idx="0">
                  <c:v>40544</c:v>
                </c:pt>
                <c:pt idx="1">
                  <c:v>40545</c:v>
                </c:pt>
                <c:pt idx="2">
                  <c:v>40546</c:v>
                </c:pt>
                <c:pt idx="3">
                  <c:v>40547</c:v>
                </c:pt>
                <c:pt idx="4">
                  <c:v>40548</c:v>
                </c:pt>
                <c:pt idx="5">
                  <c:v>40549</c:v>
                </c:pt>
                <c:pt idx="6">
                  <c:v>40550</c:v>
                </c:pt>
                <c:pt idx="7">
                  <c:v>40551</c:v>
                </c:pt>
                <c:pt idx="8">
                  <c:v>40552</c:v>
                </c:pt>
                <c:pt idx="9">
                  <c:v>40553</c:v>
                </c:pt>
                <c:pt idx="10">
                  <c:v>40554</c:v>
                </c:pt>
                <c:pt idx="11">
                  <c:v>40555</c:v>
                </c:pt>
                <c:pt idx="12">
                  <c:v>40556</c:v>
                </c:pt>
                <c:pt idx="13">
                  <c:v>40557</c:v>
                </c:pt>
                <c:pt idx="14">
                  <c:v>40558</c:v>
                </c:pt>
                <c:pt idx="15">
                  <c:v>40559</c:v>
                </c:pt>
                <c:pt idx="16">
                  <c:v>40560</c:v>
                </c:pt>
                <c:pt idx="17">
                  <c:v>40561</c:v>
                </c:pt>
                <c:pt idx="18">
                  <c:v>40562</c:v>
                </c:pt>
                <c:pt idx="19">
                  <c:v>40563</c:v>
                </c:pt>
                <c:pt idx="20">
                  <c:v>40564</c:v>
                </c:pt>
                <c:pt idx="21">
                  <c:v>40565</c:v>
                </c:pt>
                <c:pt idx="22">
                  <c:v>40566</c:v>
                </c:pt>
                <c:pt idx="23">
                  <c:v>40567</c:v>
                </c:pt>
                <c:pt idx="24">
                  <c:v>40568</c:v>
                </c:pt>
                <c:pt idx="25">
                  <c:v>40569</c:v>
                </c:pt>
                <c:pt idx="26">
                  <c:v>40570</c:v>
                </c:pt>
                <c:pt idx="27">
                  <c:v>40571</c:v>
                </c:pt>
                <c:pt idx="28">
                  <c:v>40572</c:v>
                </c:pt>
                <c:pt idx="29">
                  <c:v>40573</c:v>
                </c:pt>
                <c:pt idx="30">
                  <c:v>40574</c:v>
                </c:pt>
                <c:pt idx="31">
                  <c:v>40575</c:v>
                </c:pt>
                <c:pt idx="32">
                  <c:v>40576</c:v>
                </c:pt>
                <c:pt idx="33">
                  <c:v>40577</c:v>
                </c:pt>
                <c:pt idx="34">
                  <c:v>40578</c:v>
                </c:pt>
                <c:pt idx="35">
                  <c:v>40579</c:v>
                </c:pt>
                <c:pt idx="36">
                  <c:v>40580</c:v>
                </c:pt>
                <c:pt idx="37">
                  <c:v>40581</c:v>
                </c:pt>
                <c:pt idx="38">
                  <c:v>40582</c:v>
                </c:pt>
                <c:pt idx="39">
                  <c:v>40583</c:v>
                </c:pt>
                <c:pt idx="40">
                  <c:v>40584</c:v>
                </c:pt>
                <c:pt idx="41">
                  <c:v>40585</c:v>
                </c:pt>
                <c:pt idx="42">
                  <c:v>40586</c:v>
                </c:pt>
                <c:pt idx="43">
                  <c:v>40587</c:v>
                </c:pt>
                <c:pt idx="44">
                  <c:v>40588</c:v>
                </c:pt>
                <c:pt idx="45">
                  <c:v>40589</c:v>
                </c:pt>
                <c:pt idx="46">
                  <c:v>40590</c:v>
                </c:pt>
                <c:pt idx="47">
                  <c:v>40591</c:v>
                </c:pt>
                <c:pt idx="48">
                  <c:v>40592</c:v>
                </c:pt>
                <c:pt idx="49">
                  <c:v>40593</c:v>
                </c:pt>
                <c:pt idx="50">
                  <c:v>40594</c:v>
                </c:pt>
                <c:pt idx="51">
                  <c:v>40595</c:v>
                </c:pt>
                <c:pt idx="52">
                  <c:v>40596</c:v>
                </c:pt>
                <c:pt idx="53">
                  <c:v>40597</c:v>
                </c:pt>
                <c:pt idx="54">
                  <c:v>40598</c:v>
                </c:pt>
                <c:pt idx="55">
                  <c:v>40599</c:v>
                </c:pt>
                <c:pt idx="56">
                  <c:v>40600</c:v>
                </c:pt>
                <c:pt idx="57">
                  <c:v>40601</c:v>
                </c:pt>
                <c:pt idx="58">
                  <c:v>40602</c:v>
                </c:pt>
                <c:pt idx="59">
                  <c:v>40603</c:v>
                </c:pt>
                <c:pt idx="60">
                  <c:v>40604</c:v>
                </c:pt>
                <c:pt idx="61">
                  <c:v>40605</c:v>
                </c:pt>
                <c:pt idx="62">
                  <c:v>40606</c:v>
                </c:pt>
                <c:pt idx="63">
                  <c:v>40607</c:v>
                </c:pt>
                <c:pt idx="64">
                  <c:v>40608</c:v>
                </c:pt>
                <c:pt idx="65">
                  <c:v>40609</c:v>
                </c:pt>
              </c:numCache>
            </c:numRef>
          </c:cat>
          <c:val>
            <c:numRef>
              <c:f>Forecast_Table!$D$2:$D$67</c:f>
              <c:numCache>
                <c:formatCode>General</c:formatCode>
                <c:ptCount val="66"/>
                <c:pt idx="51" formatCode="0.00">
                  <c:v>1531.9279091179808</c:v>
                </c:pt>
                <c:pt idx="52" formatCode="0.00">
                  <c:v>1508.0761276036749</c:v>
                </c:pt>
                <c:pt idx="53" formatCode="0.00">
                  <c:v>1603.0065915792618</c:v>
                </c:pt>
                <c:pt idx="54" formatCode="0.00">
                  <c:v>1710.7122315937895</c:v>
                </c:pt>
                <c:pt idx="55" formatCode="0.00">
                  <c:v>1715.330051570317</c:v>
                </c:pt>
                <c:pt idx="56" formatCode="0.00">
                  <c:v>1320.9076451213257</c:v>
                </c:pt>
                <c:pt idx="57" formatCode="0.00">
                  <c:v>1370.1897957606666</c:v>
                </c:pt>
                <c:pt idx="58" formatCode="0.00">
                  <c:v>1574.7153020811922</c:v>
                </c:pt>
                <c:pt idx="59" formatCode="0.00">
                  <c:v>1550.8635205668882</c:v>
                </c:pt>
                <c:pt idx="60" formatCode="0.00">
                  <c:v>1645.7939845424751</c:v>
                </c:pt>
                <c:pt idx="61" formatCode="0.00">
                  <c:v>1753.4996245570028</c:v>
                </c:pt>
                <c:pt idx="62" formatCode="0.00">
                  <c:v>1758.11744453353</c:v>
                </c:pt>
                <c:pt idx="63" formatCode="0.00">
                  <c:v>1363.6950380845387</c:v>
                </c:pt>
                <c:pt idx="64" formatCode="0.00">
                  <c:v>1412.9771887238796</c:v>
                </c:pt>
                <c:pt idx="65" formatCode="0.00">
                  <c:v>1617.5026950444055</c:v>
                </c:pt>
              </c:numCache>
            </c:numRef>
          </c:val>
          <c:smooth val="0"/>
          <c:extLst>
            <c:ext xmlns:c16="http://schemas.microsoft.com/office/drawing/2014/chart" uri="{C3380CC4-5D6E-409C-BE32-E72D297353CC}">
              <c16:uniqueId val="{00000002-B472-4AF6-866E-6D2A9AE0D86D}"/>
            </c:ext>
          </c:extLst>
        </c:ser>
        <c:ser>
          <c:idx val="3"/>
          <c:order val="3"/>
          <c:tx>
            <c:strRef>
              <c:f>Forecast_Table!$E$1</c:f>
              <c:strCache>
                <c:ptCount val="1"/>
                <c:pt idx="0">
                  <c:v>Upper Confidence Bound(Forecast Total)</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numRef>
              <c:f>Forecast_Table!$A$2:$A$67</c:f>
              <c:numCache>
                <c:formatCode>[$-F800]dddd\,\ mmmm\ dd\,\ yyyy</c:formatCode>
                <c:ptCount val="66"/>
                <c:pt idx="0">
                  <c:v>40544</c:v>
                </c:pt>
                <c:pt idx="1">
                  <c:v>40545</c:v>
                </c:pt>
                <c:pt idx="2">
                  <c:v>40546</c:v>
                </c:pt>
                <c:pt idx="3">
                  <c:v>40547</c:v>
                </c:pt>
                <c:pt idx="4">
                  <c:v>40548</c:v>
                </c:pt>
                <c:pt idx="5">
                  <c:v>40549</c:v>
                </c:pt>
                <c:pt idx="6">
                  <c:v>40550</c:v>
                </c:pt>
                <c:pt idx="7">
                  <c:v>40551</c:v>
                </c:pt>
                <c:pt idx="8">
                  <c:v>40552</c:v>
                </c:pt>
                <c:pt idx="9">
                  <c:v>40553</c:v>
                </c:pt>
                <c:pt idx="10">
                  <c:v>40554</c:v>
                </c:pt>
                <c:pt idx="11">
                  <c:v>40555</c:v>
                </c:pt>
                <c:pt idx="12">
                  <c:v>40556</c:v>
                </c:pt>
                <c:pt idx="13">
                  <c:v>40557</c:v>
                </c:pt>
                <c:pt idx="14">
                  <c:v>40558</c:v>
                </c:pt>
                <c:pt idx="15">
                  <c:v>40559</c:v>
                </c:pt>
                <c:pt idx="16">
                  <c:v>40560</c:v>
                </c:pt>
                <c:pt idx="17">
                  <c:v>40561</c:v>
                </c:pt>
                <c:pt idx="18">
                  <c:v>40562</c:v>
                </c:pt>
                <c:pt idx="19">
                  <c:v>40563</c:v>
                </c:pt>
                <c:pt idx="20">
                  <c:v>40564</c:v>
                </c:pt>
                <c:pt idx="21">
                  <c:v>40565</c:v>
                </c:pt>
                <c:pt idx="22">
                  <c:v>40566</c:v>
                </c:pt>
                <c:pt idx="23">
                  <c:v>40567</c:v>
                </c:pt>
                <c:pt idx="24">
                  <c:v>40568</c:v>
                </c:pt>
                <c:pt idx="25">
                  <c:v>40569</c:v>
                </c:pt>
                <c:pt idx="26">
                  <c:v>40570</c:v>
                </c:pt>
                <c:pt idx="27">
                  <c:v>40571</c:v>
                </c:pt>
                <c:pt idx="28">
                  <c:v>40572</c:v>
                </c:pt>
                <c:pt idx="29">
                  <c:v>40573</c:v>
                </c:pt>
                <c:pt idx="30">
                  <c:v>40574</c:v>
                </c:pt>
                <c:pt idx="31">
                  <c:v>40575</c:v>
                </c:pt>
                <c:pt idx="32">
                  <c:v>40576</c:v>
                </c:pt>
                <c:pt idx="33">
                  <c:v>40577</c:v>
                </c:pt>
                <c:pt idx="34">
                  <c:v>40578</c:v>
                </c:pt>
                <c:pt idx="35">
                  <c:v>40579</c:v>
                </c:pt>
                <c:pt idx="36">
                  <c:v>40580</c:v>
                </c:pt>
                <c:pt idx="37">
                  <c:v>40581</c:v>
                </c:pt>
                <c:pt idx="38">
                  <c:v>40582</c:v>
                </c:pt>
                <c:pt idx="39">
                  <c:v>40583</c:v>
                </c:pt>
                <c:pt idx="40">
                  <c:v>40584</c:v>
                </c:pt>
                <c:pt idx="41">
                  <c:v>40585</c:v>
                </c:pt>
                <c:pt idx="42">
                  <c:v>40586</c:v>
                </c:pt>
                <c:pt idx="43">
                  <c:v>40587</c:v>
                </c:pt>
                <c:pt idx="44">
                  <c:v>40588</c:v>
                </c:pt>
                <c:pt idx="45">
                  <c:v>40589</c:v>
                </c:pt>
                <c:pt idx="46">
                  <c:v>40590</c:v>
                </c:pt>
                <c:pt idx="47">
                  <c:v>40591</c:v>
                </c:pt>
                <c:pt idx="48">
                  <c:v>40592</c:v>
                </c:pt>
                <c:pt idx="49">
                  <c:v>40593</c:v>
                </c:pt>
                <c:pt idx="50">
                  <c:v>40594</c:v>
                </c:pt>
                <c:pt idx="51">
                  <c:v>40595</c:v>
                </c:pt>
                <c:pt idx="52">
                  <c:v>40596</c:v>
                </c:pt>
                <c:pt idx="53">
                  <c:v>40597</c:v>
                </c:pt>
                <c:pt idx="54">
                  <c:v>40598</c:v>
                </c:pt>
                <c:pt idx="55">
                  <c:v>40599</c:v>
                </c:pt>
                <c:pt idx="56">
                  <c:v>40600</c:v>
                </c:pt>
                <c:pt idx="57">
                  <c:v>40601</c:v>
                </c:pt>
                <c:pt idx="58">
                  <c:v>40602</c:v>
                </c:pt>
                <c:pt idx="59">
                  <c:v>40603</c:v>
                </c:pt>
                <c:pt idx="60">
                  <c:v>40604</c:v>
                </c:pt>
                <c:pt idx="61">
                  <c:v>40605</c:v>
                </c:pt>
                <c:pt idx="62">
                  <c:v>40606</c:v>
                </c:pt>
                <c:pt idx="63">
                  <c:v>40607</c:v>
                </c:pt>
                <c:pt idx="64">
                  <c:v>40608</c:v>
                </c:pt>
                <c:pt idx="65">
                  <c:v>40609</c:v>
                </c:pt>
              </c:numCache>
            </c:numRef>
          </c:cat>
          <c:val>
            <c:numRef>
              <c:f>Forecast_Table!$E$2:$E$67</c:f>
              <c:numCache>
                <c:formatCode>General</c:formatCode>
                <c:ptCount val="66"/>
                <c:pt idx="51" formatCode="0.00">
                  <c:v>1531.9279091179808</c:v>
                </c:pt>
                <c:pt idx="52" formatCode="0.00">
                  <c:v>1508.0761276036781</c:v>
                </c:pt>
                <c:pt idx="53" formatCode="0.00">
                  <c:v>1603.006591579265</c:v>
                </c:pt>
                <c:pt idx="54" formatCode="0.00">
                  <c:v>1710.7122315937927</c:v>
                </c:pt>
                <c:pt idx="55" formatCode="0.00">
                  <c:v>1715.3300515703202</c:v>
                </c:pt>
                <c:pt idx="56" formatCode="0.00">
                  <c:v>1320.9076451213289</c:v>
                </c:pt>
                <c:pt idx="57" formatCode="0.00">
                  <c:v>1370.1897957606702</c:v>
                </c:pt>
                <c:pt idx="58" formatCode="0.00">
                  <c:v>1574.7153020811959</c:v>
                </c:pt>
                <c:pt idx="59" formatCode="0.00">
                  <c:v>1550.8635205668918</c:v>
                </c:pt>
                <c:pt idx="60" formatCode="0.00">
                  <c:v>1645.7939845424787</c:v>
                </c:pt>
                <c:pt idx="61" formatCode="0.00">
                  <c:v>1753.4996245570064</c:v>
                </c:pt>
                <c:pt idx="62" formatCode="0.00">
                  <c:v>1758.1174445335337</c:v>
                </c:pt>
                <c:pt idx="63" formatCode="0.00">
                  <c:v>1363.6950380845428</c:v>
                </c:pt>
                <c:pt idx="64" formatCode="0.00">
                  <c:v>1412.9771887238837</c:v>
                </c:pt>
                <c:pt idx="65" formatCode="0.00">
                  <c:v>1617.5026950444096</c:v>
                </c:pt>
              </c:numCache>
            </c:numRef>
          </c:val>
          <c:smooth val="0"/>
          <c:extLst>
            <c:ext xmlns:c16="http://schemas.microsoft.com/office/drawing/2014/chart" uri="{C3380CC4-5D6E-409C-BE32-E72D297353CC}">
              <c16:uniqueId val="{00000003-B472-4AF6-866E-6D2A9AE0D86D}"/>
            </c:ext>
          </c:extLst>
        </c:ser>
        <c:dLbls>
          <c:showLegendKey val="0"/>
          <c:showVal val="0"/>
          <c:showCatName val="0"/>
          <c:showSerName val="0"/>
          <c:showPercent val="0"/>
          <c:showBubbleSize val="0"/>
        </c:dLbls>
        <c:marker val="1"/>
        <c:smooth val="0"/>
        <c:axId val="601294320"/>
        <c:axId val="601294800"/>
      </c:lineChart>
      <c:catAx>
        <c:axId val="601294320"/>
        <c:scaling>
          <c:orientation val="minMax"/>
        </c:scaling>
        <c:delete val="0"/>
        <c:axPos val="b"/>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1294800"/>
        <c:crosses val="autoZero"/>
        <c:auto val="1"/>
        <c:lblAlgn val="ctr"/>
        <c:lblOffset val="100"/>
        <c:noMultiLvlLbl val="0"/>
      </c:catAx>
      <c:valAx>
        <c:axId val="6012948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1294320"/>
        <c:crosses val="autoZero"/>
        <c:crossBetween val="between"/>
      </c:valAx>
      <c:spPr>
        <a:noFill/>
        <a:ln>
          <a:noFill/>
        </a:ln>
        <a:effectLst/>
      </c:spPr>
    </c:plotArea>
    <c:legend>
      <c:legendPos val="b"/>
      <c:layout>
        <c:manualLayout>
          <c:xMode val="edge"/>
          <c:yMode val="edge"/>
          <c:x val="1.1926390626710047E-2"/>
          <c:y val="0.80084979968209324"/>
          <c:w val="0.97245289369044319"/>
          <c:h val="0.1710973127190197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[Workbook.xlsx]Pivot_Analysis!PivotTable 2</c:name>
    <c:fmtId val="3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a:t>Demand by Hour</a:t>
            </a:r>
          </a:p>
        </c:rich>
      </c:tx>
      <c:overlay val="0"/>
      <c:spPr>
        <a:solidFill>
          <a:schemeClr val="accent1">
            <a:lumMod val="60000"/>
            <a:lumOff val="40000"/>
          </a:schemeClr>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Pivot_Analysis!$I$8</c:f>
              <c:strCache>
                <c:ptCount val="1"/>
                <c:pt idx="0">
                  <c:v>Average of Casual_Rentals</c:v>
                </c:pt>
              </c:strCache>
            </c:strRef>
          </c:tx>
          <c:spPr>
            <a:ln w="28575" cap="rnd">
              <a:solidFill>
                <a:schemeClr val="accent1"/>
              </a:solidFill>
              <a:round/>
            </a:ln>
            <a:effectLst/>
          </c:spPr>
          <c:marker>
            <c:symbol val="none"/>
          </c:marker>
          <c:cat>
            <c:strRef>
              <c:f>Pivot_Analysis!$H$9:$H$33</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Pivot_Analysis!$I$9:$I$33</c:f>
              <c:numCache>
                <c:formatCode>General</c:formatCode>
                <c:ptCount val="24"/>
                <c:pt idx="0">
                  <c:v>1.7209302325581395</c:v>
                </c:pt>
                <c:pt idx="1">
                  <c:v>1.1162790697674418</c:v>
                </c:pt>
                <c:pt idx="2">
                  <c:v>0.80487804878048785</c:v>
                </c:pt>
                <c:pt idx="3">
                  <c:v>1.096774193548387</c:v>
                </c:pt>
                <c:pt idx="4">
                  <c:v>0.21875</c:v>
                </c:pt>
                <c:pt idx="5">
                  <c:v>7.6923076923076927E-2</c:v>
                </c:pt>
                <c:pt idx="6">
                  <c:v>0.5</c:v>
                </c:pt>
                <c:pt idx="7">
                  <c:v>1.4883720930232558</c:v>
                </c:pt>
                <c:pt idx="8">
                  <c:v>3.0238095238095237</c:v>
                </c:pt>
                <c:pt idx="9">
                  <c:v>4.0952380952380949</c:v>
                </c:pt>
                <c:pt idx="10">
                  <c:v>5.1428571428571432</c:v>
                </c:pt>
                <c:pt idx="11">
                  <c:v>8.7380952380952372</c:v>
                </c:pt>
                <c:pt idx="12">
                  <c:v>11.209302325581396</c:v>
                </c:pt>
                <c:pt idx="13">
                  <c:v>11.930232558139535</c:v>
                </c:pt>
                <c:pt idx="14">
                  <c:v>10.837209302325581</c:v>
                </c:pt>
                <c:pt idx="15">
                  <c:v>12.465116279069768</c:v>
                </c:pt>
                <c:pt idx="16">
                  <c:v>11.204545454545455</c:v>
                </c:pt>
                <c:pt idx="17">
                  <c:v>8.9772727272727266</c:v>
                </c:pt>
                <c:pt idx="18">
                  <c:v>5.1627906976744189</c:v>
                </c:pt>
                <c:pt idx="19">
                  <c:v>4.3488372093023253</c:v>
                </c:pt>
                <c:pt idx="20">
                  <c:v>3.2558139534883721</c:v>
                </c:pt>
                <c:pt idx="21">
                  <c:v>2.7209302325581395</c:v>
                </c:pt>
                <c:pt idx="22">
                  <c:v>2.3953488372093021</c:v>
                </c:pt>
                <c:pt idx="23">
                  <c:v>2.3488372093023258</c:v>
                </c:pt>
              </c:numCache>
            </c:numRef>
          </c:val>
          <c:smooth val="0"/>
          <c:extLst>
            <c:ext xmlns:c16="http://schemas.microsoft.com/office/drawing/2014/chart" uri="{C3380CC4-5D6E-409C-BE32-E72D297353CC}">
              <c16:uniqueId val="{00000000-AEAE-41B0-8540-135FF9198DAC}"/>
            </c:ext>
          </c:extLst>
        </c:ser>
        <c:ser>
          <c:idx val="1"/>
          <c:order val="1"/>
          <c:tx>
            <c:strRef>
              <c:f>Pivot_Analysis!$J$8</c:f>
              <c:strCache>
                <c:ptCount val="1"/>
                <c:pt idx="0">
                  <c:v>Average of Registered_Rentals</c:v>
                </c:pt>
              </c:strCache>
            </c:strRef>
          </c:tx>
          <c:spPr>
            <a:ln w="28575" cap="rnd">
              <a:solidFill>
                <a:schemeClr val="accent2"/>
              </a:solidFill>
              <a:round/>
            </a:ln>
            <a:effectLst/>
          </c:spPr>
          <c:marker>
            <c:symbol val="none"/>
          </c:marker>
          <c:cat>
            <c:strRef>
              <c:f>Pivot_Analysis!$H$9:$H$33</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Pivot_Analysis!$J$9:$J$33</c:f>
              <c:numCache>
                <c:formatCode>General</c:formatCode>
                <c:ptCount val="24"/>
                <c:pt idx="0">
                  <c:v>14.627906976744185</c:v>
                </c:pt>
                <c:pt idx="1">
                  <c:v>9.5813953488372086</c:v>
                </c:pt>
                <c:pt idx="2">
                  <c:v>6.3658536585365857</c:v>
                </c:pt>
                <c:pt idx="3">
                  <c:v>3.774193548387097</c:v>
                </c:pt>
                <c:pt idx="4">
                  <c:v>1.9375</c:v>
                </c:pt>
                <c:pt idx="5">
                  <c:v>4.1282051282051286</c:v>
                </c:pt>
                <c:pt idx="6">
                  <c:v>19.071428571428573</c:v>
                </c:pt>
                <c:pt idx="7">
                  <c:v>52.906976744186046</c:v>
                </c:pt>
                <c:pt idx="8">
                  <c:v>125.26190476190476</c:v>
                </c:pt>
                <c:pt idx="9">
                  <c:v>83.333333333333329</c:v>
                </c:pt>
                <c:pt idx="10">
                  <c:v>48.5</c:v>
                </c:pt>
                <c:pt idx="11">
                  <c:v>50.642857142857146</c:v>
                </c:pt>
                <c:pt idx="12">
                  <c:v>65.139534883720927</c:v>
                </c:pt>
                <c:pt idx="13">
                  <c:v>66.581395348837205</c:v>
                </c:pt>
                <c:pt idx="14">
                  <c:v>63.581395348837212</c:v>
                </c:pt>
                <c:pt idx="15">
                  <c:v>65.488372093023258</c:v>
                </c:pt>
                <c:pt idx="16">
                  <c:v>78.068181818181813</c:v>
                </c:pt>
                <c:pt idx="17">
                  <c:v>131.22727272727272</c:v>
                </c:pt>
                <c:pt idx="18">
                  <c:v>117.69767441860465</c:v>
                </c:pt>
                <c:pt idx="19">
                  <c:v>80.79069767441861</c:v>
                </c:pt>
                <c:pt idx="20">
                  <c:v>58.511627906976742</c:v>
                </c:pt>
                <c:pt idx="21">
                  <c:v>43.697674418604649</c:v>
                </c:pt>
                <c:pt idx="22">
                  <c:v>32.674418604651166</c:v>
                </c:pt>
                <c:pt idx="23">
                  <c:v>22.837209302325583</c:v>
                </c:pt>
              </c:numCache>
            </c:numRef>
          </c:val>
          <c:smooth val="0"/>
          <c:extLst>
            <c:ext xmlns:c16="http://schemas.microsoft.com/office/drawing/2014/chart" uri="{C3380CC4-5D6E-409C-BE32-E72D297353CC}">
              <c16:uniqueId val="{00000001-AEAE-41B0-8540-135FF9198DAC}"/>
            </c:ext>
          </c:extLst>
        </c:ser>
        <c:ser>
          <c:idx val="2"/>
          <c:order val="2"/>
          <c:tx>
            <c:strRef>
              <c:f>Pivot_Analysis!$K$8</c:f>
              <c:strCache>
                <c:ptCount val="1"/>
                <c:pt idx="0">
                  <c:v>Average of Total_Rentals</c:v>
                </c:pt>
              </c:strCache>
            </c:strRef>
          </c:tx>
          <c:spPr>
            <a:ln w="28575" cap="rnd">
              <a:solidFill>
                <a:schemeClr val="accent3"/>
              </a:solidFill>
              <a:round/>
            </a:ln>
            <a:effectLst/>
          </c:spPr>
          <c:marker>
            <c:symbol val="none"/>
          </c:marker>
          <c:cat>
            <c:strRef>
              <c:f>Pivot_Analysis!$H$9:$H$33</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Pivot_Analysis!$K$9:$K$33</c:f>
              <c:numCache>
                <c:formatCode>General</c:formatCode>
                <c:ptCount val="24"/>
                <c:pt idx="0">
                  <c:v>16.348837209302324</c:v>
                </c:pt>
                <c:pt idx="1">
                  <c:v>10.697674418604651</c:v>
                </c:pt>
                <c:pt idx="2">
                  <c:v>7.1707317073170733</c:v>
                </c:pt>
                <c:pt idx="3">
                  <c:v>4.870967741935484</c:v>
                </c:pt>
                <c:pt idx="4">
                  <c:v>2.15625</c:v>
                </c:pt>
                <c:pt idx="5">
                  <c:v>4.2051282051282053</c:v>
                </c:pt>
                <c:pt idx="6">
                  <c:v>19.571428571428573</c:v>
                </c:pt>
                <c:pt idx="7">
                  <c:v>54.395348837209305</c:v>
                </c:pt>
                <c:pt idx="8">
                  <c:v>128.28571428571428</c:v>
                </c:pt>
                <c:pt idx="9">
                  <c:v>87.428571428571431</c:v>
                </c:pt>
                <c:pt idx="10">
                  <c:v>53.642857142857146</c:v>
                </c:pt>
                <c:pt idx="11">
                  <c:v>59.38095238095238</c:v>
                </c:pt>
                <c:pt idx="12">
                  <c:v>76.348837209302332</c:v>
                </c:pt>
                <c:pt idx="13">
                  <c:v>78.511627906976742</c:v>
                </c:pt>
                <c:pt idx="14">
                  <c:v>74.418604651162795</c:v>
                </c:pt>
                <c:pt idx="15">
                  <c:v>77.95348837209302</c:v>
                </c:pt>
                <c:pt idx="16">
                  <c:v>89.272727272727266</c:v>
                </c:pt>
                <c:pt idx="17">
                  <c:v>140.20454545454547</c:v>
                </c:pt>
                <c:pt idx="18">
                  <c:v>122.86046511627907</c:v>
                </c:pt>
                <c:pt idx="19">
                  <c:v>85.139534883720927</c:v>
                </c:pt>
                <c:pt idx="20">
                  <c:v>61.767441860465119</c:v>
                </c:pt>
                <c:pt idx="21">
                  <c:v>46.418604651162788</c:v>
                </c:pt>
                <c:pt idx="22">
                  <c:v>35.069767441860463</c:v>
                </c:pt>
                <c:pt idx="23">
                  <c:v>25.186046511627907</c:v>
                </c:pt>
              </c:numCache>
            </c:numRef>
          </c:val>
          <c:smooth val="0"/>
          <c:extLst>
            <c:ext xmlns:c16="http://schemas.microsoft.com/office/drawing/2014/chart" uri="{C3380CC4-5D6E-409C-BE32-E72D297353CC}">
              <c16:uniqueId val="{00000002-AEAE-41B0-8540-135FF9198DAC}"/>
            </c:ext>
          </c:extLst>
        </c:ser>
        <c:dLbls>
          <c:showLegendKey val="0"/>
          <c:showVal val="0"/>
          <c:showCatName val="0"/>
          <c:showSerName val="0"/>
          <c:showPercent val="0"/>
          <c:showBubbleSize val="0"/>
        </c:dLbls>
        <c:smooth val="0"/>
        <c:axId val="499042847"/>
        <c:axId val="499043807"/>
      </c:lineChart>
      <c:catAx>
        <c:axId val="4990428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9043807"/>
        <c:crosses val="autoZero"/>
        <c:auto val="1"/>
        <c:lblAlgn val="ctr"/>
        <c:lblOffset val="100"/>
        <c:noMultiLvlLbl val="0"/>
      </c:catAx>
      <c:valAx>
        <c:axId val="49904380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904284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[Workbook.xlsx]Pivot_Analysis!PivotTable7</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Pivot_Analysis!$D$16</c:f>
              <c:strCache>
                <c:ptCount val="1"/>
                <c:pt idx="0">
                  <c:v>Average of Casual_Rentals</c:v>
                </c:pt>
              </c:strCache>
            </c:strRef>
          </c:tx>
          <c:spPr>
            <a:solidFill>
              <a:schemeClr val="accent1"/>
            </a:solidFill>
            <a:ln>
              <a:noFill/>
            </a:ln>
            <a:effectLst/>
          </c:spPr>
          <c:invertIfNegative val="0"/>
          <c:cat>
            <c:strRef>
              <c:f>Pivot_Analysis!$C$17:$C$24</c:f>
              <c:strCache>
                <c:ptCount val="7"/>
                <c:pt idx="0">
                  <c:v>Sunday</c:v>
                </c:pt>
                <c:pt idx="1">
                  <c:v>Monday</c:v>
                </c:pt>
                <c:pt idx="2">
                  <c:v>Tuesday</c:v>
                </c:pt>
                <c:pt idx="3">
                  <c:v>Wednesday</c:v>
                </c:pt>
                <c:pt idx="4">
                  <c:v>Thursday</c:v>
                </c:pt>
                <c:pt idx="5">
                  <c:v>Friday</c:v>
                </c:pt>
                <c:pt idx="6">
                  <c:v>Saturday</c:v>
                </c:pt>
              </c:strCache>
            </c:strRef>
          </c:cat>
          <c:val>
            <c:numRef>
              <c:f>Pivot_Analysis!$D$17:$D$24</c:f>
              <c:numCache>
                <c:formatCode>General</c:formatCode>
                <c:ptCount val="7"/>
                <c:pt idx="0">
                  <c:v>9.0060975609756095</c:v>
                </c:pt>
                <c:pt idx="1">
                  <c:v>3.5838926174496644</c:v>
                </c:pt>
                <c:pt idx="2">
                  <c:v>3.5984251968503935</c:v>
                </c:pt>
                <c:pt idx="3">
                  <c:v>2.6259541984732824</c:v>
                </c:pt>
                <c:pt idx="4">
                  <c:v>2.6560000000000001</c:v>
                </c:pt>
                <c:pt idx="5">
                  <c:v>4</c:v>
                </c:pt>
                <c:pt idx="6">
                  <c:v>7.3795180722891569</c:v>
                </c:pt>
              </c:numCache>
            </c:numRef>
          </c:val>
          <c:extLst>
            <c:ext xmlns:c16="http://schemas.microsoft.com/office/drawing/2014/chart" uri="{C3380CC4-5D6E-409C-BE32-E72D297353CC}">
              <c16:uniqueId val="{00000000-477A-4DF1-8689-EA70257E31D4}"/>
            </c:ext>
          </c:extLst>
        </c:ser>
        <c:ser>
          <c:idx val="1"/>
          <c:order val="1"/>
          <c:tx>
            <c:strRef>
              <c:f>Pivot_Analysis!$E$16</c:f>
              <c:strCache>
                <c:ptCount val="1"/>
                <c:pt idx="0">
                  <c:v>Average of Registered_Rentals</c:v>
                </c:pt>
              </c:strCache>
            </c:strRef>
          </c:tx>
          <c:spPr>
            <a:solidFill>
              <a:schemeClr val="accent2"/>
            </a:solidFill>
            <a:ln>
              <a:noFill/>
            </a:ln>
            <a:effectLst/>
          </c:spPr>
          <c:invertIfNegative val="0"/>
          <c:cat>
            <c:strRef>
              <c:f>Pivot_Analysis!$C$17:$C$24</c:f>
              <c:strCache>
                <c:ptCount val="7"/>
                <c:pt idx="0">
                  <c:v>Sunday</c:v>
                </c:pt>
                <c:pt idx="1">
                  <c:v>Monday</c:v>
                </c:pt>
                <c:pt idx="2">
                  <c:v>Tuesday</c:v>
                </c:pt>
                <c:pt idx="3">
                  <c:v>Wednesday</c:v>
                </c:pt>
                <c:pt idx="4">
                  <c:v>Thursday</c:v>
                </c:pt>
                <c:pt idx="5">
                  <c:v>Friday</c:v>
                </c:pt>
                <c:pt idx="6">
                  <c:v>Saturday</c:v>
                </c:pt>
              </c:strCache>
            </c:strRef>
          </c:cat>
          <c:val>
            <c:numRef>
              <c:f>Pivot_Analysis!$E$17:$E$24</c:f>
              <c:numCache>
                <c:formatCode>General</c:formatCode>
                <c:ptCount val="7"/>
                <c:pt idx="0">
                  <c:v>40.512195121951223</c:v>
                </c:pt>
                <c:pt idx="1">
                  <c:v>53.127516778523493</c:v>
                </c:pt>
                <c:pt idx="2">
                  <c:v>62.409448818897637</c:v>
                </c:pt>
                <c:pt idx="3">
                  <c:v>58.81679389312977</c:v>
                </c:pt>
                <c:pt idx="4">
                  <c:v>65.007999999999996</c:v>
                </c:pt>
                <c:pt idx="5">
                  <c:v>61.905797101449274</c:v>
                </c:pt>
                <c:pt idx="6">
                  <c:v>39.295180722891565</c:v>
                </c:pt>
              </c:numCache>
            </c:numRef>
          </c:val>
          <c:extLst>
            <c:ext xmlns:c16="http://schemas.microsoft.com/office/drawing/2014/chart" uri="{C3380CC4-5D6E-409C-BE32-E72D297353CC}">
              <c16:uniqueId val="{00000001-477A-4DF1-8689-EA70257E31D4}"/>
            </c:ext>
          </c:extLst>
        </c:ser>
        <c:ser>
          <c:idx val="2"/>
          <c:order val="2"/>
          <c:tx>
            <c:strRef>
              <c:f>Pivot_Analysis!$F$16</c:f>
              <c:strCache>
                <c:ptCount val="1"/>
                <c:pt idx="0">
                  <c:v>Average of Total_Rentals</c:v>
                </c:pt>
              </c:strCache>
            </c:strRef>
          </c:tx>
          <c:spPr>
            <a:solidFill>
              <a:schemeClr val="accent3"/>
            </a:solidFill>
            <a:ln>
              <a:noFill/>
            </a:ln>
            <a:effectLst/>
          </c:spPr>
          <c:invertIfNegative val="0"/>
          <c:cat>
            <c:strRef>
              <c:f>Pivot_Analysis!$C$17:$C$24</c:f>
              <c:strCache>
                <c:ptCount val="7"/>
                <c:pt idx="0">
                  <c:v>Sunday</c:v>
                </c:pt>
                <c:pt idx="1">
                  <c:v>Monday</c:v>
                </c:pt>
                <c:pt idx="2">
                  <c:v>Tuesday</c:v>
                </c:pt>
                <c:pt idx="3">
                  <c:v>Wednesday</c:v>
                </c:pt>
                <c:pt idx="4">
                  <c:v>Thursday</c:v>
                </c:pt>
                <c:pt idx="5">
                  <c:v>Friday</c:v>
                </c:pt>
                <c:pt idx="6">
                  <c:v>Saturday</c:v>
                </c:pt>
              </c:strCache>
            </c:strRef>
          </c:cat>
          <c:val>
            <c:numRef>
              <c:f>Pivot_Analysis!$F$17:$F$24</c:f>
              <c:numCache>
                <c:formatCode>General</c:formatCode>
                <c:ptCount val="7"/>
                <c:pt idx="0">
                  <c:v>49.518292682926827</c:v>
                </c:pt>
                <c:pt idx="1">
                  <c:v>56.711409395973156</c:v>
                </c:pt>
                <c:pt idx="2">
                  <c:v>66.00787401574803</c:v>
                </c:pt>
                <c:pt idx="3">
                  <c:v>61.44274809160305</c:v>
                </c:pt>
                <c:pt idx="4">
                  <c:v>67.664000000000001</c:v>
                </c:pt>
                <c:pt idx="5">
                  <c:v>65.905797101449281</c:v>
                </c:pt>
                <c:pt idx="6">
                  <c:v>46.674698795180724</c:v>
                </c:pt>
              </c:numCache>
            </c:numRef>
          </c:val>
          <c:extLst>
            <c:ext xmlns:c16="http://schemas.microsoft.com/office/drawing/2014/chart" uri="{C3380CC4-5D6E-409C-BE32-E72D297353CC}">
              <c16:uniqueId val="{00000002-477A-4DF1-8689-EA70257E31D4}"/>
            </c:ext>
          </c:extLst>
        </c:ser>
        <c:dLbls>
          <c:showLegendKey val="0"/>
          <c:showVal val="0"/>
          <c:showCatName val="0"/>
          <c:showSerName val="0"/>
          <c:showPercent val="0"/>
          <c:showBubbleSize val="0"/>
        </c:dLbls>
        <c:gapWidth val="219"/>
        <c:overlap val="-27"/>
        <c:axId val="762129823"/>
        <c:axId val="762124543"/>
      </c:barChart>
      <c:catAx>
        <c:axId val="7621298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2124543"/>
        <c:crosses val="autoZero"/>
        <c:auto val="1"/>
        <c:lblAlgn val="ctr"/>
        <c:lblOffset val="100"/>
        <c:noMultiLvlLbl val="0"/>
      </c:catAx>
      <c:valAx>
        <c:axId val="76212454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212982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_xlchart.v2.2</cx:f>
      </cx:strDim>
      <cx:numDim type="val">
        <cx:f>_xlchart.v2.1</cx:f>
      </cx:numDim>
    </cx:data>
  </cx:chartData>
  <cx:chart>
    <cx:plotArea>
      <cx:plotAreaRegion>
        <cx:series layoutId="funnel" uniqueId="{457A3D60-D5AC-47A2-B3F2-72C4444F3A28}">
          <cx:tx>
            <cx:txData>
              <cx:f>_xlchart.v2.0</cx:f>
              <cx:v>Total Rentals</cx:v>
            </cx:txData>
          </cx:tx>
          <cx:dataLabels>
            <cx:visibility seriesName="0" categoryName="0" value="1"/>
          </cx:dataLabels>
          <cx:dataId val="0"/>
        </cx:series>
      </cx:plotAreaRegion>
      <cx:axis id="0">
        <cx:catScaling gapWidth="0.0599999987"/>
        <cx:tickLabels/>
      </cx:axis>
    </cx:plotArea>
    <cx:legend pos="t" align="ctr" overlay="0">
      <cx:txPr>
        <a:bodyPr spcFirstLastPara="1" vertOverflow="ellipsis" horzOverflow="overflow" wrap="square" lIns="0" tIns="0" rIns="0" bIns="0" anchor="ctr" anchorCtr="1"/>
        <a:lstStyle/>
        <a:p>
          <a:pPr algn="ctr" rtl="0">
            <a:defRPr/>
          </a:pPr>
          <a:endParaRPr lang="en-US" sz="900" b="0" i="0" u="none" strike="noStrike" baseline="0">
            <a:solidFill>
              <a:sysClr val="windowText" lastClr="000000">
                <a:lumMod val="65000"/>
                <a:lumOff val="35000"/>
              </a:sysClr>
            </a:solidFill>
            <a:latin typeface="Calibri" panose="020F0502020204030204"/>
          </a:endParaRPr>
        </a:p>
      </cx:txPr>
    </cx:legend>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4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a:solidFill>
          <a:schemeClr val="tx1">
            <a:lumMod val="15000"/>
            <a:lumOff val="85000"/>
          </a:schemeClr>
        </a:solidFill>
      </a:ln>
    </cs:spPr>
    <cs:defRPr sz="900" kern="1200" cap="none" spc="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70000"/>
        </a:schemeClr>
      </a:solidFill>
    </cs:spPr>
  </cs:dataPoint>
  <cs:dataPoint3D>
    <cs:lnRef idx="0"/>
    <cs:fillRef idx="0">
      <cs:styleClr val="auto"/>
    </cs:fillRef>
    <cs:effectRef idx="0"/>
    <cs:fontRef idx="minor">
      <a:schemeClr val="dk1"/>
    </cs:fontRef>
    <cs:spPr>
      <a:solidFill>
        <a:schemeClr val="phClr">
          <a:alpha val="70000"/>
        </a:schemeClr>
      </a:solidFill>
    </cs:spPr>
  </cs:dataPoint3D>
  <cs:dataPointLine>
    <cs:lnRef idx="0">
      <cs:styleClr val="auto"/>
    </cs:lnRef>
    <cs:fillRef idx="0"/>
    <cs:effectRef idx="0"/>
    <cs:fontRef idx="minor">
      <a:schemeClr val="dk1"/>
    </cs:fontRef>
    <cs:spPr>
      <a:ln w="19050" cap="rnd">
        <a:solidFill>
          <a:schemeClr val="phClr">
            <a:alpha val="60000"/>
          </a:schemeClr>
        </a:solidFill>
        <a:round/>
      </a:ln>
    </cs:spPr>
  </cs:dataPointLine>
  <cs:dataPointMarker>
    <cs:lnRef idx="0">
      <cs:styleClr val="auto"/>
    </cs:lnRef>
    <cs:fillRef idx="0">
      <cs:styleClr val="auto"/>
    </cs:fillRef>
    <cs:effectRef idx="0"/>
    <cs:fontRef idx="minor">
      <a:schemeClr val="dk1"/>
    </cs:fontRef>
    <cs:spPr>
      <a:solidFill>
        <a:schemeClr val="lt1"/>
      </a:solidFill>
      <a:ln w="38100">
        <a:solidFill>
          <a:schemeClr val="phClr">
            <a:alpha val="60000"/>
          </a:schemeClr>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15000"/>
            <a:lumOff val="8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baseline="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a:solidFill>
          <a:schemeClr val="tx1">
            <a:lumMod val="15000"/>
            <a:lumOff val="85000"/>
          </a:schemeClr>
        </a:solidFill>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1600" b="0" i="0" kern="1200" cap="none" spc="50" normalizeH="0"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a:solidFill>
          <a:schemeClr val="tx1">
            <a:lumMod val="25000"/>
            <a:lumOff val="75000"/>
          </a:schemeClr>
        </a:solidFill>
      </a:ln>
    </cs:spPr>
    <cs:defRPr sz="900" kern="1200" spc="20" baseline="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 Id="rId9" Type="http://schemas.microsoft.com/office/2014/relationships/chartEx" Target="../charts/chartEx1.xml"/></Relationships>
</file>

<file path=xl/drawings/_rels/drawing3.xml.rels><?xml version="1.0" encoding="UTF-8" standalone="yes"?>
<Relationships xmlns="http://schemas.openxmlformats.org/package/2006/relationships"><Relationship Id="rId3" Type="http://schemas.openxmlformats.org/officeDocument/2006/relationships/image" Target="../media/image2.svg"/><Relationship Id="rId2" Type="http://schemas.openxmlformats.org/officeDocument/2006/relationships/image" Target="../media/image1.png"/><Relationship Id="rId1" Type="http://schemas.openxmlformats.org/officeDocument/2006/relationships/chart" Target="../charts/chart9.xml"/></Relationships>
</file>

<file path=xl/drawings/_rels/drawing4.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5.xml.rels><?xml version="1.0" encoding="UTF-8" standalone="yes"?>
<Relationships xmlns="http://schemas.openxmlformats.org/package/2006/relationships"><Relationship Id="rId3" Type="http://schemas.openxmlformats.org/officeDocument/2006/relationships/chart" Target="../charts/chart11.xml"/><Relationship Id="rId7" Type="http://schemas.openxmlformats.org/officeDocument/2006/relationships/chart" Target="../charts/chart15.xml"/><Relationship Id="rId2" Type="http://schemas.openxmlformats.org/officeDocument/2006/relationships/hyperlink" Target="https://www.piqsels.com/th/public-domain-photo-zbflc" TargetMode="External"/><Relationship Id="rId1" Type="http://schemas.openxmlformats.org/officeDocument/2006/relationships/image" Target="../media/image3.jpg"/><Relationship Id="rId6" Type="http://schemas.openxmlformats.org/officeDocument/2006/relationships/chart" Target="../charts/chart14.xml"/><Relationship Id="rId5" Type="http://schemas.openxmlformats.org/officeDocument/2006/relationships/chart" Target="../charts/chart13.xml"/><Relationship Id="rId4"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oneCellAnchor>
    <xdr:from>
      <xdr:col>1</xdr:col>
      <xdr:colOff>417479</xdr:colOff>
      <xdr:row>1</xdr:row>
      <xdr:rowOff>5443</xdr:rowOff>
    </xdr:from>
    <xdr:ext cx="8008064" cy="374141"/>
    <xdr:sp macro="" textlink="">
      <xdr:nvSpPr>
        <xdr:cNvPr id="2" name="Rectangle 1">
          <a:extLst>
            <a:ext uri="{FF2B5EF4-FFF2-40B4-BE49-F238E27FC236}">
              <a16:creationId xmlns:a16="http://schemas.microsoft.com/office/drawing/2014/main" id="{7EE1A043-FA6D-3CFB-AA0A-7FEF76F295BB}"/>
            </a:ext>
          </a:extLst>
        </xdr:cNvPr>
        <xdr:cNvSpPr/>
      </xdr:nvSpPr>
      <xdr:spPr>
        <a:xfrm>
          <a:off x="1070622" y="190500"/>
          <a:ext cx="8008064" cy="374141"/>
        </a:xfrm>
        <a:prstGeom prst="rect">
          <a:avLst/>
        </a:prstGeom>
        <a:noFill/>
      </xdr:spPr>
      <xdr:txBody>
        <a:bodyPr wrap="square" lIns="91440" tIns="45720" rIns="91440" bIns="45720">
          <a:spAutoFit/>
        </a:bodyPr>
        <a:lstStyle/>
        <a:p>
          <a:pPr algn="ctr"/>
          <a:endParaRPr lang="en-US" sz="1800" b="1" cap="none" spc="0">
            <a:ln w="0"/>
            <a:solidFill>
              <a:schemeClr val="accent1"/>
            </a:solidFill>
            <a:effectLst>
              <a:outerShdw blurRad="38100" dist="25400" dir="5400000" algn="ctr" rotWithShape="0">
                <a:srgbClr val="6E747A">
                  <a:alpha val="43000"/>
                </a:srgbClr>
              </a:outerShdw>
            </a:effectLst>
          </a:endParaRPr>
        </a:p>
      </xdr:txBody>
    </xdr:sp>
    <xdr:clientData/>
  </xdr:oneCellAnchor>
</xdr:wsDr>
</file>

<file path=xl/drawings/drawing2.xml><?xml version="1.0" encoding="utf-8"?>
<xdr:wsDr xmlns:xdr="http://schemas.openxmlformats.org/drawingml/2006/spreadsheetDrawing" xmlns:a="http://schemas.openxmlformats.org/drawingml/2006/main">
  <xdr:twoCellAnchor>
    <xdr:from>
      <xdr:col>11</xdr:col>
      <xdr:colOff>0</xdr:colOff>
      <xdr:row>9</xdr:row>
      <xdr:rowOff>0</xdr:rowOff>
    </xdr:from>
    <xdr:to>
      <xdr:col>18</xdr:col>
      <xdr:colOff>0</xdr:colOff>
      <xdr:row>23</xdr:row>
      <xdr:rowOff>152400</xdr:rowOff>
    </xdr:to>
    <xdr:graphicFrame macro="">
      <xdr:nvGraphicFramePr>
        <xdr:cNvPr id="3" name="Chart 2">
          <a:extLst>
            <a:ext uri="{FF2B5EF4-FFF2-40B4-BE49-F238E27FC236}">
              <a16:creationId xmlns:a16="http://schemas.microsoft.com/office/drawing/2014/main" id="{8AAFBD93-2424-45BB-86B2-94F74F629B9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4692</xdr:colOff>
      <xdr:row>28</xdr:row>
      <xdr:rowOff>0</xdr:rowOff>
    </xdr:from>
    <xdr:to>
      <xdr:col>10</xdr:col>
      <xdr:colOff>11261</xdr:colOff>
      <xdr:row>42</xdr:row>
      <xdr:rowOff>181303</xdr:rowOff>
    </xdr:to>
    <xdr:graphicFrame macro="">
      <xdr:nvGraphicFramePr>
        <xdr:cNvPr id="5" name="Chart 4">
          <a:extLst>
            <a:ext uri="{FF2B5EF4-FFF2-40B4-BE49-F238E27FC236}">
              <a16:creationId xmlns:a16="http://schemas.microsoft.com/office/drawing/2014/main" id="{AD75F018-76ED-4920-9143-52EB464A181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0</xdr:colOff>
      <xdr:row>28</xdr:row>
      <xdr:rowOff>0</xdr:rowOff>
    </xdr:from>
    <xdr:to>
      <xdr:col>18</xdr:col>
      <xdr:colOff>6569</xdr:colOff>
      <xdr:row>42</xdr:row>
      <xdr:rowOff>181303</xdr:rowOff>
    </xdr:to>
    <xdr:graphicFrame macro="">
      <xdr:nvGraphicFramePr>
        <xdr:cNvPr id="6" name="Chart 5">
          <a:extLst>
            <a:ext uri="{FF2B5EF4-FFF2-40B4-BE49-F238E27FC236}">
              <a16:creationId xmlns:a16="http://schemas.microsoft.com/office/drawing/2014/main" id="{AB1D6E8F-FCDB-4164-BFC4-93113146C09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0</xdr:colOff>
      <xdr:row>50</xdr:row>
      <xdr:rowOff>0</xdr:rowOff>
    </xdr:from>
    <xdr:to>
      <xdr:col>10</xdr:col>
      <xdr:colOff>6569</xdr:colOff>
      <xdr:row>64</xdr:row>
      <xdr:rowOff>181303</xdr:rowOff>
    </xdr:to>
    <xdr:graphicFrame macro="">
      <xdr:nvGraphicFramePr>
        <xdr:cNvPr id="10" name="Chart 9">
          <a:extLst>
            <a:ext uri="{FF2B5EF4-FFF2-40B4-BE49-F238E27FC236}">
              <a16:creationId xmlns:a16="http://schemas.microsoft.com/office/drawing/2014/main" id="{2A1BC796-DEC4-4D3E-ADA3-2629CB74636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0</xdr:colOff>
      <xdr:row>50</xdr:row>
      <xdr:rowOff>0</xdr:rowOff>
    </xdr:from>
    <xdr:to>
      <xdr:col>18</xdr:col>
      <xdr:colOff>6569</xdr:colOff>
      <xdr:row>64</xdr:row>
      <xdr:rowOff>181303</xdr:rowOff>
    </xdr:to>
    <xdr:graphicFrame macro="">
      <xdr:nvGraphicFramePr>
        <xdr:cNvPr id="11" name="Chart 10">
          <a:extLst>
            <a:ext uri="{FF2B5EF4-FFF2-40B4-BE49-F238E27FC236}">
              <a16:creationId xmlns:a16="http://schemas.microsoft.com/office/drawing/2014/main" id="{C82A0DA3-A726-43B4-AE4D-9DF0ABD9DA7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637659</xdr:colOff>
      <xdr:row>68</xdr:row>
      <xdr:rowOff>178302</xdr:rowOff>
    </xdr:from>
    <xdr:to>
      <xdr:col>10</xdr:col>
      <xdr:colOff>9071</xdr:colOff>
      <xdr:row>83</xdr:row>
      <xdr:rowOff>136071</xdr:rowOff>
    </xdr:to>
    <xdr:graphicFrame macro="">
      <xdr:nvGraphicFramePr>
        <xdr:cNvPr id="12" name="Chart 11">
          <a:extLst>
            <a:ext uri="{FF2B5EF4-FFF2-40B4-BE49-F238E27FC236}">
              <a16:creationId xmlns:a16="http://schemas.microsoft.com/office/drawing/2014/main" id="{7EEC4ACD-6730-426E-ABFC-1BA948746F0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xdr:col>
      <xdr:colOff>639536</xdr:colOff>
      <xdr:row>89</xdr:row>
      <xdr:rowOff>9072</xdr:rowOff>
    </xdr:from>
    <xdr:to>
      <xdr:col>10</xdr:col>
      <xdr:colOff>66044</xdr:colOff>
      <xdr:row>103</xdr:row>
      <xdr:rowOff>148772</xdr:rowOff>
    </xdr:to>
    <xdr:graphicFrame macro="">
      <xdr:nvGraphicFramePr>
        <xdr:cNvPr id="15" name="Chart 14">
          <a:extLst>
            <a:ext uri="{FF2B5EF4-FFF2-40B4-BE49-F238E27FC236}">
              <a16:creationId xmlns:a16="http://schemas.microsoft.com/office/drawing/2014/main" id="{40DBF4CE-957D-4A61-A68F-37CA65EEAB8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3</xdr:col>
      <xdr:colOff>0</xdr:colOff>
      <xdr:row>9</xdr:row>
      <xdr:rowOff>0</xdr:rowOff>
    </xdr:from>
    <xdr:to>
      <xdr:col>10</xdr:col>
      <xdr:colOff>0</xdr:colOff>
      <xdr:row>23</xdr:row>
      <xdr:rowOff>139700</xdr:rowOff>
    </xdr:to>
    <xdr:graphicFrame macro="">
      <xdr:nvGraphicFramePr>
        <xdr:cNvPr id="7" name="Chart 6">
          <a:extLst>
            <a:ext uri="{FF2B5EF4-FFF2-40B4-BE49-F238E27FC236}">
              <a16:creationId xmlns:a16="http://schemas.microsoft.com/office/drawing/2014/main" id="{39828CB1-D88C-4C24-B8D3-BEE98D984E5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10</xdr:col>
      <xdr:colOff>653142</xdr:colOff>
      <xdr:row>68</xdr:row>
      <xdr:rowOff>170541</xdr:rowOff>
    </xdr:from>
    <xdr:to>
      <xdr:col>18</xdr:col>
      <xdr:colOff>40821</xdr:colOff>
      <xdr:row>84</xdr:row>
      <xdr:rowOff>9070</xdr:rowOff>
    </xdr:to>
    <mc:AlternateContent xmlns:mc="http://schemas.openxmlformats.org/markup-compatibility/2006">
      <mc:Choice xmlns:cx2="http://schemas.microsoft.com/office/drawing/2015/10/21/chartex" Requires="cx2">
        <xdr:graphicFrame macro="">
          <xdr:nvGraphicFramePr>
            <xdr:cNvPr id="8" name="Chart 7">
              <a:extLst>
                <a:ext uri="{FF2B5EF4-FFF2-40B4-BE49-F238E27FC236}">
                  <a16:creationId xmlns:a16="http://schemas.microsoft.com/office/drawing/2014/main" id="{F885BEAA-B4A2-4599-6D81-C53AD422BAFF}"/>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9"/>
            </a:graphicData>
          </a:graphic>
        </xdr:graphicFrame>
      </mc:Choice>
      <mc:Fallback>
        <xdr:sp macro="" textlink="">
          <xdr:nvSpPr>
            <xdr:cNvPr id="0" name=""/>
            <xdr:cNvSpPr>
              <a:spLocks noTextEdit="1"/>
            </xdr:cNvSpPr>
          </xdr:nvSpPr>
          <xdr:spPr>
            <a:xfrm>
              <a:off x="7407728" y="12972141"/>
              <a:ext cx="4612822" cy="3202215"/>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11</xdr:col>
      <xdr:colOff>352291</xdr:colOff>
      <xdr:row>7</xdr:row>
      <xdr:rowOff>57770</xdr:rowOff>
    </xdr:from>
    <xdr:to>
      <xdr:col>18</xdr:col>
      <xdr:colOff>338214</xdr:colOff>
      <xdr:row>28</xdr:row>
      <xdr:rowOff>143232</xdr:rowOff>
    </xdr:to>
    <xdr:graphicFrame macro="">
      <xdr:nvGraphicFramePr>
        <xdr:cNvPr id="2" name="Chart 1">
          <a:extLst>
            <a:ext uri="{FF2B5EF4-FFF2-40B4-BE49-F238E27FC236}">
              <a16:creationId xmlns:a16="http://schemas.microsoft.com/office/drawing/2014/main" id="{131CE50C-F1A2-4CE0-B2C9-517E3F30C3E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14</xdr:col>
      <xdr:colOff>999005</xdr:colOff>
      <xdr:row>35</xdr:row>
      <xdr:rowOff>172242</xdr:rowOff>
    </xdr:from>
    <xdr:to>
      <xdr:col>14</xdr:col>
      <xdr:colOff>1267704</xdr:colOff>
      <xdr:row>37</xdr:row>
      <xdr:rowOff>41338</xdr:rowOff>
    </xdr:to>
    <xdr:pic>
      <xdr:nvPicPr>
        <xdr:cNvPr id="5" name="Graphic 4" descr="Upward trend with solid fill">
          <a:extLst>
            <a:ext uri="{FF2B5EF4-FFF2-40B4-BE49-F238E27FC236}">
              <a16:creationId xmlns:a16="http://schemas.microsoft.com/office/drawing/2014/main" id="{E440577E-8CCB-3780-5399-E978AEA54B1F}"/>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15446690" y="6869023"/>
          <a:ext cx="268699" cy="268699"/>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1</xdr:col>
      <xdr:colOff>3550</xdr:colOff>
      <xdr:row>18</xdr:row>
      <xdr:rowOff>116310</xdr:rowOff>
    </xdr:from>
    <xdr:to>
      <xdr:col>7</xdr:col>
      <xdr:colOff>11832</xdr:colOff>
      <xdr:row>31</xdr:row>
      <xdr:rowOff>82826</xdr:rowOff>
    </xdr:to>
    <xdr:graphicFrame macro="">
      <xdr:nvGraphicFramePr>
        <xdr:cNvPr id="2" name="Chart 1">
          <a:extLst>
            <a:ext uri="{FF2B5EF4-FFF2-40B4-BE49-F238E27FC236}">
              <a16:creationId xmlns:a16="http://schemas.microsoft.com/office/drawing/2014/main" id="{584A6A95-1F9A-A9B0-F395-4A285C508F2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editAs="oneCell">
    <xdr:from>
      <xdr:col>4</xdr:col>
      <xdr:colOff>318905</xdr:colOff>
      <xdr:row>1</xdr:row>
      <xdr:rowOff>11554</xdr:rowOff>
    </xdr:from>
    <xdr:to>
      <xdr:col>24</xdr:col>
      <xdr:colOff>81064</xdr:colOff>
      <xdr:row>52</xdr:row>
      <xdr:rowOff>81063</xdr:rowOff>
    </xdr:to>
    <xdr:pic>
      <xdr:nvPicPr>
        <xdr:cNvPr id="163" name="Picture 162">
          <a:extLst>
            <a:ext uri="{FF2B5EF4-FFF2-40B4-BE49-F238E27FC236}">
              <a16:creationId xmlns:a16="http://schemas.microsoft.com/office/drawing/2014/main" id="{31B4EF0D-F42E-20E2-48A1-B8FB78AC6F84}"/>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837473B0-CC2E-450A-ABE3-18F120FF3D39}">
              <a1611:picAttrSrcUrl xmlns:a1611="http://schemas.microsoft.com/office/drawing/2016/11/main" r:id="rId2"/>
            </a:ext>
          </a:extLst>
        </a:blip>
        <a:stretch>
          <a:fillRect/>
        </a:stretch>
      </xdr:blipFill>
      <xdr:spPr>
        <a:xfrm>
          <a:off x="3597735" y="195168"/>
          <a:ext cx="12877477" cy="9433847"/>
        </a:xfrm>
        <a:prstGeom prst="rect">
          <a:avLst/>
        </a:prstGeom>
      </xdr:spPr>
    </xdr:pic>
    <xdr:clientData/>
  </xdr:twoCellAnchor>
  <xdr:oneCellAnchor>
    <xdr:from>
      <xdr:col>8</xdr:col>
      <xdr:colOff>385108</xdr:colOff>
      <xdr:row>12</xdr:row>
      <xdr:rowOff>112965</xdr:rowOff>
    </xdr:from>
    <xdr:ext cx="184731" cy="311496"/>
    <xdr:sp macro="" textlink="">
      <xdr:nvSpPr>
        <xdr:cNvPr id="57" name="TextBox 56">
          <a:extLst>
            <a:ext uri="{FF2B5EF4-FFF2-40B4-BE49-F238E27FC236}">
              <a16:creationId xmlns:a16="http://schemas.microsoft.com/office/drawing/2014/main" id="{E7480828-1113-D643-27C1-9D43EBFEFEDD}"/>
            </a:ext>
          </a:extLst>
        </xdr:cNvPr>
        <xdr:cNvSpPr txBox="1"/>
      </xdr:nvSpPr>
      <xdr:spPr>
        <a:xfrm>
          <a:off x="6287001" y="2316338"/>
          <a:ext cx="184731"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400" b="1">
            <a:solidFill>
              <a:schemeClr val="accent1">
                <a:lumMod val="50000"/>
              </a:schemeClr>
            </a:solidFill>
          </a:endParaRPr>
        </a:p>
      </xdr:txBody>
    </xdr:sp>
    <xdr:clientData/>
  </xdr:oneCellAnchor>
  <xdr:oneCellAnchor>
    <xdr:from>
      <xdr:col>10</xdr:col>
      <xdr:colOff>20600</xdr:colOff>
      <xdr:row>12</xdr:row>
      <xdr:rowOff>108847</xdr:rowOff>
    </xdr:from>
    <xdr:ext cx="184730" cy="311496"/>
    <xdr:sp macro="" textlink="">
      <xdr:nvSpPr>
        <xdr:cNvPr id="58" name="Rectangle 57">
          <a:extLst>
            <a:ext uri="{FF2B5EF4-FFF2-40B4-BE49-F238E27FC236}">
              <a16:creationId xmlns:a16="http://schemas.microsoft.com/office/drawing/2014/main" id="{E60C3A37-A5CA-B88E-C53B-6C9FAA6B438C}"/>
            </a:ext>
          </a:extLst>
        </xdr:cNvPr>
        <xdr:cNvSpPr/>
      </xdr:nvSpPr>
      <xdr:spPr>
        <a:xfrm>
          <a:off x="7234025" y="2312220"/>
          <a:ext cx="184730" cy="311496"/>
        </a:xfrm>
        <a:prstGeom prst="rect">
          <a:avLst/>
        </a:prstGeom>
        <a:noFill/>
      </xdr:spPr>
      <xdr:txBody>
        <a:bodyPr wrap="none" lIns="91440" tIns="45720" rIns="91440" bIns="45720">
          <a:spAutoFit/>
        </a:bodyPr>
        <a:lstStyle/>
        <a:p>
          <a:pPr algn="ctr"/>
          <a:endParaRPr lang="en-IN" sz="1400" b="1" cap="none" spc="0">
            <a:ln w="12700">
              <a:solidFill>
                <a:schemeClr val="accent1"/>
              </a:solidFill>
              <a:prstDash val="solid"/>
            </a:ln>
            <a:pattFill prst="pct50">
              <a:fgClr>
                <a:schemeClr val="accent1"/>
              </a:fgClr>
              <a:bgClr>
                <a:schemeClr val="accent1">
                  <a:lumMod val="20000"/>
                  <a:lumOff val="80000"/>
                </a:schemeClr>
              </a:bgClr>
            </a:pattFill>
            <a:effectLst>
              <a:outerShdw dist="38100" dir="2640000" algn="bl" rotWithShape="0">
                <a:schemeClr val="accent1"/>
              </a:outerShdw>
            </a:effectLst>
          </a:endParaRPr>
        </a:p>
      </xdr:txBody>
    </xdr:sp>
    <xdr:clientData/>
  </xdr:oneCellAnchor>
  <xdr:twoCellAnchor>
    <xdr:from>
      <xdr:col>9</xdr:col>
      <xdr:colOff>439140</xdr:colOff>
      <xdr:row>21</xdr:row>
      <xdr:rowOff>129886</xdr:rowOff>
    </xdr:from>
    <xdr:to>
      <xdr:col>16</xdr:col>
      <xdr:colOff>531916</xdr:colOff>
      <xdr:row>37</xdr:row>
      <xdr:rowOff>148441</xdr:rowOff>
    </xdr:to>
    <xdr:graphicFrame macro="">
      <xdr:nvGraphicFramePr>
        <xdr:cNvPr id="75" name="Chart 74">
          <a:extLst>
            <a:ext uri="{FF2B5EF4-FFF2-40B4-BE49-F238E27FC236}">
              <a16:creationId xmlns:a16="http://schemas.microsoft.com/office/drawing/2014/main" id="{9B6913FB-4038-4A15-ACA6-2BBBBA05E1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16</xdr:col>
      <xdr:colOff>494806</xdr:colOff>
      <xdr:row>21</xdr:row>
      <xdr:rowOff>136071</xdr:rowOff>
    </xdr:from>
    <xdr:to>
      <xdr:col>24</xdr:col>
      <xdr:colOff>12368</xdr:colOff>
      <xdr:row>37</xdr:row>
      <xdr:rowOff>148439</xdr:rowOff>
    </xdr:to>
    <xdr:graphicFrame macro="">
      <xdr:nvGraphicFramePr>
        <xdr:cNvPr id="80" name="Chart 79">
          <a:extLst>
            <a:ext uri="{FF2B5EF4-FFF2-40B4-BE49-F238E27FC236}">
              <a16:creationId xmlns:a16="http://schemas.microsoft.com/office/drawing/2014/main" id="{208158BC-0ACD-414D-9B52-F90A6F184E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445325</xdr:colOff>
      <xdr:row>37</xdr:row>
      <xdr:rowOff>160815</xdr:rowOff>
    </xdr:from>
    <xdr:to>
      <xdr:col>24</xdr:col>
      <xdr:colOff>16808</xdr:colOff>
      <xdr:row>50</xdr:row>
      <xdr:rowOff>117514</xdr:rowOff>
    </xdr:to>
    <xdr:graphicFrame macro="">
      <xdr:nvGraphicFramePr>
        <xdr:cNvPr id="85" name="Chart 84">
          <a:extLst>
            <a:ext uri="{FF2B5EF4-FFF2-40B4-BE49-F238E27FC236}">
              <a16:creationId xmlns:a16="http://schemas.microsoft.com/office/drawing/2014/main" id="{8B9806E7-2A1A-41E6-B338-0F795F68316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oneCellAnchor>
    <xdr:from>
      <xdr:col>11</xdr:col>
      <xdr:colOff>374837</xdr:colOff>
      <xdr:row>1</xdr:row>
      <xdr:rowOff>56484</xdr:rowOff>
    </xdr:from>
    <xdr:ext cx="3517319" cy="349054"/>
    <xdr:sp macro="" textlink="">
      <xdr:nvSpPr>
        <xdr:cNvPr id="89" name="TextBox 88">
          <a:extLst>
            <a:ext uri="{FF2B5EF4-FFF2-40B4-BE49-F238E27FC236}">
              <a16:creationId xmlns:a16="http://schemas.microsoft.com/office/drawing/2014/main" id="{2E9F5A31-F6B3-4F99-A00F-528675B24544}"/>
            </a:ext>
          </a:extLst>
        </xdr:cNvPr>
        <xdr:cNvSpPr txBox="1"/>
      </xdr:nvSpPr>
      <xdr:spPr>
        <a:xfrm>
          <a:off x="8244029" y="240098"/>
          <a:ext cx="3517319" cy="349054"/>
        </a:xfrm>
        <a:prstGeom prst="rect">
          <a:avLst/>
        </a:prstGeom>
        <a:solidFill>
          <a:schemeClr val="accent4">
            <a:lumMod val="60000"/>
            <a:lumOff val="4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IN" sz="1400" b="1">
              <a:solidFill>
                <a:schemeClr val="accent2">
                  <a:lumMod val="50000"/>
                </a:schemeClr>
              </a:solidFill>
            </a:rPr>
            <a:t>BIKE</a:t>
          </a:r>
          <a:r>
            <a:rPr lang="en-IN" sz="1400" b="1" baseline="0">
              <a:solidFill>
                <a:schemeClr val="accent2">
                  <a:lumMod val="50000"/>
                </a:schemeClr>
              </a:solidFill>
            </a:rPr>
            <a:t> RENTALS DEMAND </a:t>
          </a:r>
          <a:r>
            <a:rPr lang="en-IN" sz="1400" b="1">
              <a:solidFill>
                <a:schemeClr val="accent2">
                  <a:lumMod val="50000"/>
                </a:schemeClr>
              </a:solidFill>
            </a:rPr>
            <a:t>DASHBOARD</a:t>
          </a:r>
        </a:p>
      </xdr:txBody>
    </xdr:sp>
    <xdr:clientData/>
  </xdr:oneCellAnchor>
  <xdr:twoCellAnchor>
    <xdr:from>
      <xdr:col>7</xdr:col>
      <xdr:colOff>162681</xdr:colOff>
      <xdr:row>3</xdr:row>
      <xdr:rowOff>91892</xdr:rowOff>
    </xdr:from>
    <xdr:to>
      <xdr:col>22</xdr:col>
      <xdr:colOff>91725</xdr:colOff>
      <xdr:row>6</xdr:row>
      <xdr:rowOff>133288</xdr:rowOff>
    </xdr:to>
    <xdr:grpSp>
      <xdr:nvGrpSpPr>
        <xdr:cNvPr id="182" name="Group 181">
          <a:extLst>
            <a:ext uri="{FF2B5EF4-FFF2-40B4-BE49-F238E27FC236}">
              <a16:creationId xmlns:a16="http://schemas.microsoft.com/office/drawing/2014/main" id="{9662EE16-6C50-1D22-0225-D0FA32F1D736}"/>
            </a:ext>
          </a:extLst>
        </xdr:cNvPr>
        <xdr:cNvGrpSpPr/>
      </xdr:nvGrpSpPr>
      <xdr:grpSpPr>
        <a:xfrm>
          <a:off x="4718116" y="642094"/>
          <a:ext cx="9690689" cy="591597"/>
          <a:chOff x="3046099" y="1426687"/>
          <a:chExt cx="9745626" cy="605121"/>
        </a:xfrm>
      </xdr:grpSpPr>
      <xdr:grpSp>
        <xdr:nvGrpSpPr>
          <xdr:cNvPr id="72" name="Group 71">
            <a:extLst>
              <a:ext uri="{FF2B5EF4-FFF2-40B4-BE49-F238E27FC236}">
                <a16:creationId xmlns:a16="http://schemas.microsoft.com/office/drawing/2014/main" id="{C77E226E-B5CB-4853-6C1C-7A7A1BECA562}"/>
              </a:ext>
            </a:extLst>
          </xdr:cNvPr>
          <xdr:cNvGrpSpPr/>
        </xdr:nvGrpSpPr>
        <xdr:grpSpPr>
          <a:xfrm>
            <a:off x="3046099" y="1431067"/>
            <a:ext cx="7283844" cy="600741"/>
            <a:chOff x="896943" y="1323126"/>
            <a:chExt cx="7439379" cy="713179"/>
          </a:xfrm>
        </xdr:grpSpPr>
        <xdr:grpSp>
          <xdr:nvGrpSpPr>
            <xdr:cNvPr id="25" name="Group 24">
              <a:extLst>
                <a:ext uri="{FF2B5EF4-FFF2-40B4-BE49-F238E27FC236}">
                  <a16:creationId xmlns:a16="http://schemas.microsoft.com/office/drawing/2014/main" id="{339E0129-626F-49BE-A972-BCDEFC0C8CAF}"/>
                </a:ext>
              </a:extLst>
            </xdr:cNvPr>
            <xdr:cNvGrpSpPr/>
          </xdr:nvGrpSpPr>
          <xdr:grpSpPr>
            <a:xfrm>
              <a:off x="896943" y="1323126"/>
              <a:ext cx="2439018" cy="693195"/>
              <a:chOff x="836968" y="1083435"/>
              <a:chExt cx="2439018" cy="693195"/>
            </a:xfrm>
          </xdr:grpSpPr>
          <xdr:sp macro="" textlink="">
            <xdr:nvSpPr>
              <xdr:cNvPr id="26" name="Arrow: Chevron 25">
                <a:extLst>
                  <a:ext uri="{FF2B5EF4-FFF2-40B4-BE49-F238E27FC236}">
                    <a16:creationId xmlns:a16="http://schemas.microsoft.com/office/drawing/2014/main" id="{658AF9C7-598E-7455-FF42-74DB8F8F3D40}"/>
                  </a:ext>
                </a:extLst>
              </xdr:cNvPr>
              <xdr:cNvSpPr/>
            </xdr:nvSpPr>
            <xdr:spPr>
              <a:xfrm>
                <a:off x="1792037" y="1088571"/>
                <a:ext cx="1483949" cy="682923"/>
              </a:xfrm>
              <a:prstGeom prst="chevron">
                <a:avLst/>
              </a:prstGeom>
              <a:gradFill flip="none" rotWithShape="1">
                <a:gsLst>
                  <a:gs pos="0">
                    <a:schemeClr val="accent4">
                      <a:lumMod val="67000"/>
                    </a:schemeClr>
                  </a:gs>
                  <a:gs pos="48000">
                    <a:schemeClr val="accent4">
                      <a:lumMod val="97000"/>
                      <a:lumOff val="3000"/>
                    </a:schemeClr>
                  </a:gs>
                  <a:gs pos="100000">
                    <a:schemeClr val="accent4">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IN" sz="1100">
                  <a:solidFill>
                    <a:schemeClr val="tx1"/>
                  </a:solidFill>
                </a:endParaRPr>
              </a:p>
            </xdr:txBody>
          </xdr:sp>
          <xdr:sp macro="" textlink="">
            <xdr:nvSpPr>
              <xdr:cNvPr id="27" name="Arrow: Pentagon 26">
                <a:extLst>
                  <a:ext uri="{FF2B5EF4-FFF2-40B4-BE49-F238E27FC236}">
                    <a16:creationId xmlns:a16="http://schemas.microsoft.com/office/drawing/2014/main" id="{9E576244-1B21-DB35-0EDD-26B7F1AB6198}"/>
                  </a:ext>
                </a:extLst>
              </xdr:cNvPr>
              <xdr:cNvSpPr/>
            </xdr:nvSpPr>
            <xdr:spPr>
              <a:xfrm>
                <a:off x="836968" y="1083435"/>
                <a:ext cx="1819351" cy="693195"/>
              </a:xfrm>
              <a:prstGeom prst="homePlate">
                <a:avLst/>
              </a:prstGeom>
              <a:gradFill flip="none" rotWithShape="1">
                <a:gsLst>
                  <a:gs pos="0">
                    <a:schemeClr val="accent5">
                      <a:lumMod val="67000"/>
                    </a:schemeClr>
                  </a:gs>
                  <a:gs pos="48000">
                    <a:schemeClr val="accent5">
                      <a:lumMod val="97000"/>
                      <a:lumOff val="3000"/>
                    </a:schemeClr>
                  </a:gs>
                  <a:gs pos="100000">
                    <a:schemeClr val="accent5">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IN" sz="1100"/>
              </a:p>
            </xdr:txBody>
          </xdr:sp>
        </xdr:grpSp>
        <xdr:grpSp>
          <xdr:nvGrpSpPr>
            <xdr:cNvPr id="38" name="Group 37">
              <a:extLst>
                <a:ext uri="{FF2B5EF4-FFF2-40B4-BE49-F238E27FC236}">
                  <a16:creationId xmlns:a16="http://schemas.microsoft.com/office/drawing/2014/main" id="{7910ABF3-DEE4-4BDB-BE90-25718A896214}"/>
                </a:ext>
              </a:extLst>
            </xdr:cNvPr>
            <xdr:cNvGrpSpPr/>
          </xdr:nvGrpSpPr>
          <xdr:grpSpPr>
            <a:xfrm>
              <a:off x="5923186" y="1326063"/>
              <a:ext cx="2413136" cy="693195"/>
              <a:chOff x="-1635971" y="1053714"/>
              <a:chExt cx="2439018" cy="693195"/>
            </a:xfrm>
          </xdr:grpSpPr>
          <xdr:sp macro="" textlink="">
            <xdr:nvSpPr>
              <xdr:cNvPr id="39" name="Arrow: Chevron 38">
                <a:extLst>
                  <a:ext uri="{FF2B5EF4-FFF2-40B4-BE49-F238E27FC236}">
                    <a16:creationId xmlns:a16="http://schemas.microsoft.com/office/drawing/2014/main" id="{FAB4578C-5BD1-8A73-1C75-39FE281596BE}"/>
                  </a:ext>
                </a:extLst>
              </xdr:cNvPr>
              <xdr:cNvSpPr/>
            </xdr:nvSpPr>
            <xdr:spPr>
              <a:xfrm>
                <a:off x="-680902" y="1058851"/>
                <a:ext cx="1483949" cy="682924"/>
              </a:xfrm>
              <a:prstGeom prst="chevron">
                <a:avLst/>
              </a:prstGeom>
              <a:gradFill flip="none" rotWithShape="1">
                <a:gsLst>
                  <a:gs pos="0">
                    <a:schemeClr val="accent4">
                      <a:lumMod val="67000"/>
                    </a:schemeClr>
                  </a:gs>
                  <a:gs pos="48000">
                    <a:schemeClr val="accent4">
                      <a:lumMod val="97000"/>
                      <a:lumOff val="3000"/>
                    </a:schemeClr>
                  </a:gs>
                  <a:gs pos="100000">
                    <a:schemeClr val="accent4">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IN" sz="1100">
                  <a:solidFill>
                    <a:schemeClr val="tx1"/>
                  </a:solidFill>
                </a:endParaRPr>
              </a:p>
            </xdr:txBody>
          </xdr:sp>
          <xdr:sp macro="" textlink="">
            <xdr:nvSpPr>
              <xdr:cNvPr id="40" name="Arrow: Pentagon 39">
                <a:extLst>
                  <a:ext uri="{FF2B5EF4-FFF2-40B4-BE49-F238E27FC236}">
                    <a16:creationId xmlns:a16="http://schemas.microsoft.com/office/drawing/2014/main" id="{88140BE5-BA20-ACA7-D232-2D99204D4A11}"/>
                  </a:ext>
                </a:extLst>
              </xdr:cNvPr>
              <xdr:cNvSpPr/>
            </xdr:nvSpPr>
            <xdr:spPr>
              <a:xfrm>
                <a:off x="-1635971" y="1053714"/>
                <a:ext cx="1847376" cy="693195"/>
              </a:xfrm>
              <a:prstGeom prst="homePlate">
                <a:avLst/>
              </a:prstGeom>
              <a:gradFill flip="none" rotWithShape="1">
                <a:gsLst>
                  <a:gs pos="0">
                    <a:schemeClr val="accent5">
                      <a:lumMod val="67000"/>
                    </a:schemeClr>
                  </a:gs>
                  <a:gs pos="48000">
                    <a:schemeClr val="accent5">
                      <a:lumMod val="97000"/>
                      <a:lumOff val="3000"/>
                    </a:schemeClr>
                  </a:gs>
                  <a:gs pos="100000">
                    <a:schemeClr val="accent5">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IN" sz="1100"/>
              </a:p>
            </xdr:txBody>
          </xdr:sp>
        </xdr:grpSp>
        <xdr:grpSp>
          <xdr:nvGrpSpPr>
            <xdr:cNvPr id="35" name="Group 34">
              <a:extLst>
                <a:ext uri="{FF2B5EF4-FFF2-40B4-BE49-F238E27FC236}">
                  <a16:creationId xmlns:a16="http://schemas.microsoft.com/office/drawing/2014/main" id="{9321B704-1E3B-43BD-A4AC-520FF0B8A9DA}"/>
                </a:ext>
              </a:extLst>
            </xdr:cNvPr>
            <xdr:cNvGrpSpPr/>
          </xdr:nvGrpSpPr>
          <xdr:grpSpPr>
            <a:xfrm>
              <a:off x="3398520" y="1343110"/>
              <a:ext cx="2505860" cy="693195"/>
              <a:chOff x="-1609731" y="1053714"/>
              <a:chExt cx="2505860" cy="693195"/>
            </a:xfrm>
          </xdr:grpSpPr>
          <xdr:sp macro="" textlink="">
            <xdr:nvSpPr>
              <xdr:cNvPr id="36" name="Arrow: Chevron 35">
                <a:extLst>
                  <a:ext uri="{FF2B5EF4-FFF2-40B4-BE49-F238E27FC236}">
                    <a16:creationId xmlns:a16="http://schemas.microsoft.com/office/drawing/2014/main" id="{0CCEC2F7-4BD4-2125-2CB0-41E3ACA5A6E0}"/>
                  </a:ext>
                </a:extLst>
              </xdr:cNvPr>
              <xdr:cNvSpPr/>
            </xdr:nvSpPr>
            <xdr:spPr>
              <a:xfrm>
                <a:off x="-587820" y="1058851"/>
                <a:ext cx="1483949" cy="682923"/>
              </a:xfrm>
              <a:prstGeom prst="chevron">
                <a:avLst/>
              </a:prstGeom>
              <a:gradFill flip="none" rotWithShape="1">
                <a:gsLst>
                  <a:gs pos="0">
                    <a:schemeClr val="accent4">
                      <a:lumMod val="67000"/>
                    </a:schemeClr>
                  </a:gs>
                  <a:gs pos="48000">
                    <a:schemeClr val="accent4">
                      <a:lumMod val="97000"/>
                      <a:lumOff val="3000"/>
                    </a:schemeClr>
                  </a:gs>
                  <a:gs pos="100000">
                    <a:schemeClr val="accent4">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IN" sz="1100">
                  <a:solidFill>
                    <a:schemeClr val="tx1"/>
                  </a:solidFill>
                </a:endParaRPr>
              </a:p>
            </xdr:txBody>
          </xdr:sp>
          <xdr:sp macro="" textlink="">
            <xdr:nvSpPr>
              <xdr:cNvPr id="37" name="Arrow: Pentagon 36">
                <a:extLst>
                  <a:ext uri="{FF2B5EF4-FFF2-40B4-BE49-F238E27FC236}">
                    <a16:creationId xmlns:a16="http://schemas.microsoft.com/office/drawing/2014/main" id="{61221911-F4B8-89B5-2F0F-8C02BEFE4954}"/>
                  </a:ext>
                </a:extLst>
              </xdr:cNvPr>
              <xdr:cNvSpPr/>
            </xdr:nvSpPr>
            <xdr:spPr>
              <a:xfrm>
                <a:off x="-1609731" y="1053714"/>
                <a:ext cx="1851803" cy="693195"/>
              </a:xfrm>
              <a:prstGeom prst="homePlate">
                <a:avLst/>
              </a:prstGeom>
              <a:gradFill flip="none" rotWithShape="1">
                <a:gsLst>
                  <a:gs pos="0">
                    <a:schemeClr val="accent5">
                      <a:lumMod val="67000"/>
                    </a:schemeClr>
                  </a:gs>
                  <a:gs pos="48000">
                    <a:schemeClr val="accent5">
                      <a:lumMod val="97000"/>
                      <a:lumOff val="3000"/>
                    </a:schemeClr>
                  </a:gs>
                  <a:gs pos="100000">
                    <a:schemeClr val="accent5">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IN" sz="1100"/>
              </a:p>
            </xdr:txBody>
          </xdr:sp>
        </xdr:grpSp>
        <xdr:sp macro="" textlink="">
          <xdr:nvSpPr>
            <xdr:cNvPr id="44" name="TextBox 43">
              <a:extLst>
                <a:ext uri="{FF2B5EF4-FFF2-40B4-BE49-F238E27FC236}">
                  <a16:creationId xmlns:a16="http://schemas.microsoft.com/office/drawing/2014/main" id="{7E055E29-512C-592B-D055-9D013E9FBA65}"/>
                </a:ext>
              </a:extLst>
            </xdr:cNvPr>
            <xdr:cNvSpPr txBox="1"/>
          </xdr:nvSpPr>
          <xdr:spPr>
            <a:xfrm>
              <a:off x="1121523" y="1457809"/>
              <a:ext cx="1288827" cy="3029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IN" sz="1400" b="1">
                  <a:solidFill>
                    <a:schemeClr val="bg1"/>
                  </a:solidFill>
                  <a:effectLst/>
                  <a:latin typeface="+mn-lt"/>
                  <a:ea typeface="+mn-ea"/>
                  <a:cs typeface="+mn-cs"/>
                </a:rPr>
                <a:t>Total Rentals</a:t>
              </a:r>
              <a:endParaRPr lang="en-IN" sz="1400" b="1">
                <a:solidFill>
                  <a:schemeClr val="bg1"/>
                </a:solidFill>
                <a:effectLst/>
              </a:endParaRPr>
            </a:p>
            <a:p>
              <a:endParaRPr lang="en-IN" sz="1100">
                <a:solidFill>
                  <a:schemeClr val="bg1"/>
                </a:solidFill>
              </a:endParaRPr>
            </a:p>
          </xdr:txBody>
        </xdr:sp>
        <xdr:sp macro="" textlink="">
          <xdr:nvSpPr>
            <xdr:cNvPr id="49" name="TextBox 48">
              <a:extLst>
                <a:ext uri="{FF2B5EF4-FFF2-40B4-BE49-F238E27FC236}">
                  <a16:creationId xmlns:a16="http://schemas.microsoft.com/office/drawing/2014/main" id="{957140C7-70EC-871C-77A2-AD786120C2E0}"/>
                </a:ext>
              </a:extLst>
            </xdr:cNvPr>
            <xdr:cNvSpPr txBox="1"/>
          </xdr:nvSpPr>
          <xdr:spPr>
            <a:xfrm>
              <a:off x="3330856" y="1492000"/>
              <a:ext cx="1917979" cy="3742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400" b="1">
                  <a:solidFill>
                    <a:schemeClr val="bg1"/>
                  </a:solidFill>
                </a:rPr>
                <a:t>Registered Rider Share</a:t>
              </a:r>
            </a:p>
          </xdr:txBody>
        </xdr:sp>
        <xdr:sp macro="" textlink="">
          <xdr:nvSpPr>
            <xdr:cNvPr id="60" name="Rectangle 59">
              <a:extLst>
                <a:ext uri="{FF2B5EF4-FFF2-40B4-BE49-F238E27FC236}">
                  <a16:creationId xmlns:a16="http://schemas.microsoft.com/office/drawing/2014/main" id="{C17689AD-4E44-FFC5-976E-BCF51A18B16E}"/>
                </a:ext>
              </a:extLst>
            </xdr:cNvPr>
            <xdr:cNvSpPr/>
          </xdr:nvSpPr>
          <xdr:spPr>
            <a:xfrm>
              <a:off x="2666742" y="1488893"/>
              <a:ext cx="603755" cy="311496"/>
            </a:xfrm>
            <a:prstGeom prst="rect">
              <a:avLst/>
            </a:prstGeom>
            <a:noFill/>
          </xdr:spPr>
          <xdr:txBody>
            <a:bodyPr wrap="none" lIns="91440" tIns="45720" rIns="91440" bIns="45720">
              <a:spAutoFit/>
              <a:scene3d>
                <a:camera prst="orthographicFront"/>
                <a:lightRig rig="harsh" dir="t"/>
              </a:scene3d>
              <a:sp3d extrusionH="57150" prstMaterial="matte">
                <a:bevelT w="63500" h="12700" prst="angle"/>
                <a:contourClr>
                  <a:schemeClr val="bg1">
                    <a:lumMod val="65000"/>
                  </a:schemeClr>
                </a:contourClr>
              </a:sp3d>
            </a:bodyPr>
            <a:lstStyle/>
            <a:p>
              <a:pPr algn="ctr"/>
              <a:r>
                <a:rPr lang="en-IN" sz="1400" b="1" cap="none" spc="0">
                  <a:ln/>
                  <a:solidFill>
                    <a:schemeClr val="tx1">
                      <a:lumMod val="65000"/>
                      <a:lumOff val="35000"/>
                    </a:schemeClr>
                  </a:solidFill>
                  <a:effectLst/>
                </a:rPr>
                <a:t>58.3K</a:t>
              </a:r>
            </a:p>
          </xdr:txBody>
        </xdr:sp>
        <xdr:sp macro="" textlink="">
          <xdr:nvSpPr>
            <xdr:cNvPr id="64" name="Rectangle 63">
              <a:extLst>
                <a:ext uri="{FF2B5EF4-FFF2-40B4-BE49-F238E27FC236}">
                  <a16:creationId xmlns:a16="http://schemas.microsoft.com/office/drawing/2014/main" id="{642E6B87-629B-4B62-ACEB-3109BB9F3CE4}"/>
                </a:ext>
              </a:extLst>
            </xdr:cNvPr>
            <xdr:cNvSpPr/>
          </xdr:nvSpPr>
          <xdr:spPr>
            <a:xfrm>
              <a:off x="5172357" y="1520979"/>
              <a:ext cx="636456" cy="311496"/>
            </a:xfrm>
            <a:prstGeom prst="rect">
              <a:avLst/>
            </a:prstGeom>
            <a:noFill/>
          </xdr:spPr>
          <xdr:txBody>
            <a:bodyPr wrap="none" lIns="91440" tIns="45720" rIns="91440" bIns="45720">
              <a:spAutoFit/>
              <a:scene3d>
                <a:camera prst="orthographicFront"/>
                <a:lightRig rig="harsh" dir="t"/>
              </a:scene3d>
              <a:sp3d extrusionH="57150" prstMaterial="matte">
                <a:bevelT w="63500" h="12700" prst="angle"/>
                <a:contourClr>
                  <a:schemeClr val="bg1">
                    <a:lumMod val="65000"/>
                  </a:schemeClr>
                </a:contourClr>
              </a:sp3d>
            </a:bodyPr>
            <a:lstStyle/>
            <a:p>
              <a:pPr algn="ctr"/>
              <a:r>
                <a:rPr lang="en-IN" sz="1400" b="1" cap="none" spc="0">
                  <a:ln/>
                  <a:solidFill>
                    <a:schemeClr val="tx1">
                      <a:lumMod val="65000"/>
                      <a:lumOff val="35000"/>
                    </a:schemeClr>
                  </a:solidFill>
                  <a:effectLst/>
                </a:rPr>
                <a:t>91.6%</a:t>
              </a:r>
            </a:p>
          </xdr:txBody>
        </xdr:sp>
        <xdr:sp macro="" textlink="">
          <xdr:nvSpPr>
            <xdr:cNvPr id="66" name="Rectangle 65">
              <a:extLst>
                <a:ext uri="{FF2B5EF4-FFF2-40B4-BE49-F238E27FC236}">
                  <a16:creationId xmlns:a16="http://schemas.microsoft.com/office/drawing/2014/main" id="{871254BC-76F8-4281-A2F3-F9922A3FDD8C}"/>
                </a:ext>
              </a:extLst>
            </xdr:cNvPr>
            <xdr:cNvSpPr/>
          </xdr:nvSpPr>
          <xdr:spPr>
            <a:xfrm>
              <a:off x="7712402" y="1505574"/>
              <a:ext cx="545470" cy="311496"/>
            </a:xfrm>
            <a:prstGeom prst="rect">
              <a:avLst/>
            </a:prstGeom>
            <a:noFill/>
          </xdr:spPr>
          <xdr:txBody>
            <a:bodyPr wrap="none" lIns="91440" tIns="45720" rIns="91440" bIns="45720">
              <a:spAutoFit/>
              <a:scene3d>
                <a:camera prst="orthographicFront"/>
                <a:lightRig rig="harsh" dir="t"/>
              </a:scene3d>
              <a:sp3d extrusionH="57150" prstMaterial="matte">
                <a:bevelT w="63500" h="12700" prst="angle"/>
                <a:contourClr>
                  <a:schemeClr val="bg1">
                    <a:lumMod val="65000"/>
                  </a:schemeClr>
                </a:contourClr>
              </a:sp3d>
            </a:bodyPr>
            <a:lstStyle/>
            <a:p>
              <a:pPr algn="ctr"/>
              <a:r>
                <a:rPr lang="en-IN" sz="1400" b="1" cap="none" spc="0">
                  <a:ln/>
                  <a:solidFill>
                    <a:schemeClr val="tx1">
                      <a:lumMod val="65000"/>
                      <a:lumOff val="35000"/>
                    </a:schemeClr>
                  </a:solidFill>
                  <a:effectLst/>
                </a:rPr>
                <a:t>8.4%</a:t>
              </a:r>
            </a:p>
          </xdr:txBody>
        </xdr:sp>
        <xdr:sp macro="" textlink="">
          <xdr:nvSpPr>
            <xdr:cNvPr id="71" name="TextBox 70">
              <a:extLst>
                <a:ext uri="{FF2B5EF4-FFF2-40B4-BE49-F238E27FC236}">
                  <a16:creationId xmlns:a16="http://schemas.microsoft.com/office/drawing/2014/main" id="{845AB4F6-3423-4396-9F02-53902F109B5B}"/>
                </a:ext>
              </a:extLst>
            </xdr:cNvPr>
            <xdr:cNvSpPr txBox="1"/>
          </xdr:nvSpPr>
          <xdr:spPr>
            <a:xfrm>
              <a:off x="5968471" y="1494098"/>
              <a:ext cx="1600659" cy="3742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400" b="1">
                  <a:solidFill>
                    <a:schemeClr val="bg1"/>
                  </a:solidFill>
                </a:rPr>
                <a:t>Casual Rider Share</a:t>
              </a:r>
            </a:p>
          </xdr:txBody>
        </xdr:sp>
      </xdr:grpSp>
      <xdr:sp macro="" textlink="">
        <xdr:nvSpPr>
          <xdr:cNvPr id="152" name="Arrow: Chevron 151">
            <a:extLst>
              <a:ext uri="{FF2B5EF4-FFF2-40B4-BE49-F238E27FC236}">
                <a16:creationId xmlns:a16="http://schemas.microsoft.com/office/drawing/2014/main" id="{19423626-267B-4830-905F-05A0DC64D06E}"/>
              </a:ext>
            </a:extLst>
          </xdr:cNvPr>
          <xdr:cNvSpPr/>
        </xdr:nvSpPr>
        <xdr:spPr>
          <a:xfrm>
            <a:off x="11338571" y="1430963"/>
            <a:ext cx="1453154" cy="575557"/>
          </a:xfrm>
          <a:prstGeom prst="chevron">
            <a:avLst/>
          </a:prstGeom>
          <a:gradFill flip="none" rotWithShape="1">
            <a:gsLst>
              <a:gs pos="0">
                <a:schemeClr val="accent4">
                  <a:lumMod val="67000"/>
                </a:schemeClr>
              </a:gs>
              <a:gs pos="48000">
                <a:schemeClr val="accent4">
                  <a:lumMod val="97000"/>
                  <a:lumOff val="3000"/>
                </a:schemeClr>
              </a:gs>
              <a:gs pos="100000">
                <a:schemeClr val="accent4">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IN" sz="1100">
              <a:solidFill>
                <a:schemeClr val="tx1"/>
              </a:solidFill>
            </a:endParaRPr>
          </a:p>
        </xdr:txBody>
      </xdr:sp>
      <xdr:sp macro="" textlink="">
        <xdr:nvSpPr>
          <xdr:cNvPr id="153" name="Arrow: Pentagon 152">
            <a:extLst>
              <a:ext uri="{FF2B5EF4-FFF2-40B4-BE49-F238E27FC236}">
                <a16:creationId xmlns:a16="http://schemas.microsoft.com/office/drawing/2014/main" id="{DC7D5282-1644-4951-BA3C-15D3AC14440B}"/>
              </a:ext>
            </a:extLst>
          </xdr:cNvPr>
          <xdr:cNvSpPr/>
        </xdr:nvSpPr>
        <xdr:spPr>
          <a:xfrm>
            <a:off x="10404163" y="1426687"/>
            <a:ext cx="1747306" cy="584107"/>
          </a:xfrm>
          <a:prstGeom prst="homePlate">
            <a:avLst/>
          </a:prstGeom>
          <a:gradFill flip="none" rotWithShape="1">
            <a:gsLst>
              <a:gs pos="0">
                <a:schemeClr val="accent5">
                  <a:lumMod val="67000"/>
                </a:schemeClr>
              </a:gs>
              <a:gs pos="48000">
                <a:schemeClr val="accent5">
                  <a:lumMod val="97000"/>
                  <a:lumOff val="3000"/>
                </a:schemeClr>
              </a:gs>
              <a:gs pos="100000">
                <a:schemeClr val="accent5">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IN" sz="1100"/>
          </a:p>
        </xdr:txBody>
      </xdr:sp>
      <xdr:sp macro="" textlink="">
        <xdr:nvSpPr>
          <xdr:cNvPr id="154" name="TextBox 153">
            <a:extLst>
              <a:ext uri="{FF2B5EF4-FFF2-40B4-BE49-F238E27FC236}">
                <a16:creationId xmlns:a16="http://schemas.microsoft.com/office/drawing/2014/main" id="{63EF952F-5ACD-483C-88F3-54E2416550A5}"/>
              </a:ext>
            </a:extLst>
          </xdr:cNvPr>
          <xdr:cNvSpPr txBox="1"/>
        </xdr:nvSpPr>
        <xdr:spPr>
          <a:xfrm>
            <a:off x="10437514" y="1557093"/>
            <a:ext cx="1626897" cy="2948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IN" sz="1400" b="1">
                <a:solidFill>
                  <a:schemeClr val="bg1"/>
                </a:solidFill>
              </a:rPr>
              <a:t>Number of Records</a:t>
            </a:r>
          </a:p>
        </xdr:txBody>
      </xdr:sp>
      <xdr:sp macro="" textlink="">
        <xdr:nvSpPr>
          <xdr:cNvPr id="155" name="Rectangle 154">
            <a:extLst>
              <a:ext uri="{FF2B5EF4-FFF2-40B4-BE49-F238E27FC236}">
                <a16:creationId xmlns:a16="http://schemas.microsoft.com/office/drawing/2014/main" id="{D065964E-B97E-432C-8FDB-EA39657691C7}"/>
              </a:ext>
            </a:extLst>
          </xdr:cNvPr>
          <xdr:cNvSpPr/>
        </xdr:nvSpPr>
        <xdr:spPr>
          <a:xfrm>
            <a:off x="12130161" y="1557688"/>
            <a:ext cx="494719" cy="261657"/>
          </a:xfrm>
          <a:prstGeom prst="rect">
            <a:avLst/>
          </a:prstGeom>
          <a:noFill/>
        </xdr:spPr>
        <xdr:txBody>
          <a:bodyPr wrap="none" lIns="91440" tIns="45720" rIns="91440" bIns="45720">
            <a:noAutofit/>
            <a:scene3d>
              <a:camera prst="orthographicFront"/>
              <a:lightRig rig="harsh" dir="t"/>
            </a:scene3d>
            <a:sp3d extrusionH="57150" prstMaterial="matte">
              <a:bevelT w="63500" h="12700" prst="angle"/>
              <a:contourClr>
                <a:schemeClr val="bg1">
                  <a:lumMod val="65000"/>
                </a:schemeClr>
              </a:contourClr>
            </a:sp3d>
          </a:bodyPr>
          <a:lstStyle/>
          <a:p>
            <a:pPr algn="ctr"/>
            <a:r>
              <a:rPr lang="en-IN" sz="1400" b="1" cap="none" spc="0">
                <a:ln/>
                <a:solidFill>
                  <a:schemeClr val="tx1">
                    <a:lumMod val="65000"/>
                    <a:lumOff val="35000"/>
                  </a:schemeClr>
                </a:solidFill>
                <a:effectLst/>
              </a:rPr>
              <a:t>1000</a:t>
            </a:r>
          </a:p>
        </xdr:txBody>
      </xdr:sp>
    </xdr:grpSp>
    <xdr:clientData/>
  </xdr:twoCellAnchor>
  <xdr:twoCellAnchor editAs="oneCell">
    <xdr:from>
      <xdr:col>4</xdr:col>
      <xdr:colOff>358734</xdr:colOff>
      <xdr:row>42</xdr:row>
      <xdr:rowOff>107776</xdr:rowOff>
    </xdr:from>
    <xdr:to>
      <xdr:col>9</xdr:col>
      <xdr:colOff>371103</xdr:colOff>
      <xdr:row>50</xdr:row>
      <xdr:rowOff>107776</xdr:rowOff>
    </xdr:to>
    <mc:AlternateContent xmlns:mc="http://schemas.openxmlformats.org/markup-compatibility/2006" xmlns:tsle="http://schemas.microsoft.com/office/drawing/2012/timeslicer">
      <mc:Choice Requires="tsle">
        <xdr:graphicFrame macro="">
          <xdr:nvGraphicFramePr>
            <xdr:cNvPr id="158" name="Date">
              <a:extLst>
                <a:ext uri="{FF2B5EF4-FFF2-40B4-BE49-F238E27FC236}">
                  <a16:creationId xmlns:a16="http://schemas.microsoft.com/office/drawing/2014/main" id="{71083DC8-9F8A-47C1-A1DE-6CDEA58966C2}"/>
                </a:ext>
              </a:extLst>
            </xdr:cNvPr>
            <xdr:cNvGraphicFramePr/>
          </xdr:nvGraphicFramePr>
          <xdr:xfrm>
            <a:off x="0" y="0"/>
            <a:ext cx="0" cy="0"/>
          </xdr:xfrm>
          <a:graphic>
            <a:graphicData uri="http://schemas.microsoft.com/office/drawing/2012/timeslicer">
              <tsle:timeslicer name="Date"/>
            </a:graphicData>
          </a:graphic>
        </xdr:graphicFrame>
      </mc:Choice>
      <mc:Fallback xmlns="">
        <xdr:sp macro="" textlink="">
          <xdr:nvSpPr>
            <xdr:cNvPr id="0" name=""/>
            <xdr:cNvSpPr>
              <a:spLocks noTextEdit="1"/>
            </xdr:cNvSpPr>
          </xdr:nvSpPr>
          <xdr:spPr>
            <a:xfrm>
              <a:off x="2961839" y="7810602"/>
              <a:ext cx="3266252" cy="1467206"/>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oneCellAnchor>
    <xdr:from>
      <xdr:col>27</xdr:col>
      <xdr:colOff>595313</xdr:colOff>
      <xdr:row>85</xdr:row>
      <xdr:rowOff>72687</xdr:rowOff>
    </xdr:from>
    <xdr:ext cx="1795408" cy="233205"/>
    <xdr:sp macro="" textlink="">
      <xdr:nvSpPr>
        <xdr:cNvPr id="165" name="TextBox 164">
          <a:extLst>
            <a:ext uri="{FF2B5EF4-FFF2-40B4-BE49-F238E27FC236}">
              <a16:creationId xmlns:a16="http://schemas.microsoft.com/office/drawing/2014/main" id="{EDCC6692-EC4D-43A1-BF26-74A9DB8827F1}"/>
            </a:ext>
          </a:extLst>
        </xdr:cNvPr>
        <xdr:cNvSpPr txBox="1"/>
      </xdr:nvSpPr>
      <xdr:spPr>
        <a:xfrm>
          <a:off x="18956759" y="15679916"/>
          <a:ext cx="1795408" cy="233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IN" sz="900"/>
        </a:p>
      </xdr:txBody>
    </xdr:sp>
    <xdr:clientData/>
  </xdr:oneCellAnchor>
  <xdr:twoCellAnchor>
    <xdr:from>
      <xdr:col>4</xdr:col>
      <xdr:colOff>497963</xdr:colOff>
      <xdr:row>51</xdr:row>
      <xdr:rowOff>1674</xdr:rowOff>
    </xdr:from>
    <xdr:to>
      <xdr:col>23</xdr:col>
      <xdr:colOff>509544</xdr:colOff>
      <xdr:row>52</xdr:row>
      <xdr:rowOff>34742</xdr:rowOff>
    </xdr:to>
    <xdr:sp macro="" textlink="">
      <xdr:nvSpPr>
        <xdr:cNvPr id="183" name="Flowchart: Process 182">
          <a:extLst>
            <a:ext uri="{FF2B5EF4-FFF2-40B4-BE49-F238E27FC236}">
              <a16:creationId xmlns:a16="http://schemas.microsoft.com/office/drawing/2014/main" id="{D62D257B-C7E0-BF43-69DF-FECC3ACAA7BD}"/>
            </a:ext>
          </a:extLst>
        </xdr:cNvPr>
        <xdr:cNvSpPr/>
      </xdr:nvSpPr>
      <xdr:spPr>
        <a:xfrm>
          <a:off x="3776793" y="9366011"/>
          <a:ext cx="12471133" cy="216683"/>
        </a:xfrm>
        <a:prstGeom prst="flowChartProcess">
          <a:avLst/>
        </a:prstGeom>
        <a:solidFill>
          <a:sysClr val="window" lastClr="FFFFFF"/>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619559</xdr:colOff>
      <xdr:row>51</xdr:row>
      <xdr:rowOff>11580</xdr:rowOff>
    </xdr:from>
    <xdr:to>
      <xdr:col>5</xdr:col>
      <xdr:colOff>150546</xdr:colOff>
      <xdr:row>52</xdr:row>
      <xdr:rowOff>11581</xdr:rowOff>
    </xdr:to>
    <xdr:sp macro="" textlink="">
      <xdr:nvSpPr>
        <xdr:cNvPr id="184" name="Oval 183">
          <a:extLst>
            <a:ext uri="{FF2B5EF4-FFF2-40B4-BE49-F238E27FC236}">
              <a16:creationId xmlns:a16="http://schemas.microsoft.com/office/drawing/2014/main" id="{5A8536CF-AECE-C38A-E87E-165CBBC3AA7F}"/>
            </a:ext>
          </a:extLst>
        </xdr:cNvPr>
        <xdr:cNvSpPr/>
      </xdr:nvSpPr>
      <xdr:spPr>
        <a:xfrm>
          <a:off x="3898389" y="9375917"/>
          <a:ext cx="186752" cy="183616"/>
        </a:xfrm>
        <a:prstGeom prst="ellipse">
          <a:avLst/>
        </a:prstGeom>
      </xdr:spPr>
      <xdr:style>
        <a:lnRef idx="2">
          <a:schemeClr val="accent5">
            <a:shade val="15000"/>
          </a:schemeClr>
        </a:lnRef>
        <a:fillRef idx="1">
          <a:schemeClr val="accent5"/>
        </a:fillRef>
        <a:effectRef idx="0">
          <a:schemeClr val="accent5"/>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534558</xdr:colOff>
      <xdr:row>51</xdr:row>
      <xdr:rowOff>13433</xdr:rowOff>
    </xdr:from>
    <xdr:to>
      <xdr:col>11</xdr:col>
      <xdr:colOff>65545</xdr:colOff>
      <xdr:row>52</xdr:row>
      <xdr:rowOff>13434</xdr:rowOff>
    </xdr:to>
    <xdr:sp macro="" textlink="">
      <xdr:nvSpPr>
        <xdr:cNvPr id="185" name="Oval 184">
          <a:extLst>
            <a:ext uri="{FF2B5EF4-FFF2-40B4-BE49-F238E27FC236}">
              <a16:creationId xmlns:a16="http://schemas.microsoft.com/office/drawing/2014/main" id="{3AC453C0-A581-46E5-8B82-E91D1BBB36F6}"/>
            </a:ext>
          </a:extLst>
        </xdr:cNvPr>
        <xdr:cNvSpPr/>
      </xdr:nvSpPr>
      <xdr:spPr>
        <a:xfrm>
          <a:off x="7747983" y="9377770"/>
          <a:ext cx="186754" cy="183616"/>
        </a:xfrm>
        <a:prstGeom prst="ellipse">
          <a:avLst/>
        </a:prstGeom>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345331</xdr:colOff>
      <xdr:row>51</xdr:row>
      <xdr:rowOff>15285</xdr:rowOff>
    </xdr:from>
    <xdr:to>
      <xdr:col>16</xdr:col>
      <xdr:colOff>530619</xdr:colOff>
      <xdr:row>52</xdr:row>
      <xdr:rowOff>15286</xdr:rowOff>
    </xdr:to>
    <xdr:sp macro="" textlink="">
      <xdr:nvSpPr>
        <xdr:cNvPr id="186" name="Oval 185">
          <a:extLst>
            <a:ext uri="{FF2B5EF4-FFF2-40B4-BE49-F238E27FC236}">
              <a16:creationId xmlns:a16="http://schemas.microsoft.com/office/drawing/2014/main" id="{D8984625-1BAD-431D-A154-526442EDEF74}"/>
            </a:ext>
          </a:extLst>
        </xdr:cNvPr>
        <xdr:cNvSpPr/>
      </xdr:nvSpPr>
      <xdr:spPr>
        <a:xfrm>
          <a:off x="11493351" y="9379622"/>
          <a:ext cx="185288" cy="183616"/>
        </a:xfrm>
        <a:prstGeom prst="ellipse">
          <a:avLst/>
        </a:prstGeom>
      </xdr:spPr>
      <xdr:style>
        <a:lnRef idx="2">
          <a:schemeClr val="accent3">
            <a:shade val="15000"/>
          </a:schemeClr>
        </a:lnRef>
        <a:fillRef idx="1">
          <a:schemeClr val="accent3"/>
        </a:fillRef>
        <a:effectRef idx="0">
          <a:schemeClr val="accent3"/>
        </a:effectRef>
        <a:fontRef idx="minor">
          <a:schemeClr val="lt1"/>
        </a:fontRef>
      </xdr:style>
      <xdr:txBody>
        <a:bodyPr vertOverflow="clip" horzOverflow="clip" rtlCol="0" anchor="t"/>
        <a:lstStyle/>
        <a:p>
          <a:pPr algn="l"/>
          <a:endParaRPr lang="en-IN" sz="1100"/>
        </a:p>
      </xdr:txBody>
    </xdr:sp>
    <xdr:clientData/>
  </xdr:twoCellAnchor>
  <xdr:oneCellAnchor>
    <xdr:from>
      <xdr:col>5</xdr:col>
      <xdr:colOff>231612</xdr:colOff>
      <xdr:row>50</xdr:row>
      <xdr:rowOff>162128</xdr:rowOff>
    </xdr:from>
    <xdr:ext cx="1545616" cy="264560"/>
    <xdr:sp macro="" textlink="">
      <xdr:nvSpPr>
        <xdr:cNvPr id="187" name="TextBox 186">
          <a:extLst>
            <a:ext uri="{FF2B5EF4-FFF2-40B4-BE49-F238E27FC236}">
              <a16:creationId xmlns:a16="http://schemas.microsoft.com/office/drawing/2014/main" id="{065E82AF-6599-4A48-BE01-F999AD28B2DC}"/>
            </a:ext>
          </a:extLst>
        </xdr:cNvPr>
        <xdr:cNvSpPr txBox="1"/>
      </xdr:nvSpPr>
      <xdr:spPr>
        <a:xfrm>
          <a:off x="4166207" y="9342851"/>
          <a:ext cx="154561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b="1">
              <a:solidFill>
                <a:schemeClr val="tx2">
                  <a:lumMod val="75000"/>
                </a:schemeClr>
              </a:solidFill>
            </a:rPr>
            <a:t>Average Casual Rentals</a:t>
          </a:r>
          <a:endParaRPr lang="en-IN" sz="1100" b="1">
            <a:solidFill>
              <a:schemeClr val="tx2">
                <a:lumMod val="75000"/>
              </a:schemeClr>
            </a:solidFill>
          </a:endParaRPr>
        </a:p>
      </xdr:txBody>
    </xdr:sp>
    <xdr:clientData/>
  </xdr:oneCellAnchor>
  <xdr:oneCellAnchor>
    <xdr:from>
      <xdr:col>11</xdr:col>
      <xdr:colOff>156337</xdr:colOff>
      <xdr:row>50</xdr:row>
      <xdr:rowOff>150547</xdr:rowOff>
    </xdr:from>
    <xdr:ext cx="1790234" cy="306884"/>
    <xdr:sp macro="" textlink="">
      <xdr:nvSpPr>
        <xdr:cNvPr id="188" name="TextBox 187">
          <a:extLst>
            <a:ext uri="{FF2B5EF4-FFF2-40B4-BE49-F238E27FC236}">
              <a16:creationId xmlns:a16="http://schemas.microsoft.com/office/drawing/2014/main" id="{705D1BA8-810E-9718-9C43-48BD34AF03BA}"/>
            </a:ext>
          </a:extLst>
        </xdr:cNvPr>
        <xdr:cNvSpPr txBox="1"/>
      </xdr:nvSpPr>
      <xdr:spPr>
        <a:xfrm>
          <a:off x="8025529" y="9331270"/>
          <a:ext cx="1790234" cy="30688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IN" sz="1100" b="1">
              <a:solidFill>
                <a:schemeClr val="tx1"/>
              </a:solidFill>
              <a:effectLst/>
              <a:latin typeface="+mn-lt"/>
              <a:ea typeface="+mn-ea"/>
              <a:cs typeface="+mn-cs"/>
            </a:rPr>
            <a:t>Average Registered Rentals</a:t>
          </a:r>
          <a:endParaRPr lang="en-IN">
            <a:effectLst/>
          </a:endParaRPr>
        </a:p>
        <a:p>
          <a:endParaRPr lang="en-IN" sz="1100"/>
        </a:p>
      </xdr:txBody>
    </xdr:sp>
    <xdr:clientData/>
  </xdr:oneCellAnchor>
  <xdr:oneCellAnchor>
    <xdr:from>
      <xdr:col>17</xdr:col>
      <xdr:colOff>69483</xdr:colOff>
      <xdr:row>50</xdr:row>
      <xdr:rowOff>144757</xdr:rowOff>
    </xdr:from>
    <xdr:ext cx="1463927" cy="422690"/>
    <xdr:sp macro="" textlink="">
      <xdr:nvSpPr>
        <xdr:cNvPr id="189" name="TextBox 188">
          <a:extLst>
            <a:ext uri="{FF2B5EF4-FFF2-40B4-BE49-F238E27FC236}">
              <a16:creationId xmlns:a16="http://schemas.microsoft.com/office/drawing/2014/main" id="{3FD065AA-9DB7-5414-84E9-3C1E9EB1AFDF}"/>
            </a:ext>
          </a:extLst>
        </xdr:cNvPr>
        <xdr:cNvSpPr txBox="1"/>
      </xdr:nvSpPr>
      <xdr:spPr>
        <a:xfrm>
          <a:off x="11873270" y="9325480"/>
          <a:ext cx="1463927" cy="4226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IN" sz="1100" b="1">
              <a:solidFill>
                <a:schemeClr val="tx1"/>
              </a:solidFill>
              <a:effectLst/>
              <a:latin typeface="+mn-lt"/>
              <a:ea typeface="+mn-ea"/>
              <a:cs typeface="+mn-cs"/>
            </a:rPr>
            <a:t>Average Total Rentals</a:t>
          </a:r>
          <a:endParaRPr lang="en-IN">
            <a:effectLst/>
          </a:endParaRPr>
        </a:p>
        <a:p>
          <a:endParaRPr lang="en-IN" sz="1100"/>
        </a:p>
      </xdr:txBody>
    </xdr:sp>
    <xdr:clientData/>
  </xdr:oneCellAnchor>
  <xdr:twoCellAnchor>
    <xdr:from>
      <xdr:col>9</xdr:col>
      <xdr:colOff>445852</xdr:colOff>
      <xdr:row>7</xdr:row>
      <xdr:rowOff>156337</xdr:rowOff>
    </xdr:from>
    <xdr:to>
      <xdr:col>16</xdr:col>
      <xdr:colOff>480593</xdr:colOff>
      <xdr:row>21</xdr:row>
      <xdr:rowOff>121595</xdr:rowOff>
    </xdr:to>
    <xdr:graphicFrame macro="">
      <xdr:nvGraphicFramePr>
        <xdr:cNvPr id="190" name="Chart 189">
          <a:extLst>
            <a:ext uri="{FF2B5EF4-FFF2-40B4-BE49-F238E27FC236}">
              <a16:creationId xmlns:a16="http://schemas.microsoft.com/office/drawing/2014/main" id="{5CE9C437-2C28-4C0B-BC03-66597216A8E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4</xdr:col>
      <xdr:colOff>387947</xdr:colOff>
      <xdr:row>7</xdr:row>
      <xdr:rowOff>144756</xdr:rowOff>
    </xdr:from>
    <xdr:to>
      <xdr:col>9</xdr:col>
      <xdr:colOff>382157</xdr:colOff>
      <xdr:row>11</xdr:row>
      <xdr:rowOff>164038</xdr:rowOff>
    </xdr:to>
    <mc:AlternateContent xmlns:mc="http://schemas.openxmlformats.org/markup-compatibility/2006" xmlns:a14="http://schemas.microsoft.com/office/drawing/2010/main">
      <mc:Choice Requires="a14">
        <xdr:graphicFrame macro="">
          <xdr:nvGraphicFramePr>
            <xdr:cNvPr id="191" name="Day_Type 1">
              <a:extLst>
                <a:ext uri="{FF2B5EF4-FFF2-40B4-BE49-F238E27FC236}">
                  <a16:creationId xmlns:a16="http://schemas.microsoft.com/office/drawing/2014/main" id="{11DDDB56-A84B-4D9E-BD4C-79BB3C4DD369}"/>
                </a:ext>
              </a:extLst>
            </xdr:cNvPr>
            <xdr:cNvGraphicFramePr/>
          </xdr:nvGraphicFramePr>
          <xdr:xfrm>
            <a:off x="0" y="0"/>
            <a:ext cx="0" cy="0"/>
          </xdr:xfrm>
          <a:graphic>
            <a:graphicData uri="http://schemas.microsoft.com/office/drawing/2010/slicer">
              <sle:slicer xmlns:sle="http://schemas.microsoft.com/office/drawing/2010/slicer" name="Day_Type 1"/>
            </a:graphicData>
          </a:graphic>
        </xdr:graphicFrame>
      </mc:Choice>
      <mc:Fallback xmlns="">
        <xdr:sp macro="" textlink="">
          <xdr:nvSpPr>
            <xdr:cNvPr id="0" name=""/>
            <xdr:cNvSpPr>
              <a:spLocks noTextEdit="1"/>
            </xdr:cNvSpPr>
          </xdr:nvSpPr>
          <xdr:spPr>
            <a:xfrm>
              <a:off x="2991052" y="1428560"/>
              <a:ext cx="3248093" cy="75288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376366</xdr:colOff>
      <xdr:row>36</xdr:row>
      <xdr:rowOff>133175</xdr:rowOff>
    </xdr:from>
    <xdr:to>
      <xdr:col>9</xdr:col>
      <xdr:colOff>376366</xdr:colOff>
      <xdr:row>42</xdr:row>
      <xdr:rowOff>40531</xdr:rowOff>
    </xdr:to>
    <mc:AlternateContent xmlns:mc="http://schemas.openxmlformats.org/markup-compatibility/2006" xmlns:a14="http://schemas.microsoft.com/office/drawing/2010/main">
      <mc:Choice Requires="a14">
        <xdr:graphicFrame macro="">
          <xdr:nvGraphicFramePr>
            <xdr:cNvPr id="192" name="Is_Holiday 1">
              <a:extLst>
                <a:ext uri="{FF2B5EF4-FFF2-40B4-BE49-F238E27FC236}">
                  <a16:creationId xmlns:a16="http://schemas.microsoft.com/office/drawing/2014/main" id="{B42F439F-3D83-43E0-83CD-8C3A5F0CB850}"/>
                </a:ext>
              </a:extLst>
            </xdr:cNvPr>
            <xdr:cNvGraphicFramePr/>
          </xdr:nvGraphicFramePr>
          <xdr:xfrm>
            <a:off x="0" y="0"/>
            <a:ext cx="0" cy="0"/>
          </xdr:xfrm>
          <a:graphic>
            <a:graphicData uri="http://schemas.microsoft.com/office/drawing/2010/slicer">
              <sle:slicer xmlns:sle="http://schemas.microsoft.com/office/drawing/2010/slicer" name="Is_Holiday 1"/>
            </a:graphicData>
          </a:graphic>
        </xdr:graphicFrame>
      </mc:Choice>
      <mc:Fallback xmlns="">
        <xdr:sp macro="" textlink="">
          <xdr:nvSpPr>
            <xdr:cNvPr id="0" name=""/>
            <xdr:cNvSpPr>
              <a:spLocks noTextEdit="1"/>
            </xdr:cNvSpPr>
          </xdr:nvSpPr>
          <xdr:spPr>
            <a:xfrm>
              <a:off x="2979471" y="6735598"/>
              <a:ext cx="3253883" cy="10077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370578</xdr:colOff>
      <xdr:row>28</xdr:row>
      <xdr:rowOff>28951</xdr:rowOff>
    </xdr:from>
    <xdr:to>
      <xdr:col>9</xdr:col>
      <xdr:colOff>353207</xdr:colOff>
      <xdr:row>36</xdr:row>
      <xdr:rowOff>57903</xdr:rowOff>
    </xdr:to>
    <mc:AlternateContent xmlns:mc="http://schemas.openxmlformats.org/markup-compatibility/2006" xmlns:a14="http://schemas.microsoft.com/office/drawing/2010/main">
      <mc:Choice Requires="a14">
        <xdr:graphicFrame macro="">
          <xdr:nvGraphicFramePr>
            <xdr:cNvPr id="193" name="Temperature 1">
              <a:extLst>
                <a:ext uri="{FF2B5EF4-FFF2-40B4-BE49-F238E27FC236}">
                  <a16:creationId xmlns:a16="http://schemas.microsoft.com/office/drawing/2014/main" id="{E519A49F-5D7A-4974-A0E4-06683D5E08B1}"/>
                </a:ext>
              </a:extLst>
            </xdr:cNvPr>
            <xdr:cNvGraphicFramePr/>
          </xdr:nvGraphicFramePr>
          <xdr:xfrm>
            <a:off x="0" y="0"/>
            <a:ext cx="0" cy="0"/>
          </xdr:xfrm>
          <a:graphic>
            <a:graphicData uri="http://schemas.microsoft.com/office/drawing/2010/slicer">
              <sle:slicer xmlns:sle="http://schemas.microsoft.com/office/drawing/2010/slicer" name="Temperature 1"/>
            </a:graphicData>
          </a:graphic>
        </xdr:graphicFrame>
      </mc:Choice>
      <mc:Fallback xmlns="">
        <xdr:sp macro="" textlink="">
          <xdr:nvSpPr>
            <xdr:cNvPr id="0" name=""/>
            <xdr:cNvSpPr>
              <a:spLocks noTextEdit="1"/>
            </xdr:cNvSpPr>
          </xdr:nvSpPr>
          <xdr:spPr>
            <a:xfrm>
              <a:off x="2973683" y="5164168"/>
              <a:ext cx="3236512" cy="149615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382160</xdr:colOff>
      <xdr:row>12</xdr:row>
      <xdr:rowOff>69482</xdr:rowOff>
    </xdr:from>
    <xdr:to>
      <xdr:col>9</xdr:col>
      <xdr:colOff>364787</xdr:colOff>
      <xdr:row>20</xdr:row>
      <xdr:rowOff>104226</xdr:rowOff>
    </xdr:to>
    <mc:AlternateContent xmlns:mc="http://schemas.openxmlformats.org/markup-compatibility/2006" xmlns:a14="http://schemas.microsoft.com/office/drawing/2010/main">
      <mc:Choice Requires="a14">
        <xdr:graphicFrame macro="">
          <xdr:nvGraphicFramePr>
            <xdr:cNvPr id="195" name="Day_Name 1">
              <a:extLst>
                <a:ext uri="{FF2B5EF4-FFF2-40B4-BE49-F238E27FC236}">
                  <a16:creationId xmlns:a16="http://schemas.microsoft.com/office/drawing/2014/main" id="{B0D77F1A-2DC5-4FFF-8D35-557219BD4378}"/>
                </a:ext>
              </a:extLst>
            </xdr:cNvPr>
            <xdr:cNvGraphicFramePr/>
          </xdr:nvGraphicFramePr>
          <xdr:xfrm>
            <a:off x="0" y="0"/>
            <a:ext cx="0" cy="0"/>
          </xdr:xfrm>
          <a:graphic>
            <a:graphicData uri="http://schemas.microsoft.com/office/drawing/2010/slicer">
              <sle:slicer xmlns:sle="http://schemas.microsoft.com/office/drawing/2010/slicer" name="Day_Name 1"/>
            </a:graphicData>
          </a:graphic>
        </xdr:graphicFrame>
      </mc:Choice>
      <mc:Fallback xmlns="">
        <xdr:sp macro="" textlink="">
          <xdr:nvSpPr>
            <xdr:cNvPr id="0" name=""/>
            <xdr:cNvSpPr>
              <a:spLocks noTextEdit="1"/>
            </xdr:cNvSpPr>
          </xdr:nvSpPr>
          <xdr:spPr>
            <a:xfrm>
              <a:off x="2985265" y="2270290"/>
              <a:ext cx="3236510" cy="150194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387948</xdr:colOff>
      <xdr:row>21</xdr:row>
      <xdr:rowOff>1671</xdr:rowOff>
    </xdr:from>
    <xdr:to>
      <xdr:col>9</xdr:col>
      <xdr:colOff>364787</xdr:colOff>
      <xdr:row>27</xdr:row>
      <xdr:rowOff>131958</xdr:rowOff>
    </xdr:to>
    <mc:AlternateContent xmlns:mc="http://schemas.openxmlformats.org/markup-compatibility/2006" xmlns:a14="http://schemas.microsoft.com/office/drawing/2010/main">
      <mc:Choice Requires="a14">
        <xdr:graphicFrame macro="">
          <xdr:nvGraphicFramePr>
            <xdr:cNvPr id="196" name="Weather_Description">
              <a:extLst>
                <a:ext uri="{FF2B5EF4-FFF2-40B4-BE49-F238E27FC236}">
                  <a16:creationId xmlns:a16="http://schemas.microsoft.com/office/drawing/2014/main" id="{808AF4CE-0D69-4548-AE7D-0B74A2963CA6}"/>
                </a:ext>
              </a:extLst>
            </xdr:cNvPr>
            <xdr:cNvGraphicFramePr/>
          </xdr:nvGraphicFramePr>
          <xdr:xfrm>
            <a:off x="0" y="0"/>
            <a:ext cx="0" cy="0"/>
          </xdr:xfrm>
          <a:graphic>
            <a:graphicData uri="http://schemas.microsoft.com/office/drawing/2010/slicer">
              <sle:slicer xmlns:sle="http://schemas.microsoft.com/office/drawing/2010/slicer" name="Weather_Description"/>
            </a:graphicData>
          </a:graphic>
        </xdr:graphicFrame>
      </mc:Choice>
      <mc:Fallback xmlns="">
        <xdr:sp macro="" textlink="">
          <xdr:nvSpPr>
            <xdr:cNvPr id="0" name=""/>
            <xdr:cNvSpPr>
              <a:spLocks noTextEdit="1"/>
            </xdr:cNvSpPr>
          </xdr:nvSpPr>
          <xdr:spPr>
            <a:xfrm>
              <a:off x="2991053" y="3853084"/>
              <a:ext cx="3230722" cy="123069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16</xdr:col>
      <xdr:colOff>503754</xdr:colOff>
      <xdr:row>7</xdr:row>
      <xdr:rowOff>162127</xdr:rowOff>
    </xdr:from>
    <xdr:to>
      <xdr:col>24</xdr:col>
      <xdr:colOff>5790</xdr:colOff>
      <xdr:row>21</xdr:row>
      <xdr:rowOff>110015</xdr:rowOff>
    </xdr:to>
    <xdr:graphicFrame macro="">
      <xdr:nvGraphicFramePr>
        <xdr:cNvPr id="199" name="Chart 198">
          <a:extLst>
            <a:ext uri="{FF2B5EF4-FFF2-40B4-BE49-F238E27FC236}">
              <a16:creationId xmlns:a16="http://schemas.microsoft.com/office/drawing/2014/main" id="{B425E8E0-B121-412A-B264-85B9C76DEDB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ITI KUMAR" refreshedDate="46289.998177083333" createdVersion="8" refreshedVersion="8" minRefreshableVersion="3" recordCount="1000" xr:uid="{164A1B90-3B97-45D9-9C09-8125E948B209}">
  <cacheSource type="worksheet">
    <worksheetSource name="Cleaned_datasetB"/>
  </cacheSource>
  <cacheFields count="23">
    <cacheField name="Record_ID" numFmtId="0">
      <sharedItems containsSemiMixedTypes="0" containsString="0" containsNumber="1" containsInteger="1" minValue="1" maxValue="1000"/>
    </cacheField>
    <cacheField name="Date" numFmtId="14">
      <sharedItems containsSemiMixedTypes="0" containsNonDate="0" containsDate="1" containsString="0" minDate="2011-01-01T00:00:00" maxDate="2011-02-15T00:00:00" count="45">
        <d v="2011-01-01T00:00:00"/>
        <d v="2011-01-02T00:00:00"/>
        <d v="2011-01-03T00:00:00"/>
        <d v="2011-01-04T00:00:00"/>
        <d v="2011-01-05T00:00:00"/>
        <d v="2011-01-06T00:00:00"/>
        <d v="2011-01-07T00:00:00"/>
        <d v="2011-01-08T00:00:00"/>
        <d v="2011-01-09T00:00:00"/>
        <d v="2011-01-10T00:00:00"/>
        <d v="2011-01-11T00:00:00"/>
        <d v="2011-01-12T00:00:00"/>
        <d v="2011-01-13T00:00:00"/>
        <d v="2011-01-14T00:00:00"/>
        <d v="2011-01-15T00:00:00"/>
        <d v="2011-01-16T00:00:00"/>
        <d v="2011-01-17T00:00:00"/>
        <d v="2011-01-18T00:00:00"/>
        <d v="2011-01-19T00:00:00"/>
        <d v="2011-01-20T00:00:00"/>
        <d v="2011-01-21T00:00:00"/>
        <d v="2011-01-22T00:00:00"/>
        <d v="2011-01-23T00:00:00"/>
        <d v="2011-01-24T00:00:00"/>
        <d v="2011-01-25T00:00:00"/>
        <d v="2011-01-26T00:00:00"/>
        <d v="2011-01-27T00:00:00"/>
        <d v="2011-01-28T00:00:00"/>
        <d v="2011-01-29T00:00:00"/>
        <d v="2011-01-30T00:00:00"/>
        <d v="2011-01-31T00:00:00"/>
        <d v="2011-02-01T00:00:00"/>
        <d v="2011-02-02T00:00:00"/>
        <d v="2011-02-03T00:00:00"/>
        <d v="2011-02-04T00:00:00"/>
        <d v="2011-02-05T00:00:00"/>
        <d v="2011-02-06T00:00:00"/>
        <d v="2011-02-07T00:00:00"/>
        <d v="2011-02-08T00:00:00"/>
        <d v="2011-02-09T00:00:00"/>
        <d v="2011-02-10T00:00:00"/>
        <d v="2011-02-11T00:00:00"/>
        <d v="2011-02-12T00:00:00"/>
        <d v="2011-02-13T00:00:00"/>
        <d v="2011-02-14T00:00:00"/>
      </sharedItems>
      <fieldGroup par="22"/>
    </cacheField>
    <cacheField name="Season_Code" numFmtId="0">
      <sharedItems containsSemiMixedTypes="0" containsString="0" containsNumber="1" containsInteger="1" minValue="1" maxValue="1" count="1">
        <n v="1"/>
      </sharedItems>
    </cacheField>
    <cacheField name="Year" numFmtId="0">
      <sharedItems containsSemiMixedTypes="0" containsString="0" containsNumber="1" containsInteger="1" minValue="0" maxValue="0"/>
    </cacheField>
    <cacheField name="Month" numFmtId="0">
      <sharedItems containsSemiMixedTypes="0" containsString="0" containsNumber="1" containsInteger="1" minValue="1" maxValue="2" count="2">
        <n v="1"/>
        <n v="2"/>
      </sharedItems>
    </cacheField>
    <cacheField name="Hour" numFmtId="0">
      <sharedItems containsSemiMixedTypes="0" containsString="0" containsNumber="1" containsInteger="1" minValue="0" maxValue="23" count="24">
        <n v="0"/>
        <n v="1"/>
        <n v="2"/>
        <n v="3"/>
        <n v="4"/>
        <n v="5"/>
        <n v="6"/>
        <n v="7"/>
        <n v="8"/>
        <n v="9"/>
        <n v="10"/>
        <n v="11"/>
        <n v="12"/>
        <n v="13"/>
        <n v="14"/>
        <n v="15"/>
        <n v="16"/>
        <n v="17"/>
        <n v="18"/>
        <n v="19"/>
        <n v="20"/>
        <n v="21"/>
        <n v="22"/>
        <n v="23"/>
      </sharedItems>
    </cacheField>
    <cacheField name="Is_Holiday" numFmtId="0">
      <sharedItems count="2">
        <b v="0"/>
        <b v="1"/>
      </sharedItems>
    </cacheField>
    <cacheField name="Day_Code" numFmtId="0">
      <sharedItems containsSemiMixedTypes="0" containsString="0" containsNumber="1" containsInteger="1" minValue="0" maxValue="6"/>
    </cacheField>
    <cacheField name="Day_Type" numFmtId="0">
      <sharedItems count="2">
        <s v="Weekend"/>
        <s v="Weekday"/>
      </sharedItems>
    </cacheField>
    <cacheField name="Weather_Code" numFmtId="0">
      <sharedItems containsSemiMixedTypes="0" containsString="0" containsNumber="1" containsInteger="1" minValue="1" maxValue="4"/>
    </cacheField>
    <cacheField name="Temperature" numFmtId="0">
      <sharedItems containsSemiMixedTypes="0" containsString="0" containsNumber="1" minValue="0.02" maxValue="0.46" count="23">
        <n v="0.24"/>
        <n v="0.22"/>
        <n v="0.2"/>
        <n v="0.32"/>
        <n v="0.38"/>
        <n v="0.36"/>
        <n v="0.42"/>
        <n v="0.46"/>
        <n v="0.44"/>
        <n v="0.4"/>
        <n v="0.34"/>
        <n v="0.3"/>
        <n v="0.26"/>
        <n v="0.16"/>
        <n v="0.14000000000000001"/>
        <n v="0.18"/>
        <n v="0.12"/>
        <n v="0.28000000000000003"/>
        <n v="0.1"/>
        <n v="0.08"/>
        <n v="0.06"/>
        <n v="0.04"/>
        <n v="0.02"/>
      </sharedItems>
      <fieldGroup base="10">
        <rangePr autoStart="0" autoEnd="0" startNum="0" endNum="0.5" groupInterval="0.1"/>
        <groupItems count="7">
          <s v="&lt;0"/>
          <s v="0-0.1"/>
          <s v="0.1-0.2"/>
          <s v="0.2-0.3"/>
          <s v="0.3-0.4"/>
          <s v="0.4-0.5"/>
          <s v="&gt;0.5"/>
        </groupItems>
      </fieldGroup>
    </cacheField>
    <cacheField name="Assumed_Temperature" numFmtId="0">
      <sharedItems containsSemiMixedTypes="0" containsString="0" containsNumber="1" minValue="0" maxValue="0.45450000000000002"/>
    </cacheField>
    <cacheField name="Humidity" numFmtId="0">
      <sharedItems containsSemiMixedTypes="0" containsString="0" containsNumber="1" minValue="0.21" maxValue="1" count="64">
        <n v="0.81"/>
        <n v="0.8"/>
        <n v="0.75"/>
        <n v="0.86"/>
        <n v="0.76"/>
        <n v="0.77"/>
        <n v="0.72"/>
        <n v="0.82"/>
        <n v="0.88"/>
        <n v="0.87"/>
        <n v="0.94"/>
        <n v="1"/>
        <n v="0.71"/>
        <n v="0.66"/>
        <n v="0.56999999999999995"/>
        <n v="0.46"/>
        <n v="0.42"/>
        <n v="0.39"/>
        <n v="0.44"/>
        <n v="0.47"/>
        <n v="0.5"/>
        <n v="0.43"/>
        <n v="0.4"/>
        <n v="0.35"/>
        <n v="0.3"/>
        <n v="0.32"/>
        <n v="0.64"/>
        <n v="0.69"/>
        <n v="0.55000000000000004"/>
        <n v="0.59"/>
        <n v="0.63"/>
        <n v="0.68"/>
        <n v="0.74"/>
        <n v="0.51"/>
        <n v="0.56000000000000005"/>
        <n v="0.52"/>
        <n v="0.49"/>
        <n v="0.48"/>
        <n v="0.37"/>
        <n v="0.33"/>
        <n v="0.28000000000000003"/>
        <n v="0.38"/>
        <n v="0.36"/>
        <n v="0.93"/>
        <n v="0.28999999999999998"/>
        <n v="0.53"/>
        <n v="0.34"/>
        <n v="0.54"/>
        <n v="0.41"/>
        <n v="0.45"/>
        <n v="0.92"/>
        <n v="0.62"/>
        <n v="0.57999999999999996"/>
        <n v="0.61"/>
        <n v="0.6"/>
        <n v="0.65"/>
        <n v="0.7"/>
        <n v="0.27"/>
        <n v="0.21"/>
        <n v="0.25"/>
        <n v="0.26"/>
        <n v="0.31"/>
        <n v="0.73"/>
        <n v="0.24"/>
      </sharedItems>
      <fieldGroup base="12">
        <rangePr autoStart="0" autoEnd="0" startNum="0" endNum="1" groupInterval="0.2"/>
        <groupItems count="7">
          <s v="&lt;0"/>
          <s v="0-0.2"/>
          <s v="0.2-0.4"/>
          <s v="0.4-0.6"/>
          <s v="0.6-0.8"/>
          <s v="0.8-1"/>
          <s v="&gt;1"/>
        </groupItems>
      </fieldGroup>
    </cacheField>
    <cacheField name="Wind_Speed" numFmtId="0">
      <sharedItems containsSemiMixedTypes="0" containsString="0" containsNumber="1" minValue="0" maxValue="0.58209999999999995" count="20">
        <n v="0"/>
        <n v="8.9599999999999999E-2"/>
        <n v="0.25369999999999998"/>
        <n v="0.28360000000000002"/>
        <n v="0.29849999999999999"/>
        <n v="0.19400000000000001"/>
        <n v="0.22389999999999999"/>
        <n v="0.1343"/>
        <n v="0.16420000000000001"/>
        <n v="0.32840000000000003"/>
        <n v="0.44779999999999998"/>
        <n v="0.35820000000000002"/>
        <n v="0.41789999999999999"/>
        <n v="0.3881"/>
        <n v="0.1045"/>
        <n v="0.49249999999999999"/>
        <n v="0.55220000000000002"/>
        <n v="0.4627"/>
        <n v="0.52239999999999998"/>
        <n v="0.58209999999999995"/>
      </sharedItems>
      <fieldGroup base="13">
        <rangePr autoEnd="0" startNum="0" endNum="0.6" groupInterval="0.1"/>
        <groupItems count="8">
          <s v="&lt;0"/>
          <s v="0-0.1"/>
          <s v="0.1-0.2"/>
          <s v="0.2-0.3"/>
          <s v="0.3-0.4"/>
          <s v="0.4-0.5"/>
          <s v="0.5-0.6"/>
          <s v="&gt;0.6"/>
        </groupItems>
      </fieldGroup>
    </cacheField>
    <cacheField name="Casual_Rentals" numFmtId="0">
      <sharedItems containsSemiMixedTypes="0" containsString="0" containsNumber="1" containsInteger="1" minValue="0" maxValue="62"/>
    </cacheField>
    <cacheField name="Registered_Rentals" numFmtId="0">
      <sharedItems containsSemiMixedTypes="0" containsString="0" containsNumber="1" containsInteger="1" minValue="0" maxValue="247"/>
    </cacheField>
    <cacheField name="Total_Rentals" numFmtId="0">
      <sharedItems containsSemiMixedTypes="0" containsString="0" containsNumber="1" containsInteger="1" minValue="1" maxValue="249"/>
    </cacheField>
    <cacheField name="Weather_Description" numFmtId="0">
      <sharedItems count="4">
        <s v="Clear"/>
        <s v="Cloudy"/>
        <s v="Light Rain"/>
        <s v="Heavy Rain"/>
      </sharedItems>
    </cacheField>
    <cacheField name="Day_Name" numFmtId="0">
      <sharedItems count="7">
        <s v="Saturday"/>
        <s v="Sunday"/>
        <s v="Monday"/>
        <s v="Tuesday"/>
        <s v="Wednesday"/>
        <s v="Thursday"/>
        <s v="Friday"/>
      </sharedItems>
    </cacheField>
    <cacheField name="Month_Name" numFmtId="0">
      <sharedItems count="2">
        <s v="January"/>
        <s v="February"/>
      </sharedItems>
    </cacheField>
    <cacheField name="Working_Day" numFmtId="0">
      <sharedItems count="2">
        <s v="Non-Working Day"/>
        <s v="Working Day"/>
      </sharedItems>
    </cacheField>
    <cacheField name="Days (Date)" numFmtId="0" databaseField="0">
      <fieldGroup base="1">
        <rangePr groupBy="days" startDate="2011-01-01T00:00:00" endDate="2011-02-15T00:00:00"/>
        <groupItems count="368">
          <s v="&lt;01-01-2011"/>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15-02-2011"/>
        </groupItems>
      </fieldGroup>
    </cacheField>
    <cacheField name="Months (Date)" numFmtId="0" databaseField="0">
      <fieldGroup base="1">
        <rangePr groupBy="months" startDate="2011-01-01T00:00:00" endDate="2011-02-15T00:00:00"/>
        <groupItems count="14">
          <s v="&lt;01-01-2011"/>
          <s v="Jan"/>
          <s v="Feb"/>
          <s v="Mar"/>
          <s v="Apr"/>
          <s v="May"/>
          <s v="Jun"/>
          <s v="Jul"/>
          <s v="Aug"/>
          <s v="Sep"/>
          <s v="Oct"/>
          <s v="Nov"/>
          <s v="Dec"/>
          <s v="&gt;15-02-2011"/>
        </groupItems>
      </fieldGroup>
    </cacheField>
  </cacheFields>
  <extLst>
    <ext xmlns:x14="http://schemas.microsoft.com/office/spreadsheetml/2009/9/main" uri="{725AE2AE-9491-48be-B2B4-4EB974FC3084}">
      <x14:pivotCacheDefinition pivotCacheId="93972313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
    <x v="0"/>
    <x v="0"/>
    <n v="0"/>
    <x v="0"/>
    <x v="0"/>
    <x v="0"/>
    <n v="6"/>
    <x v="0"/>
    <n v="1"/>
    <x v="0"/>
    <n v="0.28789999999999999"/>
    <x v="0"/>
    <x v="0"/>
    <n v="3"/>
    <n v="13"/>
    <n v="16"/>
    <x v="0"/>
    <x v="0"/>
    <x v="0"/>
    <x v="0"/>
  </r>
  <r>
    <n v="2"/>
    <x v="0"/>
    <x v="0"/>
    <n v="0"/>
    <x v="0"/>
    <x v="1"/>
    <x v="0"/>
    <n v="6"/>
    <x v="0"/>
    <n v="1"/>
    <x v="1"/>
    <n v="0.2727"/>
    <x v="1"/>
    <x v="0"/>
    <n v="8"/>
    <n v="32"/>
    <n v="40"/>
    <x v="0"/>
    <x v="0"/>
    <x v="0"/>
    <x v="0"/>
  </r>
  <r>
    <n v="3"/>
    <x v="0"/>
    <x v="0"/>
    <n v="0"/>
    <x v="0"/>
    <x v="2"/>
    <x v="0"/>
    <n v="6"/>
    <x v="0"/>
    <n v="1"/>
    <x v="1"/>
    <n v="0.2727"/>
    <x v="1"/>
    <x v="0"/>
    <n v="5"/>
    <n v="27"/>
    <n v="32"/>
    <x v="0"/>
    <x v="0"/>
    <x v="0"/>
    <x v="0"/>
  </r>
  <r>
    <n v="4"/>
    <x v="0"/>
    <x v="0"/>
    <n v="0"/>
    <x v="0"/>
    <x v="3"/>
    <x v="0"/>
    <n v="6"/>
    <x v="0"/>
    <n v="1"/>
    <x v="0"/>
    <n v="0.28789999999999999"/>
    <x v="2"/>
    <x v="0"/>
    <n v="3"/>
    <n v="10"/>
    <n v="13"/>
    <x v="0"/>
    <x v="0"/>
    <x v="0"/>
    <x v="0"/>
  </r>
  <r>
    <n v="5"/>
    <x v="0"/>
    <x v="0"/>
    <n v="0"/>
    <x v="0"/>
    <x v="4"/>
    <x v="0"/>
    <n v="6"/>
    <x v="0"/>
    <n v="1"/>
    <x v="0"/>
    <n v="0.28789999999999999"/>
    <x v="2"/>
    <x v="0"/>
    <n v="0"/>
    <n v="1"/>
    <n v="1"/>
    <x v="0"/>
    <x v="0"/>
    <x v="0"/>
    <x v="0"/>
  </r>
  <r>
    <n v="6"/>
    <x v="0"/>
    <x v="0"/>
    <n v="0"/>
    <x v="0"/>
    <x v="5"/>
    <x v="0"/>
    <n v="6"/>
    <x v="0"/>
    <n v="2"/>
    <x v="0"/>
    <n v="0.2576"/>
    <x v="2"/>
    <x v="1"/>
    <n v="0"/>
    <n v="1"/>
    <n v="1"/>
    <x v="1"/>
    <x v="0"/>
    <x v="0"/>
    <x v="0"/>
  </r>
  <r>
    <n v="7"/>
    <x v="0"/>
    <x v="0"/>
    <n v="0"/>
    <x v="0"/>
    <x v="6"/>
    <x v="0"/>
    <n v="6"/>
    <x v="0"/>
    <n v="1"/>
    <x v="1"/>
    <n v="0.2727"/>
    <x v="1"/>
    <x v="0"/>
    <n v="2"/>
    <n v="0"/>
    <n v="2"/>
    <x v="0"/>
    <x v="0"/>
    <x v="0"/>
    <x v="0"/>
  </r>
  <r>
    <n v="8"/>
    <x v="0"/>
    <x v="0"/>
    <n v="0"/>
    <x v="0"/>
    <x v="7"/>
    <x v="0"/>
    <n v="6"/>
    <x v="0"/>
    <n v="1"/>
    <x v="2"/>
    <n v="0.2576"/>
    <x v="3"/>
    <x v="0"/>
    <n v="1"/>
    <n v="2"/>
    <n v="3"/>
    <x v="0"/>
    <x v="0"/>
    <x v="0"/>
    <x v="0"/>
  </r>
  <r>
    <n v="9"/>
    <x v="0"/>
    <x v="0"/>
    <n v="0"/>
    <x v="0"/>
    <x v="8"/>
    <x v="0"/>
    <n v="6"/>
    <x v="0"/>
    <n v="1"/>
    <x v="0"/>
    <n v="0.19993489148580967"/>
    <x v="2"/>
    <x v="0"/>
    <n v="1"/>
    <n v="7"/>
    <n v="8"/>
    <x v="0"/>
    <x v="0"/>
    <x v="0"/>
    <x v="0"/>
  </r>
  <r>
    <n v="10"/>
    <x v="0"/>
    <x v="0"/>
    <n v="0"/>
    <x v="0"/>
    <x v="9"/>
    <x v="0"/>
    <n v="6"/>
    <x v="0"/>
    <n v="1"/>
    <x v="3"/>
    <n v="0.34849999999999998"/>
    <x v="4"/>
    <x v="0"/>
    <n v="8"/>
    <n v="6"/>
    <n v="14"/>
    <x v="0"/>
    <x v="0"/>
    <x v="0"/>
    <x v="0"/>
  </r>
  <r>
    <n v="11"/>
    <x v="0"/>
    <x v="0"/>
    <n v="0"/>
    <x v="0"/>
    <x v="10"/>
    <x v="0"/>
    <n v="6"/>
    <x v="0"/>
    <n v="1"/>
    <x v="4"/>
    <n v="0.39389999999999997"/>
    <x v="4"/>
    <x v="2"/>
    <n v="12"/>
    <n v="24"/>
    <n v="36"/>
    <x v="0"/>
    <x v="0"/>
    <x v="0"/>
    <x v="0"/>
  </r>
  <r>
    <n v="12"/>
    <x v="0"/>
    <x v="0"/>
    <n v="0"/>
    <x v="0"/>
    <x v="11"/>
    <x v="0"/>
    <n v="6"/>
    <x v="0"/>
    <n v="1"/>
    <x v="5"/>
    <n v="0.33329999999999999"/>
    <x v="0"/>
    <x v="3"/>
    <n v="26"/>
    <n v="30"/>
    <n v="56"/>
    <x v="0"/>
    <x v="0"/>
    <x v="0"/>
    <x v="0"/>
  </r>
  <r>
    <n v="13"/>
    <x v="0"/>
    <x v="0"/>
    <n v="0"/>
    <x v="0"/>
    <x v="12"/>
    <x v="0"/>
    <n v="6"/>
    <x v="0"/>
    <n v="1"/>
    <x v="6"/>
    <n v="0.42420000000000002"/>
    <x v="5"/>
    <x v="3"/>
    <n v="29"/>
    <n v="55"/>
    <n v="84"/>
    <x v="0"/>
    <x v="0"/>
    <x v="0"/>
    <x v="0"/>
  </r>
  <r>
    <n v="14"/>
    <x v="0"/>
    <x v="0"/>
    <n v="0"/>
    <x v="0"/>
    <x v="13"/>
    <x v="0"/>
    <n v="6"/>
    <x v="0"/>
    <n v="2"/>
    <x v="7"/>
    <n v="0.45450000000000002"/>
    <x v="6"/>
    <x v="4"/>
    <n v="47"/>
    <n v="47"/>
    <n v="94"/>
    <x v="1"/>
    <x v="0"/>
    <x v="0"/>
    <x v="0"/>
  </r>
  <r>
    <n v="15"/>
    <x v="0"/>
    <x v="0"/>
    <n v="0"/>
    <x v="0"/>
    <x v="14"/>
    <x v="0"/>
    <n v="6"/>
    <x v="0"/>
    <n v="2"/>
    <x v="7"/>
    <n v="0.45450000000000002"/>
    <x v="6"/>
    <x v="3"/>
    <n v="35"/>
    <n v="71"/>
    <n v="106"/>
    <x v="1"/>
    <x v="0"/>
    <x v="0"/>
    <x v="0"/>
  </r>
  <r>
    <n v="16"/>
    <x v="0"/>
    <x v="0"/>
    <n v="0"/>
    <x v="0"/>
    <x v="15"/>
    <x v="0"/>
    <n v="6"/>
    <x v="0"/>
    <n v="2"/>
    <x v="8"/>
    <n v="0.43940000000000001"/>
    <x v="5"/>
    <x v="4"/>
    <n v="40"/>
    <n v="70"/>
    <n v="110"/>
    <x v="1"/>
    <x v="0"/>
    <x v="0"/>
    <x v="0"/>
  </r>
  <r>
    <n v="17"/>
    <x v="0"/>
    <x v="0"/>
    <n v="0"/>
    <x v="0"/>
    <x v="16"/>
    <x v="0"/>
    <n v="6"/>
    <x v="0"/>
    <n v="2"/>
    <x v="6"/>
    <n v="0.42420000000000002"/>
    <x v="7"/>
    <x v="4"/>
    <n v="41"/>
    <n v="52"/>
    <n v="93"/>
    <x v="1"/>
    <x v="0"/>
    <x v="0"/>
    <x v="0"/>
  </r>
  <r>
    <n v="18"/>
    <x v="0"/>
    <x v="0"/>
    <n v="0"/>
    <x v="0"/>
    <x v="17"/>
    <x v="0"/>
    <n v="6"/>
    <x v="0"/>
    <n v="2"/>
    <x v="8"/>
    <n v="0.19993489148580967"/>
    <x v="7"/>
    <x v="3"/>
    <n v="15"/>
    <n v="52"/>
    <n v="67"/>
    <x v="1"/>
    <x v="0"/>
    <x v="0"/>
    <x v="0"/>
  </r>
  <r>
    <n v="19"/>
    <x v="0"/>
    <x v="0"/>
    <n v="0"/>
    <x v="0"/>
    <x v="18"/>
    <x v="0"/>
    <n v="6"/>
    <x v="0"/>
    <n v="3"/>
    <x v="6"/>
    <n v="0.42420000000000002"/>
    <x v="8"/>
    <x v="2"/>
    <n v="9"/>
    <n v="26"/>
    <n v="35"/>
    <x v="2"/>
    <x v="0"/>
    <x v="0"/>
    <x v="0"/>
  </r>
  <r>
    <n v="20"/>
    <x v="0"/>
    <x v="0"/>
    <n v="0"/>
    <x v="0"/>
    <x v="19"/>
    <x v="0"/>
    <n v="6"/>
    <x v="0"/>
    <n v="3"/>
    <x v="6"/>
    <n v="0.42420000000000002"/>
    <x v="8"/>
    <x v="2"/>
    <n v="6"/>
    <n v="31"/>
    <n v="37"/>
    <x v="2"/>
    <x v="0"/>
    <x v="0"/>
    <x v="0"/>
  </r>
  <r>
    <n v="21"/>
    <x v="0"/>
    <x v="0"/>
    <n v="0"/>
    <x v="0"/>
    <x v="20"/>
    <x v="0"/>
    <n v="6"/>
    <x v="0"/>
    <n v="2"/>
    <x v="9"/>
    <n v="0.40910000000000002"/>
    <x v="9"/>
    <x v="2"/>
    <n v="11"/>
    <n v="25"/>
    <n v="36"/>
    <x v="1"/>
    <x v="0"/>
    <x v="0"/>
    <x v="0"/>
  </r>
  <r>
    <n v="22"/>
    <x v="0"/>
    <x v="0"/>
    <n v="0"/>
    <x v="0"/>
    <x v="21"/>
    <x v="0"/>
    <n v="6"/>
    <x v="0"/>
    <n v="2"/>
    <x v="9"/>
    <n v="0.40910000000000002"/>
    <x v="9"/>
    <x v="5"/>
    <n v="3"/>
    <n v="31"/>
    <n v="34"/>
    <x v="1"/>
    <x v="0"/>
    <x v="0"/>
    <x v="0"/>
  </r>
  <r>
    <n v="23"/>
    <x v="0"/>
    <x v="0"/>
    <n v="0"/>
    <x v="0"/>
    <x v="22"/>
    <x v="0"/>
    <n v="6"/>
    <x v="0"/>
    <n v="2"/>
    <x v="9"/>
    <n v="0.40910000000000002"/>
    <x v="10"/>
    <x v="6"/>
    <n v="11"/>
    <n v="17"/>
    <n v="28"/>
    <x v="1"/>
    <x v="0"/>
    <x v="0"/>
    <x v="0"/>
  </r>
  <r>
    <n v="24"/>
    <x v="0"/>
    <x v="0"/>
    <n v="0"/>
    <x v="0"/>
    <x v="23"/>
    <x v="0"/>
    <n v="6"/>
    <x v="0"/>
    <n v="2"/>
    <x v="7"/>
    <n v="0.19993489148580967"/>
    <x v="8"/>
    <x v="4"/>
    <n v="15"/>
    <n v="24"/>
    <n v="39"/>
    <x v="1"/>
    <x v="0"/>
    <x v="0"/>
    <x v="0"/>
  </r>
  <r>
    <n v="25"/>
    <x v="1"/>
    <x v="0"/>
    <n v="0"/>
    <x v="0"/>
    <x v="0"/>
    <x v="0"/>
    <n v="0"/>
    <x v="0"/>
    <n v="2"/>
    <x v="7"/>
    <n v="0.45450000000000002"/>
    <x v="8"/>
    <x v="4"/>
    <n v="4"/>
    <n v="13"/>
    <n v="17"/>
    <x v="1"/>
    <x v="1"/>
    <x v="0"/>
    <x v="0"/>
  </r>
  <r>
    <n v="26"/>
    <x v="1"/>
    <x v="0"/>
    <n v="0"/>
    <x v="0"/>
    <x v="1"/>
    <x v="0"/>
    <n v="0"/>
    <x v="0"/>
    <n v="2"/>
    <x v="8"/>
    <n v="0.43940000000000001"/>
    <x v="10"/>
    <x v="2"/>
    <n v="1"/>
    <n v="16"/>
    <n v="17"/>
    <x v="1"/>
    <x v="1"/>
    <x v="0"/>
    <x v="0"/>
  </r>
  <r>
    <n v="27"/>
    <x v="1"/>
    <x v="0"/>
    <n v="0"/>
    <x v="0"/>
    <x v="2"/>
    <x v="0"/>
    <n v="0"/>
    <x v="0"/>
    <n v="2"/>
    <x v="6"/>
    <n v="0.42420000000000002"/>
    <x v="11"/>
    <x v="3"/>
    <n v="1"/>
    <n v="8"/>
    <n v="9"/>
    <x v="1"/>
    <x v="1"/>
    <x v="0"/>
    <x v="0"/>
  </r>
  <r>
    <n v="28"/>
    <x v="1"/>
    <x v="0"/>
    <n v="0"/>
    <x v="0"/>
    <x v="3"/>
    <x v="0"/>
    <n v="0"/>
    <x v="0"/>
    <n v="2"/>
    <x v="7"/>
    <n v="0.45450000000000002"/>
    <x v="10"/>
    <x v="5"/>
    <n v="2"/>
    <n v="4"/>
    <n v="6"/>
    <x v="1"/>
    <x v="1"/>
    <x v="0"/>
    <x v="0"/>
  </r>
  <r>
    <n v="29"/>
    <x v="1"/>
    <x v="0"/>
    <n v="0"/>
    <x v="0"/>
    <x v="4"/>
    <x v="0"/>
    <n v="0"/>
    <x v="0"/>
    <n v="2"/>
    <x v="7"/>
    <n v="0.19993489148580967"/>
    <x v="10"/>
    <x v="5"/>
    <n v="2"/>
    <n v="1"/>
    <n v="3"/>
    <x v="1"/>
    <x v="1"/>
    <x v="0"/>
    <x v="0"/>
  </r>
  <r>
    <n v="30"/>
    <x v="1"/>
    <x v="0"/>
    <n v="0"/>
    <x v="0"/>
    <x v="6"/>
    <x v="0"/>
    <n v="0"/>
    <x v="0"/>
    <n v="3"/>
    <x v="6"/>
    <n v="0.42420000000000002"/>
    <x v="5"/>
    <x v="4"/>
    <n v="0"/>
    <n v="2"/>
    <n v="2"/>
    <x v="2"/>
    <x v="1"/>
    <x v="0"/>
    <x v="0"/>
  </r>
  <r>
    <n v="31"/>
    <x v="1"/>
    <x v="0"/>
    <n v="0"/>
    <x v="0"/>
    <x v="7"/>
    <x v="0"/>
    <n v="0"/>
    <x v="0"/>
    <n v="2"/>
    <x v="9"/>
    <n v="0.40910000000000002"/>
    <x v="4"/>
    <x v="5"/>
    <n v="0"/>
    <n v="1"/>
    <n v="1"/>
    <x v="1"/>
    <x v="1"/>
    <x v="0"/>
    <x v="0"/>
  </r>
  <r>
    <n v="32"/>
    <x v="1"/>
    <x v="0"/>
    <n v="0"/>
    <x v="0"/>
    <x v="8"/>
    <x v="0"/>
    <n v="0"/>
    <x v="0"/>
    <n v="3"/>
    <x v="9"/>
    <n v="0.40910000000000002"/>
    <x v="12"/>
    <x v="6"/>
    <n v="0"/>
    <n v="8"/>
    <n v="8"/>
    <x v="2"/>
    <x v="1"/>
    <x v="0"/>
    <x v="0"/>
  </r>
  <r>
    <n v="33"/>
    <x v="1"/>
    <x v="0"/>
    <n v="0"/>
    <x v="0"/>
    <x v="9"/>
    <x v="0"/>
    <n v="0"/>
    <x v="0"/>
    <n v="2"/>
    <x v="4"/>
    <n v="0.19993489148580967"/>
    <x v="4"/>
    <x v="6"/>
    <n v="1"/>
    <n v="19"/>
    <n v="20"/>
    <x v="1"/>
    <x v="1"/>
    <x v="0"/>
    <x v="0"/>
  </r>
  <r>
    <n v="34"/>
    <x v="1"/>
    <x v="0"/>
    <n v="0"/>
    <x v="0"/>
    <x v="10"/>
    <x v="0"/>
    <n v="0"/>
    <x v="0"/>
    <n v="2"/>
    <x v="5"/>
    <n v="0.34849999999999998"/>
    <x v="0"/>
    <x v="6"/>
    <n v="7"/>
    <n v="46"/>
    <n v="53"/>
    <x v="1"/>
    <x v="1"/>
    <x v="0"/>
    <x v="0"/>
  </r>
  <r>
    <n v="35"/>
    <x v="1"/>
    <x v="0"/>
    <n v="0"/>
    <x v="0"/>
    <x v="11"/>
    <x v="0"/>
    <n v="0"/>
    <x v="0"/>
    <n v="2"/>
    <x v="5"/>
    <n v="0.33329999999999999"/>
    <x v="12"/>
    <x v="2"/>
    <n v="16"/>
    <n v="54"/>
    <n v="70"/>
    <x v="1"/>
    <x v="1"/>
    <x v="0"/>
    <x v="0"/>
  </r>
  <r>
    <n v="36"/>
    <x v="1"/>
    <x v="0"/>
    <n v="0"/>
    <x v="0"/>
    <x v="12"/>
    <x v="0"/>
    <n v="0"/>
    <x v="0"/>
    <n v="2"/>
    <x v="5"/>
    <n v="0.33329999999999999"/>
    <x v="13"/>
    <x v="4"/>
    <n v="20"/>
    <n v="73"/>
    <n v="93"/>
    <x v="1"/>
    <x v="1"/>
    <x v="0"/>
    <x v="0"/>
  </r>
  <r>
    <n v="37"/>
    <x v="1"/>
    <x v="0"/>
    <n v="0"/>
    <x v="0"/>
    <x v="13"/>
    <x v="0"/>
    <n v="0"/>
    <x v="0"/>
    <n v="2"/>
    <x v="5"/>
    <n v="0.34849999999999998"/>
    <x v="13"/>
    <x v="7"/>
    <n v="11"/>
    <n v="64"/>
    <n v="75"/>
    <x v="1"/>
    <x v="1"/>
    <x v="0"/>
    <x v="0"/>
  </r>
  <r>
    <n v="38"/>
    <x v="1"/>
    <x v="0"/>
    <n v="0"/>
    <x v="0"/>
    <x v="14"/>
    <x v="0"/>
    <n v="0"/>
    <x v="0"/>
    <n v="3"/>
    <x v="5"/>
    <n v="0.19993489148580967"/>
    <x v="4"/>
    <x v="5"/>
    <n v="4"/>
    <n v="55"/>
    <n v="59"/>
    <x v="2"/>
    <x v="1"/>
    <x v="0"/>
    <x v="0"/>
  </r>
  <r>
    <n v="39"/>
    <x v="1"/>
    <x v="0"/>
    <n v="0"/>
    <x v="0"/>
    <x v="15"/>
    <x v="0"/>
    <n v="0"/>
    <x v="0"/>
    <n v="3"/>
    <x v="10"/>
    <n v="0.33329999999999999"/>
    <x v="0"/>
    <x v="8"/>
    <n v="19"/>
    <n v="55"/>
    <n v="74"/>
    <x v="2"/>
    <x v="1"/>
    <x v="0"/>
    <x v="0"/>
  </r>
  <r>
    <n v="40"/>
    <x v="1"/>
    <x v="0"/>
    <n v="0"/>
    <x v="0"/>
    <x v="16"/>
    <x v="0"/>
    <n v="0"/>
    <x v="0"/>
    <n v="3"/>
    <x v="10"/>
    <n v="0.33329999999999999"/>
    <x v="12"/>
    <x v="8"/>
    <n v="9"/>
    <n v="67"/>
    <n v="76"/>
    <x v="2"/>
    <x v="1"/>
    <x v="0"/>
    <x v="0"/>
  </r>
  <r>
    <n v="41"/>
    <x v="1"/>
    <x v="0"/>
    <n v="0"/>
    <x v="0"/>
    <x v="17"/>
    <x v="0"/>
    <n v="0"/>
    <x v="0"/>
    <n v="1"/>
    <x v="10"/>
    <n v="0.33329999999999999"/>
    <x v="14"/>
    <x v="5"/>
    <n v="7"/>
    <n v="58"/>
    <n v="65"/>
    <x v="0"/>
    <x v="1"/>
    <x v="0"/>
    <x v="0"/>
  </r>
  <r>
    <n v="42"/>
    <x v="1"/>
    <x v="0"/>
    <n v="0"/>
    <x v="0"/>
    <x v="18"/>
    <x v="0"/>
    <n v="0"/>
    <x v="0"/>
    <n v="2"/>
    <x v="5"/>
    <n v="0.33329999999999999"/>
    <x v="15"/>
    <x v="9"/>
    <n v="10"/>
    <n v="43"/>
    <n v="53"/>
    <x v="1"/>
    <x v="1"/>
    <x v="0"/>
    <x v="0"/>
  </r>
  <r>
    <n v="43"/>
    <x v="1"/>
    <x v="0"/>
    <n v="0"/>
    <x v="0"/>
    <x v="19"/>
    <x v="0"/>
    <n v="0"/>
    <x v="0"/>
    <n v="1"/>
    <x v="3"/>
    <n v="0.28789999999999999"/>
    <x v="16"/>
    <x v="10"/>
    <n v="1"/>
    <n v="29"/>
    <n v="30"/>
    <x v="0"/>
    <x v="1"/>
    <x v="0"/>
    <x v="0"/>
  </r>
  <r>
    <n v="44"/>
    <x v="1"/>
    <x v="0"/>
    <n v="0"/>
    <x v="0"/>
    <x v="20"/>
    <x v="0"/>
    <n v="0"/>
    <x v="0"/>
    <n v="1"/>
    <x v="11"/>
    <n v="0.19993489148580967"/>
    <x v="17"/>
    <x v="11"/>
    <n v="5"/>
    <n v="17"/>
    <n v="22"/>
    <x v="0"/>
    <x v="1"/>
    <x v="0"/>
    <x v="0"/>
  </r>
  <r>
    <n v="45"/>
    <x v="1"/>
    <x v="0"/>
    <n v="0"/>
    <x v="0"/>
    <x v="21"/>
    <x v="0"/>
    <n v="0"/>
    <x v="0"/>
    <n v="1"/>
    <x v="12"/>
    <n v="0.2273"/>
    <x v="18"/>
    <x v="9"/>
    <n v="11"/>
    <n v="20"/>
    <n v="31"/>
    <x v="0"/>
    <x v="1"/>
    <x v="0"/>
    <x v="0"/>
  </r>
  <r>
    <n v="46"/>
    <x v="1"/>
    <x v="0"/>
    <n v="0"/>
    <x v="0"/>
    <x v="22"/>
    <x v="0"/>
    <n v="0"/>
    <x v="0"/>
    <n v="1"/>
    <x v="0"/>
    <n v="0.21210000000000001"/>
    <x v="18"/>
    <x v="4"/>
    <n v="0"/>
    <n v="9"/>
    <n v="9"/>
    <x v="0"/>
    <x v="1"/>
    <x v="0"/>
    <x v="0"/>
  </r>
  <r>
    <n v="47"/>
    <x v="1"/>
    <x v="0"/>
    <n v="0"/>
    <x v="0"/>
    <x v="23"/>
    <x v="0"/>
    <n v="0"/>
    <x v="0"/>
    <n v="1"/>
    <x v="1"/>
    <n v="0.2273"/>
    <x v="19"/>
    <x v="8"/>
    <n v="0"/>
    <n v="8"/>
    <n v="8"/>
    <x v="0"/>
    <x v="1"/>
    <x v="0"/>
    <x v="0"/>
  </r>
  <r>
    <n v="48"/>
    <x v="2"/>
    <x v="0"/>
    <n v="0"/>
    <x v="0"/>
    <x v="0"/>
    <x v="0"/>
    <n v="1"/>
    <x v="1"/>
    <n v="1"/>
    <x v="1"/>
    <n v="0.19700000000000001"/>
    <x v="18"/>
    <x v="11"/>
    <n v="0"/>
    <n v="5"/>
    <n v="5"/>
    <x v="0"/>
    <x v="2"/>
    <x v="0"/>
    <x v="1"/>
  </r>
  <r>
    <n v="49"/>
    <x v="2"/>
    <x v="0"/>
    <n v="0"/>
    <x v="0"/>
    <x v="1"/>
    <x v="0"/>
    <n v="1"/>
    <x v="1"/>
    <n v="1"/>
    <x v="2"/>
    <n v="0.19993489148580967"/>
    <x v="18"/>
    <x v="12"/>
    <n v="0"/>
    <n v="2"/>
    <n v="2"/>
    <x v="0"/>
    <x v="2"/>
    <x v="0"/>
    <x v="1"/>
  </r>
  <r>
    <n v="50"/>
    <x v="2"/>
    <x v="0"/>
    <n v="0"/>
    <x v="0"/>
    <x v="4"/>
    <x v="0"/>
    <n v="1"/>
    <x v="1"/>
    <n v="1"/>
    <x v="13"/>
    <n v="0.13639999999999999"/>
    <x v="19"/>
    <x v="13"/>
    <n v="0"/>
    <n v="1"/>
    <n v="1"/>
    <x v="0"/>
    <x v="2"/>
    <x v="0"/>
    <x v="1"/>
  </r>
  <r>
    <n v="51"/>
    <x v="2"/>
    <x v="0"/>
    <n v="0"/>
    <x v="0"/>
    <x v="5"/>
    <x v="0"/>
    <n v="1"/>
    <x v="1"/>
    <n v="1"/>
    <x v="13"/>
    <n v="0.13639999999999999"/>
    <x v="19"/>
    <x v="3"/>
    <n v="0"/>
    <n v="3"/>
    <n v="3"/>
    <x v="0"/>
    <x v="2"/>
    <x v="0"/>
    <x v="1"/>
  </r>
  <r>
    <n v="52"/>
    <x v="2"/>
    <x v="0"/>
    <n v="0"/>
    <x v="0"/>
    <x v="6"/>
    <x v="0"/>
    <n v="1"/>
    <x v="1"/>
    <n v="1"/>
    <x v="14"/>
    <n v="0.1061"/>
    <x v="20"/>
    <x v="13"/>
    <n v="0"/>
    <n v="30"/>
    <n v="30"/>
    <x v="0"/>
    <x v="2"/>
    <x v="0"/>
    <x v="1"/>
  </r>
  <r>
    <n v="53"/>
    <x v="2"/>
    <x v="0"/>
    <n v="0"/>
    <x v="0"/>
    <x v="7"/>
    <x v="0"/>
    <n v="1"/>
    <x v="1"/>
    <n v="1"/>
    <x v="14"/>
    <n v="0.13639999999999999"/>
    <x v="20"/>
    <x v="5"/>
    <n v="1"/>
    <n v="63"/>
    <n v="64"/>
    <x v="0"/>
    <x v="2"/>
    <x v="0"/>
    <x v="1"/>
  </r>
  <r>
    <n v="54"/>
    <x v="2"/>
    <x v="0"/>
    <n v="0"/>
    <x v="0"/>
    <x v="8"/>
    <x v="0"/>
    <n v="1"/>
    <x v="1"/>
    <n v="1"/>
    <x v="14"/>
    <n v="0.1212"/>
    <x v="20"/>
    <x v="3"/>
    <n v="1"/>
    <n v="153"/>
    <n v="154"/>
    <x v="0"/>
    <x v="2"/>
    <x v="0"/>
    <x v="1"/>
  </r>
  <r>
    <n v="55"/>
    <x v="2"/>
    <x v="0"/>
    <n v="0"/>
    <x v="0"/>
    <x v="9"/>
    <x v="0"/>
    <n v="1"/>
    <x v="1"/>
    <n v="1"/>
    <x v="13"/>
    <n v="0.13639999999999999"/>
    <x v="21"/>
    <x v="13"/>
    <n v="7"/>
    <n v="81"/>
    <n v="88"/>
    <x v="0"/>
    <x v="2"/>
    <x v="0"/>
    <x v="1"/>
  </r>
  <r>
    <n v="56"/>
    <x v="2"/>
    <x v="0"/>
    <n v="0"/>
    <x v="0"/>
    <x v="10"/>
    <x v="0"/>
    <n v="1"/>
    <x v="1"/>
    <n v="1"/>
    <x v="15"/>
    <n v="0.16669999999999999"/>
    <x v="21"/>
    <x v="2"/>
    <n v="11"/>
    <n v="33"/>
    <n v="44"/>
    <x v="0"/>
    <x v="2"/>
    <x v="0"/>
    <x v="1"/>
  </r>
  <r>
    <n v="57"/>
    <x v="2"/>
    <x v="0"/>
    <n v="0"/>
    <x v="0"/>
    <x v="11"/>
    <x v="0"/>
    <n v="1"/>
    <x v="1"/>
    <n v="1"/>
    <x v="2"/>
    <n v="0.18179999999999999"/>
    <x v="22"/>
    <x v="9"/>
    <n v="10"/>
    <n v="41"/>
    <n v="51"/>
    <x v="0"/>
    <x v="2"/>
    <x v="0"/>
    <x v="1"/>
  </r>
  <r>
    <n v="58"/>
    <x v="2"/>
    <x v="0"/>
    <n v="0"/>
    <x v="0"/>
    <x v="12"/>
    <x v="0"/>
    <n v="1"/>
    <x v="1"/>
    <n v="1"/>
    <x v="1"/>
    <n v="0.21210000000000001"/>
    <x v="23"/>
    <x v="4"/>
    <n v="13"/>
    <n v="48"/>
    <n v="61"/>
    <x v="0"/>
    <x v="2"/>
    <x v="0"/>
    <x v="1"/>
  </r>
  <r>
    <n v="59"/>
    <x v="2"/>
    <x v="0"/>
    <n v="0"/>
    <x v="0"/>
    <x v="13"/>
    <x v="0"/>
    <n v="1"/>
    <x v="1"/>
    <n v="1"/>
    <x v="0"/>
    <n v="0.19993489148580967"/>
    <x v="23"/>
    <x v="3"/>
    <n v="8"/>
    <n v="53"/>
    <n v="61"/>
    <x v="0"/>
    <x v="2"/>
    <x v="0"/>
    <x v="1"/>
  </r>
  <r>
    <n v="60"/>
    <x v="2"/>
    <x v="0"/>
    <n v="0"/>
    <x v="0"/>
    <x v="14"/>
    <x v="0"/>
    <n v="1"/>
    <x v="1"/>
    <n v="1"/>
    <x v="12"/>
    <n v="0.2424"/>
    <x v="24"/>
    <x v="3"/>
    <n v="11"/>
    <n v="66"/>
    <n v="77"/>
    <x v="0"/>
    <x v="2"/>
    <x v="0"/>
    <x v="1"/>
  </r>
  <r>
    <n v="61"/>
    <x v="2"/>
    <x v="0"/>
    <n v="0"/>
    <x v="0"/>
    <x v="15"/>
    <x v="0"/>
    <n v="1"/>
    <x v="1"/>
    <n v="1"/>
    <x v="12"/>
    <n v="0.2424"/>
    <x v="24"/>
    <x v="2"/>
    <n v="14"/>
    <n v="58"/>
    <n v="72"/>
    <x v="0"/>
    <x v="2"/>
    <x v="0"/>
    <x v="1"/>
  </r>
  <r>
    <n v="62"/>
    <x v="2"/>
    <x v="0"/>
    <n v="0"/>
    <x v="0"/>
    <x v="16"/>
    <x v="0"/>
    <n v="1"/>
    <x v="1"/>
    <n v="1"/>
    <x v="12"/>
    <n v="0.2424"/>
    <x v="24"/>
    <x v="2"/>
    <n v="9"/>
    <n v="67"/>
    <n v="76"/>
    <x v="0"/>
    <x v="2"/>
    <x v="0"/>
    <x v="1"/>
  </r>
  <r>
    <n v="63"/>
    <x v="2"/>
    <x v="0"/>
    <n v="0"/>
    <x v="0"/>
    <x v="17"/>
    <x v="0"/>
    <n v="1"/>
    <x v="1"/>
    <n v="1"/>
    <x v="0"/>
    <n v="0.2273"/>
    <x v="24"/>
    <x v="6"/>
    <n v="11"/>
    <n v="146"/>
    <n v="157"/>
    <x v="0"/>
    <x v="2"/>
    <x v="0"/>
    <x v="1"/>
  </r>
  <r>
    <n v="64"/>
    <x v="2"/>
    <x v="0"/>
    <n v="0"/>
    <x v="0"/>
    <x v="18"/>
    <x v="0"/>
    <n v="1"/>
    <x v="1"/>
    <n v="1"/>
    <x v="0"/>
    <n v="0.2576"/>
    <x v="25"/>
    <x v="14"/>
    <n v="9"/>
    <n v="148"/>
    <n v="157"/>
    <x v="0"/>
    <x v="2"/>
    <x v="0"/>
    <x v="1"/>
  </r>
  <r>
    <n v="65"/>
    <x v="2"/>
    <x v="0"/>
    <n v="0"/>
    <x v="0"/>
    <x v="19"/>
    <x v="0"/>
    <n v="1"/>
    <x v="1"/>
    <n v="1"/>
    <x v="2"/>
    <n v="0.2576"/>
    <x v="19"/>
    <x v="0"/>
    <n v="8"/>
    <n v="102"/>
    <n v="110"/>
    <x v="0"/>
    <x v="2"/>
    <x v="0"/>
    <x v="1"/>
  </r>
  <r>
    <n v="66"/>
    <x v="2"/>
    <x v="0"/>
    <n v="0"/>
    <x v="0"/>
    <x v="20"/>
    <x v="0"/>
    <n v="1"/>
    <x v="1"/>
    <n v="1"/>
    <x v="2"/>
    <n v="0.19993489148580967"/>
    <x v="19"/>
    <x v="14"/>
    <n v="3"/>
    <n v="49"/>
    <n v="52"/>
    <x v="0"/>
    <x v="2"/>
    <x v="0"/>
    <x v="1"/>
  </r>
  <r>
    <n v="67"/>
    <x v="2"/>
    <x v="0"/>
    <n v="0"/>
    <x v="0"/>
    <x v="21"/>
    <x v="0"/>
    <n v="1"/>
    <x v="1"/>
    <n v="1"/>
    <x v="15"/>
    <n v="0.19700000000000001"/>
    <x v="26"/>
    <x v="7"/>
    <n v="3"/>
    <n v="49"/>
    <n v="52"/>
    <x v="0"/>
    <x v="2"/>
    <x v="0"/>
    <x v="1"/>
  </r>
  <r>
    <n v="68"/>
    <x v="2"/>
    <x v="0"/>
    <n v="0"/>
    <x v="0"/>
    <x v="22"/>
    <x v="0"/>
    <n v="1"/>
    <x v="1"/>
    <n v="1"/>
    <x v="14"/>
    <n v="0.1515"/>
    <x v="27"/>
    <x v="7"/>
    <n v="0"/>
    <n v="20"/>
    <n v="20"/>
    <x v="0"/>
    <x v="2"/>
    <x v="0"/>
    <x v="1"/>
  </r>
  <r>
    <n v="69"/>
    <x v="2"/>
    <x v="0"/>
    <n v="0"/>
    <x v="0"/>
    <x v="23"/>
    <x v="0"/>
    <n v="1"/>
    <x v="1"/>
    <n v="1"/>
    <x v="15"/>
    <n v="0.21210000000000001"/>
    <x v="28"/>
    <x v="14"/>
    <n v="1"/>
    <n v="11"/>
    <n v="12"/>
    <x v="0"/>
    <x v="2"/>
    <x v="0"/>
    <x v="1"/>
  </r>
  <r>
    <n v="70"/>
    <x v="3"/>
    <x v="0"/>
    <n v="0"/>
    <x v="0"/>
    <x v="0"/>
    <x v="0"/>
    <n v="2"/>
    <x v="1"/>
    <n v="1"/>
    <x v="13"/>
    <n v="0.19993489148580967"/>
    <x v="28"/>
    <x v="14"/>
    <n v="0"/>
    <n v="5"/>
    <n v="5"/>
    <x v="0"/>
    <x v="3"/>
    <x v="0"/>
    <x v="1"/>
  </r>
  <r>
    <n v="71"/>
    <x v="3"/>
    <x v="0"/>
    <n v="0"/>
    <x v="0"/>
    <x v="1"/>
    <x v="0"/>
    <n v="2"/>
    <x v="1"/>
    <n v="1"/>
    <x v="13"/>
    <n v="0.18179999999999999"/>
    <x v="29"/>
    <x v="14"/>
    <n v="0"/>
    <n v="2"/>
    <n v="2"/>
    <x v="0"/>
    <x v="3"/>
    <x v="0"/>
    <x v="1"/>
  </r>
  <r>
    <n v="72"/>
    <x v="3"/>
    <x v="0"/>
    <n v="0"/>
    <x v="0"/>
    <x v="2"/>
    <x v="0"/>
    <n v="2"/>
    <x v="1"/>
    <n v="1"/>
    <x v="14"/>
    <n v="0.1515"/>
    <x v="30"/>
    <x v="7"/>
    <n v="0"/>
    <n v="1"/>
    <n v="1"/>
    <x v="0"/>
    <x v="3"/>
    <x v="0"/>
    <x v="1"/>
  </r>
  <r>
    <n v="73"/>
    <x v="3"/>
    <x v="0"/>
    <n v="0"/>
    <x v="0"/>
    <x v="4"/>
    <x v="0"/>
    <n v="2"/>
    <x v="1"/>
    <n v="1"/>
    <x v="14"/>
    <n v="0.18179999999999999"/>
    <x v="30"/>
    <x v="1"/>
    <n v="0"/>
    <n v="2"/>
    <n v="2"/>
    <x v="0"/>
    <x v="3"/>
    <x v="0"/>
    <x v="1"/>
  </r>
  <r>
    <n v="74"/>
    <x v="3"/>
    <x v="0"/>
    <n v="0"/>
    <x v="0"/>
    <x v="5"/>
    <x v="0"/>
    <n v="2"/>
    <x v="1"/>
    <n v="1"/>
    <x v="16"/>
    <n v="0.1515"/>
    <x v="31"/>
    <x v="14"/>
    <n v="0"/>
    <n v="4"/>
    <n v="4"/>
    <x v="0"/>
    <x v="3"/>
    <x v="0"/>
    <x v="1"/>
  </r>
  <r>
    <n v="75"/>
    <x v="3"/>
    <x v="0"/>
    <n v="0"/>
    <x v="0"/>
    <x v="6"/>
    <x v="0"/>
    <n v="2"/>
    <x v="1"/>
    <n v="1"/>
    <x v="16"/>
    <n v="0.1515"/>
    <x v="32"/>
    <x v="14"/>
    <n v="0"/>
    <n v="36"/>
    <n v="36"/>
    <x v="0"/>
    <x v="3"/>
    <x v="0"/>
    <x v="1"/>
  </r>
  <r>
    <n v="76"/>
    <x v="3"/>
    <x v="0"/>
    <n v="0"/>
    <x v="0"/>
    <x v="7"/>
    <x v="0"/>
    <n v="2"/>
    <x v="1"/>
    <n v="1"/>
    <x v="16"/>
    <n v="0.1515"/>
    <x v="32"/>
    <x v="7"/>
    <n v="2"/>
    <n v="92"/>
    <n v="94"/>
    <x v="0"/>
    <x v="3"/>
    <x v="0"/>
    <x v="1"/>
  </r>
  <r>
    <n v="77"/>
    <x v="3"/>
    <x v="0"/>
    <n v="0"/>
    <x v="0"/>
    <x v="8"/>
    <x v="0"/>
    <n v="2"/>
    <x v="1"/>
    <n v="1"/>
    <x v="14"/>
    <n v="0.1515"/>
    <x v="27"/>
    <x v="8"/>
    <n v="2"/>
    <n v="177"/>
    <n v="179"/>
    <x v="0"/>
    <x v="3"/>
    <x v="0"/>
    <x v="1"/>
  </r>
  <r>
    <n v="78"/>
    <x v="3"/>
    <x v="0"/>
    <n v="0"/>
    <x v="0"/>
    <x v="9"/>
    <x v="0"/>
    <n v="2"/>
    <x v="1"/>
    <n v="1"/>
    <x v="13"/>
    <n v="0.1515"/>
    <x v="26"/>
    <x v="6"/>
    <n v="2"/>
    <n v="98"/>
    <n v="100"/>
    <x v="0"/>
    <x v="3"/>
    <x v="0"/>
    <x v="1"/>
  </r>
  <r>
    <n v="79"/>
    <x v="3"/>
    <x v="0"/>
    <n v="0"/>
    <x v="0"/>
    <x v="10"/>
    <x v="0"/>
    <n v="2"/>
    <x v="1"/>
    <n v="2"/>
    <x v="13"/>
    <n v="0.13639999999999999"/>
    <x v="27"/>
    <x v="9"/>
    <n v="5"/>
    <n v="37"/>
    <n v="42"/>
    <x v="1"/>
    <x v="3"/>
    <x v="0"/>
    <x v="1"/>
  </r>
  <r>
    <n v="80"/>
    <x v="3"/>
    <x v="0"/>
    <n v="0"/>
    <x v="0"/>
    <x v="11"/>
    <x v="0"/>
    <n v="2"/>
    <x v="1"/>
    <n v="1"/>
    <x v="1"/>
    <n v="0.21210000000000001"/>
    <x v="33"/>
    <x v="4"/>
    <n v="7"/>
    <n v="50"/>
    <n v="57"/>
    <x v="0"/>
    <x v="3"/>
    <x v="0"/>
    <x v="1"/>
  </r>
  <r>
    <n v="81"/>
    <x v="3"/>
    <x v="0"/>
    <n v="0"/>
    <x v="0"/>
    <x v="12"/>
    <x v="0"/>
    <n v="2"/>
    <x v="1"/>
    <n v="1"/>
    <x v="1"/>
    <n v="0.2273"/>
    <x v="33"/>
    <x v="8"/>
    <n v="12"/>
    <n v="66"/>
    <n v="78"/>
    <x v="0"/>
    <x v="3"/>
    <x v="0"/>
    <x v="1"/>
  </r>
  <r>
    <n v="82"/>
    <x v="3"/>
    <x v="0"/>
    <n v="0"/>
    <x v="0"/>
    <x v="13"/>
    <x v="0"/>
    <n v="2"/>
    <x v="1"/>
    <n v="1"/>
    <x v="0"/>
    <n v="0.2273"/>
    <x v="34"/>
    <x v="5"/>
    <n v="18"/>
    <n v="79"/>
    <n v="97"/>
    <x v="0"/>
    <x v="3"/>
    <x v="0"/>
    <x v="1"/>
  </r>
  <r>
    <n v="83"/>
    <x v="3"/>
    <x v="0"/>
    <n v="0"/>
    <x v="0"/>
    <x v="14"/>
    <x v="0"/>
    <n v="2"/>
    <x v="1"/>
    <n v="1"/>
    <x v="12"/>
    <n v="0.2576"/>
    <x v="35"/>
    <x v="6"/>
    <n v="9"/>
    <n v="54"/>
    <n v="63"/>
    <x v="0"/>
    <x v="3"/>
    <x v="0"/>
    <x v="1"/>
  </r>
  <r>
    <n v="84"/>
    <x v="3"/>
    <x v="0"/>
    <n v="0"/>
    <x v="0"/>
    <x v="15"/>
    <x v="0"/>
    <n v="2"/>
    <x v="1"/>
    <n v="1"/>
    <x v="17"/>
    <n v="0.2727"/>
    <x v="35"/>
    <x v="2"/>
    <n v="17"/>
    <n v="48"/>
    <n v="65"/>
    <x v="0"/>
    <x v="3"/>
    <x v="0"/>
    <x v="1"/>
  </r>
  <r>
    <n v="85"/>
    <x v="3"/>
    <x v="0"/>
    <n v="0"/>
    <x v="0"/>
    <x v="16"/>
    <x v="0"/>
    <n v="2"/>
    <x v="1"/>
    <n v="1"/>
    <x v="11"/>
    <n v="0.28789999999999999"/>
    <x v="36"/>
    <x v="2"/>
    <n v="15"/>
    <n v="68"/>
    <n v="83"/>
    <x v="0"/>
    <x v="3"/>
    <x v="0"/>
    <x v="1"/>
  </r>
  <r>
    <n v="86"/>
    <x v="3"/>
    <x v="0"/>
    <n v="0"/>
    <x v="0"/>
    <x v="17"/>
    <x v="0"/>
    <n v="2"/>
    <x v="1"/>
    <n v="1"/>
    <x v="17"/>
    <n v="0.2727"/>
    <x v="37"/>
    <x v="6"/>
    <n v="10"/>
    <n v="202"/>
    <n v="212"/>
    <x v="0"/>
    <x v="3"/>
    <x v="0"/>
    <x v="1"/>
  </r>
  <r>
    <n v="87"/>
    <x v="3"/>
    <x v="0"/>
    <n v="0"/>
    <x v="0"/>
    <x v="18"/>
    <x v="0"/>
    <n v="2"/>
    <x v="1"/>
    <n v="1"/>
    <x v="12"/>
    <n v="0.2576"/>
    <x v="37"/>
    <x v="5"/>
    <n v="3"/>
    <n v="179"/>
    <n v="182"/>
    <x v="0"/>
    <x v="3"/>
    <x v="0"/>
    <x v="1"/>
  </r>
  <r>
    <n v="88"/>
    <x v="3"/>
    <x v="0"/>
    <n v="0"/>
    <x v="0"/>
    <x v="19"/>
    <x v="0"/>
    <n v="2"/>
    <x v="1"/>
    <n v="1"/>
    <x v="0"/>
    <n v="0.2576"/>
    <x v="37"/>
    <x v="14"/>
    <n v="2"/>
    <n v="110"/>
    <n v="112"/>
    <x v="0"/>
    <x v="3"/>
    <x v="0"/>
    <x v="1"/>
  </r>
  <r>
    <n v="89"/>
    <x v="3"/>
    <x v="0"/>
    <n v="0"/>
    <x v="0"/>
    <x v="20"/>
    <x v="0"/>
    <n v="2"/>
    <x v="1"/>
    <n v="1"/>
    <x v="0"/>
    <n v="0.2576"/>
    <x v="37"/>
    <x v="14"/>
    <n v="1"/>
    <n v="53"/>
    <n v="54"/>
    <x v="0"/>
    <x v="3"/>
    <x v="0"/>
    <x v="1"/>
  </r>
  <r>
    <n v="90"/>
    <x v="3"/>
    <x v="0"/>
    <n v="0"/>
    <x v="0"/>
    <x v="21"/>
    <x v="0"/>
    <n v="2"/>
    <x v="1"/>
    <n v="1"/>
    <x v="1"/>
    <n v="0.2727"/>
    <x v="26"/>
    <x v="0"/>
    <n v="0"/>
    <n v="48"/>
    <n v="48"/>
    <x v="0"/>
    <x v="3"/>
    <x v="0"/>
    <x v="1"/>
  </r>
  <r>
    <n v="91"/>
    <x v="3"/>
    <x v="0"/>
    <n v="0"/>
    <x v="0"/>
    <x v="22"/>
    <x v="0"/>
    <n v="2"/>
    <x v="1"/>
    <n v="1"/>
    <x v="1"/>
    <n v="0.2576"/>
    <x v="26"/>
    <x v="1"/>
    <n v="1"/>
    <n v="34"/>
    <n v="35"/>
    <x v="0"/>
    <x v="3"/>
    <x v="0"/>
    <x v="1"/>
  </r>
  <r>
    <n v="92"/>
    <x v="3"/>
    <x v="0"/>
    <n v="0"/>
    <x v="0"/>
    <x v="23"/>
    <x v="0"/>
    <n v="2"/>
    <x v="1"/>
    <n v="1"/>
    <x v="2"/>
    <n v="0.2273"/>
    <x v="27"/>
    <x v="1"/>
    <n v="2"/>
    <n v="9"/>
    <n v="11"/>
    <x v="0"/>
    <x v="3"/>
    <x v="0"/>
    <x v="1"/>
  </r>
  <r>
    <n v="93"/>
    <x v="4"/>
    <x v="0"/>
    <n v="0"/>
    <x v="0"/>
    <x v="0"/>
    <x v="0"/>
    <n v="3"/>
    <x v="1"/>
    <n v="1"/>
    <x v="2"/>
    <n v="0.2576"/>
    <x v="26"/>
    <x v="0"/>
    <n v="0"/>
    <n v="6"/>
    <n v="6"/>
    <x v="0"/>
    <x v="4"/>
    <x v="0"/>
    <x v="1"/>
  </r>
  <r>
    <n v="94"/>
    <x v="4"/>
    <x v="0"/>
    <n v="0"/>
    <x v="0"/>
    <x v="1"/>
    <x v="0"/>
    <n v="3"/>
    <x v="1"/>
    <n v="1"/>
    <x v="13"/>
    <n v="0.19700000000000001"/>
    <x v="32"/>
    <x v="1"/>
    <n v="0"/>
    <n v="6"/>
    <n v="6"/>
    <x v="0"/>
    <x v="4"/>
    <x v="0"/>
    <x v="1"/>
  </r>
  <r>
    <n v="95"/>
    <x v="4"/>
    <x v="0"/>
    <n v="0"/>
    <x v="0"/>
    <x v="2"/>
    <x v="0"/>
    <n v="3"/>
    <x v="1"/>
    <n v="1"/>
    <x v="13"/>
    <n v="0.19700000000000001"/>
    <x v="32"/>
    <x v="1"/>
    <n v="0"/>
    <n v="2"/>
    <n v="2"/>
    <x v="0"/>
    <x v="4"/>
    <x v="0"/>
    <x v="1"/>
  </r>
  <r>
    <n v="96"/>
    <x v="4"/>
    <x v="0"/>
    <n v="0"/>
    <x v="0"/>
    <x v="4"/>
    <x v="0"/>
    <n v="3"/>
    <x v="1"/>
    <n v="1"/>
    <x v="0"/>
    <n v="0.2273"/>
    <x v="37"/>
    <x v="6"/>
    <n v="0"/>
    <n v="2"/>
    <n v="2"/>
    <x v="0"/>
    <x v="4"/>
    <x v="0"/>
    <x v="1"/>
  </r>
  <r>
    <n v="97"/>
    <x v="4"/>
    <x v="0"/>
    <n v="0"/>
    <x v="0"/>
    <x v="5"/>
    <x v="0"/>
    <n v="3"/>
    <x v="1"/>
    <n v="1"/>
    <x v="1"/>
    <n v="0.2273"/>
    <x v="19"/>
    <x v="8"/>
    <n v="0"/>
    <n v="3"/>
    <n v="3"/>
    <x v="0"/>
    <x v="4"/>
    <x v="0"/>
    <x v="1"/>
  </r>
  <r>
    <n v="98"/>
    <x v="4"/>
    <x v="0"/>
    <n v="0"/>
    <x v="0"/>
    <x v="6"/>
    <x v="0"/>
    <n v="3"/>
    <x v="1"/>
    <n v="1"/>
    <x v="2"/>
    <n v="0.19700000000000001"/>
    <x v="19"/>
    <x v="6"/>
    <n v="0"/>
    <n v="33"/>
    <n v="33"/>
    <x v="0"/>
    <x v="4"/>
    <x v="0"/>
    <x v="1"/>
  </r>
  <r>
    <n v="99"/>
    <x v="4"/>
    <x v="0"/>
    <n v="0"/>
    <x v="0"/>
    <x v="7"/>
    <x v="0"/>
    <n v="3"/>
    <x v="1"/>
    <n v="1"/>
    <x v="15"/>
    <n v="0.18179999999999999"/>
    <x v="21"/>
    <x v="5"/>
    <n v="1"/>
    <n v="87"/>
    <n v="88"/>
    <x v="0"/>
    <x v="4"/>
    <x v="0"/>
    <x v="1"/>
  </r>
  <r>
    <n v="100"/>
    <x v="4"/>
    <x v="0"/>
    <n v="0"/>
    <x v="0"/>
    <x v="8"/>
    <x v="0"/>
    <n v="3"/>
    <x v="1"/>
    <n v="1"/>
    <x v="2"/>
    <n v="0.18179999999999999"/>
    <x v="22"/>
    <x v="4"/>
    <n v="3"/>
    <n v="192"/>
    <n v="195"/>
    <x v="0"/>
    <x v="4"/>
    <x v="0"/>
    <x v="1"/>
  </r>
  <r>
    <n v="101"/>
    <x v="4"/>
    <x v="0"/>
    <n v="0"/>
    <x v="0"/>
    <x v="9"/>
    <x v="0"/>
    <n v="3"/>
    <x v="1"/>
    <n v="1"/>
    <x v="1"/>
    <n v="0.19700000000000001"/>
    <x v="38"/>
    <x v="9"/>
    <n v="6"/>
    <n v="109"/>
    <n v="115"/>
    <x v="0"/>
    <x v="4"/>
    <x v="0"/>
    <x v="1"/>
  </r>
  <r>
    <n v="102"/>
    <x v="4"/>
    <x v="0"/>
    <n v="0"/>
    <x v="0"/>
    <x v="10"/>
    <x v="0"/>
    <n v="3"/>
    <x v="1"/>
    <n v="1"/>
    <x v="1"/>
    <n v="0.19700000000000001"/>
    <x v="38"/>
    <x v="9"/>
    <n v="4"/>
    <n v="53"/>
    <n v="57"/>
    <x v="0"/>
    <x v="4"/>
    <x v="0"/>
    <x v="1"/>
  </r>
  <r>
    <n v="103"/>
    <x v="4"/>
    <x v="0"/>
    <n v="0"/>
    <x v="0"/>
    <x v="11"/>
    <x v="0"/>
    <n v="3"/>
    <x v="1"/>
    <n v="1"/>
    <x v="12"/>
    <n v="0.2273"/>
    <x v="39"/>
    <x v="9"/>
    <n v="12"/>
    <n v="34"/>
    <n v="46"/>
    <x v="0"/>
    <x v="4"/>
    <x v="0"/>
    <x v="1"/>
  </r>
  <r>
    <n v="104"/>
    <x v="4"/>
    <x v="0"/>
    <n v="0"/>
    <x v="0"/>
    <x v="12"/>
    <x v="0"/>
    <n v="3"/>
    <x v="1"/>
    <n v="1"/>
    <x v="12"/>
    <n v="0.2273"/>
    <x v="39"/>
    <x v="9"/>
    <n v="5"/>
    <n v="74"/>
    <n v="79"/>
    <x v="0"/>
    <x v="4"/>
    <x v="0"/>
    <x v="1"/>
  </r>
  <r>
    <n v="105"/>
    <x v="4"/>
    <x v="0"/>
    <n v="0"/>
    <x v="0"/>
    <x v="13"/>
    <x v="0"/>
    <n v="3"/>
    <x v="1"/>
    <n v="1"/>
    <x v="17"/>
    <n v="0.2576"/>
    <x v="24"/>
    <x v="4"/>
    <n v="6"/>
    <n v="65"/>
    <n v="71"/>
    <x v="0"/>
    <x v="4"/>
    <x v="0"/>
    <x v="1"/>
  </r>
  <r>
    <n v="106"/>
    <x v="4"/>
    <x v="0"/>
    <n v="0"/>
    <x v="0"/>
    <x v="14"/>
    <x v="0"/>
    <n v="3"/>
    <x v="1"/>
    <n v="1"/>
    <x v="11"/>
    <n v="0.28789999999999999"/>
    <x v="40"/>
    <x v="5"/>
    <n v="10"/>
    <n v="52"/>
    <n v="62"/>
    <x v="0"/>
    <x v="4"/>
    <x v="0"/>
    <x v="1"/>
  </r>
  <r>
    <n v="107"/>
    <x v="4"/>
    <x v="0"/>
    <n v="0"/>
    <x v="0"/>
    <x v="15"/>
    <x v="0"/>
    <n v="3"/>
    <x v="1"/>
    <n v="1"/>
    <x v="11"/>
    <n v="0.28789999999999999"/>
    <x v="40"/>
    <x v="5"/>
    <n v="7"/>
    <n v="55"/>
    <n v="62"/>
    <x v="0"/>
    <x v="4"/>
    <x v="0"/>
    <x v="1"/>
  </r>
  <r>
    <n v="108"/>
    <x v="4"/>
    <x v="0"/>
    <n v="0"/>
    <x v="0"/>
    <x v="16"/>
    <x v="0"/>
    <n v="3"/>
    <x v="1"/>
    <n v="1"/>
    <x v="11"/>
    <n v="0.31819999999999998"/>
    <x v="40"/>
    <x v="1"/>
    <n v="4"/>
    <n v="85"/>
    <n v="89"/>
    <x v="0"/>
    <x v="4"/>
    <x v="0"/>
    <x v="1"/>
  </r>
  <r>
    <n v="109"/>
    <x v="4"/>
    <x v="0"/>
    <n v="0"/>
    <x v="0"/>
    <x v="17"/>
    <x v="0"/>
    <n v="3"/>
    <x v="1"/>
    <n v="1"/>
    <x v="0"/>
    <n v="0.2273"/>
    <x v="41"/>
    <x v="5"/>
    <n v="4"/>
    <n v="186"/>
    <n v="190"/>
    <x v="0"/>
    <x v="4"/>
    <x v="0"/>
    <x v="1"/>
  </r>
  <r>
    <n v="110"/>
    <x v="4"/>
    <x v="0"/>
    <n v="0"/>
    <x v="0"/>
    <x v="18"/>
    <x v="0"/>
    <n v="3"/>
    <x v="1"/>
    <n v="1"/>
    <x v="0"/>
    <n v="0.2424"/>
    <x v="41"/>
    <x v="7"/>
    <n v="3"/>
    <n v="166"/>
    <n v="169"/>
    <x v="0"/>
    <x v="4"/>
    <x v="0"/>
    <x v="1"/>
  </r>
  <r>
    <n v="111"/>
    <x v="4"/>
    <x v="0"/>
    <n v="0"/>
    <x v="0"/>
    <x v="19"/>
    <x v="0"/>
    <n v="3"/>
    <x v="1"/>
    <n v="1"/>
    <x v="0"/>
    <n v="0.2576"/>
    <x v="41"/>
    <x v="14"/>
    <n v="5"/>
    <n v="127"/>
    <n v="132"/>
    <x v="0"/>
    <x v="4"/>
    <x v="0"/>
    <x v="1"/>
  </r>
  <r>
    <n v="112"/>
    <x v="4"/>
    <x v="0"/>
    <n v="0"/>
    <x v="0"/>
    <x v="20"/>
    <x v="0"/>
    <n v="3"/>
    <x v="1"/>
    <n v="1"/>
    <x v="1"/>
    <n v="0.2273"/>
    <x v="19"/>
    <x v="8"/>
    <n v="7"/>
    <n v="82"/>
    <n v="89"/>
    <x v="0"/>
    <x v="4"/>
    <x v="0"/>
    <x v="1"/>
  </r>
  <r>
    <n v="113"/>
    <x v="4"/>
    <x v="0"/>
    <n v="0"/>
    <x v="0"/>
    <x v="21"/>
    <x v="0"/>
    <n v="3"/>
    <x v="1"/>
    <n v="1"/>
    <x v="2"/>
    <n v="0.19700000000000001"/>
    <x v="33"/>
    <x v="5"/>
    <n v="3"/>
    <n v="40"/>
    <n v="43"/>
    <x v="0"/>
    <x v="4"/>
    <x v="0"/>
    <x v="1"/>
  </r>
  <r>
    <n v="114"/>
    <x v="4"/>
    <x v="0"/>
    <n v="0"/>
    <x v="0"/>
    <x v="22"/>
    <x v="0"/>
    <n v="3"/>
    <x v="1"/>
    <n v="1"/>
    <x v="15"/>
    <n v="0.19700000000000001"/>
    <x v="28"/>
    <x v="7"/>
    <n v="1"/>
    <n v="41"/>
    <n v="42"/>
    <x v="0"/>
    <x v="4"/>
    <x v="0"/>
    <x v="1"/>
  </r>
  <r>
    <n v="115"/>
    <x v="4"/>
    <x v="0"/>
    <n v="0"/>
    <x v="0"/>
    <x v="23"/>
    <x v="0"/>
    <n v="3"/>
    <x v="1"/>
    <n v="1"/>
    <x v="2"/>
    <n v="0.2576"/>
    <x v="19"/>
    <x v="0"/>
    <n v="1"/>
    <n v="18"/>
    <n v="19"/>
    <x v="0"/>
    <x v="4"/>
    <x v="0"/>
    <x v="1"/>
  </r>
  <r>
    <n v="116"/>
    <x v="5"/>
    <x v="0"/>
    <n v="0"/>
    <x v="0"/>
    <x v="0"/>
    <x v="0"/>
    <n v="4"/>
    <x v="1"/>
    <n v="1"/>
    <x v="15"/>
    <n v="0.2424"/>
    <x v="28"/>
    <x v="0"/>
    <n v="0"/>
    <n v="11"/>
    <n v="11"/>
    <x v="0"/>
    <x v="5"/>
    <x v="0"/>
    <x v="1"/>
  </r>
  <r>
    <n v="117"/>
    <x v="5"/>
    <x v="0"/>
    <n v="0"/>
    <x v="0"/>
    <x v="1"/>
    <x v="0"/>
    <n v="4"/>
    <x v="1"/>
    <n v="1"/>
    <x v="13"/>
    <n v="0.2273"/>
    <x v="26"/>
    <x v="0"/>
    <n v="0"/>
    <n v="4"/>
    <n v="4"/>
    <x v="0"/>
    <x v="5"/>
    <x v="0"/>
    <x v="1"/>
  </r>
  <r>
    <n v="118"/>
    <x v="5"/>
    <x v="0"/>
    <n v="0"/>
    <x v="0"/>
    <x v="2"/>
    <x v="0"/>
    <n v="4"/>
    <x v="1"/>
    <n v="1"/>
    <x v="13"/>
    <n v="0.2273"/>
    <x v="26"/>
    <x v="0"/>
    <n v="0"/>
    <n v="2"/>
    <n v="2"/>
    <x v="0"/>
    <x v="5"/>
    <x v="0"/>
    <x v="1"/>
  </r>
  <r>
    <n v="119"/>
    <x v="5"/>
    <x v="0"/>
    <n v="0"/>
    <x v="0"/>
    <x v="4"/>
    <x v="0"/>
    <n v="4"/>
    <x v="1"/>
    <n v="2"/>
    <x v="13"/>
    <n v="0.19700000000000001"/>
    <x v="26"/>
    <x v="1"/>
    <n v="0"/>
    <n v="1"/>
    <n v="1"/>
    <x v="1"/>
    <x v="5"/>
    <x v="0"/>
    <x v="1"/>
  </r>
  <r>
    <n v="120"/>
    <x v="5"/>
    <x v="0"/>
    <n v="0"/>
    <x v="0"/>
    <x v="5"/>
    <x v="0"/>
    <n v="4"/>
    <x v="1"/>
    <n v="2"/>
    <x v="14"/>
    <n v="0.18179999999999999"/>
    <x v="27"/>
    <x v="1"/>
    <n v="0"/>
    <n v="4"/>
    <n v="4"/>
    <x v="1"/>
    <x v="5"/>
    <x v="0"/>
    <x v="1"/>
  </r>
  <r>
    <n v="121"/>
    <x v="5"/>
    <x v="0"/>
    <n v="0"/>
    <x v="0"/>
    <x v="6"/>
    <x v="0"/>
    <n v="4"/>
    <x v="1"/>
    <n v="2"/>
    <x v="14"/>
    <n v="0.16669999999999999"/>
    <x v="30"/>
    <x v="14"/>
    <n v="0"/>
    <n v="36"/>
    <n v="36"/>
    <x v="1"/>
    <x v="5"/>
    <x v="0"/>
    <x v="1"/>
  </r>
  <r>
    <n v="122"/>
    <x v="5"/>
    <x v="0"/>
    <n v="0"/>
    <x v="0"/>
    <x v="7"/>
    <x v="0"/>
    <n v="4"/>
    <x v="1"/>
    <n v="2"/>
    <x v="13"/>
    <n v="0.2273"/>
    <x v="29"/>
    <x v="0"/>
    <n v="0"/>
    <n v="95"/>
    <n v="95"/>
    <x v="1"/>
    <x v="5"/>
    <x v="0"/>
    <x v="1"/>
  </r>
  <r>
    <n v="123"/>
    <x v="5"/>
    <x v="0"/>
    <n v="0"/>
    <x v="0"/>
    <x v="8"/>
    <x v="0"/>
    <n v="4"/>
    <x v="1"/>
    <n v="1"/>
    <x v="13"/>
    <n v="0.2273"/>
    <x v="29"/>
    <x v="0"/>
    <n v="3"/>
    <n v="216"/>
    <n v="219"/>
    <x v="0"/>
    <x v="5"/>
    <x v="0"/>
    <x v="1"/>
  </r>
  <r>
    <n v="124"/>
    <x v="5"/>
    <x v="0"/>
    <n v="0"/>
    <x v="0"/>
    <x v="9"/>
    <x v="0"/>
    <n v="4"/>
    <x v="1"/>
    <n v="2"/>
    <x v="15"/>
    <n v="0.2424"/>
    <x v="33"/>
    <x v="0"/>
    <n v="6"/>
    <n v="116"/>
    <n v="122"/>
    <x v="1"/>
    <x v="5"/>
    <x v="0"/>
    <x v="1"/>
  </r>
  <r>
    <n v="125"/>
    <x v="5"/>
    <x v="0"/>
    <n v="0"/>
    <x v="0"/>
    <x v="10"/>
    <x v="0"/>
    <n v="4"/>
    <x v="1"/>
    <n v="1"/>
    <x v="2"/>
    <n v="0.2576"/>
    <x v="19"/>
    <x v="0"/>
    <n v="3"/>
    <n v="42"/>
    <n v="45"/>
    <x v="0"/>
    <x v="5"/>
    <x v="0"/>
    <x v="1"/>
  </r>
  <r>
    <n v="126"/>
    <x v="5"/>
    <x v="0"/>
    <n v="0"/>
    <x v="0"/>
    <x v="11"/>
    <x v="0"/>
    <n v="4"/>
    <x v="1"/>
    <n v="1"/>
    <x v="1"/>
    <n v="0.2576"/>
    <x v="18"/>
    <x v="1"/>
    <n v="2"/>
    <n v="57"/>
    <n v="59"/>
    <x v="0"/>
    <x v="5"/>
    <x v="0"/>
    <x v="1"/>
  </r>
  <r>
    <n v="127"/>
    <x v="5"/>
    <x v="0"/>
    <n v="0"/>
    <x v="0"/>
    <x v="12"/>
    <x v="0"/>
    <n v="4"/>
    <x v="1"/>
    <n v="1"/>
    <x v="12"/>
    <n v="0.28789999999999999"/>
    <x v="23"/>
    <x v="0"/>
    <n v="6"/>
    <n v="78"/>
    <n v="84"/>
    <x v="0"/>
    <x v="5"/>
    <x v="0"/>
    <x v="1"/>
  </r>
  <r>
    <n v="128"/>
    <x v="5"/>
    <x v="0"/>
    <n v="0"/>
    <x v="0"/>
    <x v="13"/>
    <x v="0"/>
    <n v="4"/>
    <x v="1"/>
    <n v="1"/>
    <x v="12"/>
    <n v="0.2727"/>
    <x v="23"/>
    <x v="14"/>
    <n v="12"/>
    <n v="55"/>
    <n v="67"/>
    <x v="0"/>
    <x v="5"/>
    <x v="0"/>
    <x v="1"/>
  </r>
  <r>
    <n v="129"/>
    <x v="5"/>
    <x v="0"/>
    <n v="0"/>
    <x v="0"/>
    <x v="14"/>
    <x v="0"/>
    <n v="4"/>
    <x v="1"/>
    <n v="1"/>
    <x v="17"/>
    <n v="0.2727"/>
    <x v="42"/>
    <x v="8"/>
    <n v="11"/>
    <n v="59"/>
    <n v="70"/>
    <x v="0"/>
    <x v="5"/>
    <x v="0"/>
    <x v="1"/>
  </r>
  <r>
    <n v="130"/>
    <x v="5"/>
    <x v="0"/>
    <n v="0"/>
    <x v="0"/>
    <x v="15"/>
    <x v="0"/>
    <n v="4"/>
    <x v="1"/>
    <n v="1"/>
    <x v="17"/>
    <n v="0.2727"/>
    <x v="42"/>
    <x v="0"/>
    <n v="8"/>
    <n v="54"/>
    <n v="62"/>
    <x v="0"/>
    <x v="5"/>
    <x v="0"/>
    <x v="1"/>
  </r>
  <r>
    <n v="131"/>
    <x v="5"/>
    <x v="0"/>
    <n v="0"/>
    <x v="0"/>
    <x v="16"/>
    <x v="0"/>
    <n v="4"/>
    <x v="1"/>
    <n v="1"/>
    <x v="12"/>
    <n v="0.2576"/>
    <x v="41"/>
    <x v="8"/>
    <n v="12"/>
    <n v="74"/>
    <n v="86"/>
    <x v="0"/>
    <x v="5"/>
    <x v="0"/>
    <x v="1"/>
  </r>
  <r>
    <n v="132"/>
    <x v="5"/>
    <x v="0"/>
    <n v="0"/>
    <x v="0"/>
    <x v="17"/>
    <x v="0"/>
    <n v="4"/>
    <x v="1"/>
    <n v="1"/>
    <x v="1"/>
    <n v="0.2273"/>
    <x v="33"/>
    <x v="8"/>
    <n v="9"/>
    <n v="163"/>
    <n v="172"/>
    <x v="0"/>
    <x v="5"/>
    <x v="0"/>
    <x v="1"/>
  </r>
  <r>
    <n v="133"/>
    <x v="5"/>
    <x v="0"/>
    <n v="0"/>
    <x v="0"/>
    <x v="18"/>
    <x v="0"/>
    <n v="4"/>
    <x v="1"/>
    <n v="1"/>
    <x v="1"/>
    <n v="0.2273"/>
    <x v="33"/>
    <x v="7"/>
    <n v="5"/>
    <n v="158"/>
    <n v="163"/>
    <x v="0"/>
    <x v="5"/>
    <x v="0"/>
    <x v="1"/>
  </r>
  <r>
    <n v="134"/>
    <x v="5"/>
    <x v="0"/>
    <n v="0"/>
    <x v="0"/>
    <x v="19"/>
    <x v="0"/>
    <n v="4"/>
    <x v="1"/>
    <n v="1"/>
    <x v="1"/>
    <n v="0.2576"/>
    <x v="28"/>
    <x v="1"/>
    <n v="3"/>
    <n v="109"/>
    <n v="112"/>
    <x v="0"/>
    <x v="5"/>
    <x v="0"/>
    <x v="1"/>
  </r>
  <r>
    <n v="135"/>
    <x v="5"/>
    <x v="0"/>
    <n v="0"/>
    <x v="0"/>
    <x v="20"/>
    <x v="0"/>
    <n v="4"/>
    <x v="1"/>
    <n v="1"/>
    <x v="2"/>
    <n v="0.21210000000000001"/>
    <x v="33"/>
    <x v="8"/>
    <n v="3"/>
    <n v="66"/>
    <n v="69"/>
    <x v="0"/>
    <x v="5"/>
    <x v="0"/>
    <x v="1"/>
  </r>
  <r>
    <n v="136"/>
    <x v="5"/>
    <x v="0"/>
    <n v="0"/>
    <x v="0"/>
    <x v="21"/>
    <x v="0"/>
    <n v="4"/>
    <x v="1"/>
    <n v="2"/>
    <x v="1"/>
    <n v="0.21210000000000001"/>
    <x v="28"/>
    <x v="6"/>
    <n v="0"/>
    <n v="48"/>
    <n v="48"/>
    <x v="1"/>
    <x v="5"/>
    <x v="0"/>
    <x v="1"/>
  </r>
  <r>
    <n v="137"/>
    <x v="5"/>
    <x v="0"/>
    <n v="0"/>
    <x v="0"/>
    <x v="22"/>
    <x v="0"/>
    <n v="4"/>
    <x v="1"/>
    <n v="2"/>
    <x v="1"/>
    <n v="0.21210000000000001"/>
    <x v="33"/>
    <x v="3"/>
    <n v="1"/>
    <n v="51"/>
    <n v="52"/>
    <x v="1"/>
    <x v="5"/>
    <x v="0"/>
    <x v="1"/>
  </r>
  <r>
    <n v="138"/>
    <x v="5"/>
    <x v="0"/>
    <n v="0"/>
    <x v="0"/>
    <x v="23"/>
    <x v="0"/>
    <n v="4"/>
    <x v="1"/>
    <n v="2"/>
    <x v="2"/>
    <n v="0.19700000000000001"/>
    <x v="29"/>
    <x v="5"/>
    <n v="4"/>
    <n v="19"/>
    <n v="23"/>
    <x v="1"/>
    <x v="5"/>
    <x v="0"/>
    <x v="1"/>
  </r>
  <r>
    <n v="139"/>
    <x v="6"/>
    <x v="0"/>
    <n v="0"/>
    <x v="0"/>
    <x v="0"/>
    <x v="0"/>
    <n v="5"/>
    <x v="1"/>
    <n v="2"/>
    <x v="2"/>
    <n v="0.19700000000000001"/>
    <x v="26"/>
    <x v="5"/>
    <n v="4"/>
    <n v="13"/>
    <n v="17"/>
    <x v="1"/>
    <x v="6"/>
    <x v="0"/>
    <x v="1"/>
  </r>
  <r>
    <n v="140"/>
    <x v="6"/>
    <x v="0"/>
    <n v="0"/>
    <x v="0"/>
    <x v="1"/>
    <x v="0"/>
    <n v="5"/>
    <x v="1"/>
    <n v="2"/>
    <x v="2"/>
    <n v="0.19700000000000001"/>
    <x v="27"/>
    <x v="6"/>
    <n v="2"/>
    <n v="5"/>
    <n v="7"/>
    <x v="1"/>
    <x v="6"/>
    <x v="0"/>
    <x v="1"/>
  </r>
  <r>
    <n v="141"/>
    <x v="6"/>
    <x v="0"/>
    <n v="0"/>
    <x v="0"/>
    <x v="2"/>
    <x v="0"/>
    <n v="5"/>
    <x v="1"/>
    <n v="2"/>
    <x v="2"/>
    <n v="0.19700000000000001"/>
    <x v="27"/>
    <x v="6"/>
    <n v="0"/>
    <n v="1"/>
    <n v="1"/>
    <x v="1"/>
    <x v="6"/>
    <x v="0"/>
    <x v="1"/>
  </r>
  <r>
    <n v="142"/>
    <x v="6"/>
    <x v="0"/>
    <n v="0"/>
    <x v="0"/>
    <x v="4"/>
    <x v="0"/>
    <n v="5"/>
    <x v="1"/>
    <n v="2"/>
    <x v="2"/>
    <n v="0.21210000000000001"/>
    <x v="27"/>
    <x v="7"/>
    <n v="0"/>
    <n v="1"/>
    <n v="1"/>
    <x v="1"/>
    <x v="6"/>
    <x v="0"/>
    <x v="1"/>
  </r>
  <r>
    <n v="143"/>
    <x v="6"/>
    <x v="0"/>
    <n v="0"/>
    <x v="0"/>
    <x v="5"/>
    <x v="0"/>
    <n v="5"/>
    <x v="1"/>
    <n v="3"/>
    <x v="1"/>
    <n v="0.2727"/>
    <x v="28"/>
    <x v="0"/>
    <n v="0"/>
    <n v="5"/>
    <n v="5"/>
    <x v="2"/>
    <x v="6"/>
    <x v="0"/>
    <x v="1"/>
  </r>
  <r>
    <n v="144"/>
    <x v="6"/>
    <x v="0"/>
    <n v="0"/>
    <x v="0"/>
    <x v="6"/>
    <x v="0"/>
    <n v="5"/>
    <x v="1"/>
    <n v="2"/>
    <x v="2"/>
    <n v="0.2576"/>
    <x v="27"/>
    <x v="0"/>
    <n v="8"/>
    <n v="26"/>
    <n v="34"/>
    <x v="1"/>
    <x v="6"/>
    <x v="0"/>
    <x v="1"/>
  </r>
  <r>
    <n v="145"/>
    <x v="6"/>
    <x v="0"/>
    <n v="0"/>
    <x v="0"/>
    <x v="7"/>
    <x v="0"/>
    <n v="5"/>
    <x v="1"/>
    <n v="1"/>
    <x v="2"/>
    <n v="0.21210000000000001"/>
    <x v="27"/>
    <x v="7"/>
    <n v="8"/>
    <n v="76"/>
    <n v="84"/>
    <x v="0"/>
    <x v="6"/>
    <x v="0"/>
    <x v="1"/>
  </r>
  <r>
    <n v="146"/>
    <x v="6"/>
    <x v="0"/>
    <n v="0"/>
    <x v="0"/>
    <x v="8"/>
    <x v="0"/>
    <n v="5"/>
    <x v="1"/>
    <n v="1"/>
    <x v="2"/>
    <n v="0.19700000000000001"/>
    <x v="33"/>
    <x v="2"/>
    <n v="20"/>
    <n v="190"/>
    <n v="210"/>
    <x v="0"/>
    <x v="6"/>
    <x v="0"/>
    <x v="1"/>
  </r>
  <r>
    <n v="147"/>
    <x v="6"/>
    <x v="0"/>
    <n v="0"/>
    <x v="0"/>
    <x v="9"/>
    <x v="0"/>
    <n v="5"/>
    <x v="1"/>
    <n v="1"/>
    <x v="2"/>
    <n v="0.18179999999999999"/>
    <x v="19"/>
    <x v="4"/>
    <n v="9"/>
    <n v="125"/>
    <n v="134"/>
    <x v="0"/>
    <x v="6"/>
    <x v="0"/>
    <x v="1"/>
  </r>
  <r>
    <n v="148"/>
    <x v="6"/>
    <x v="0"/>
    <n v="0"/>
    <x v="0"/>
    <x v="10"/>
    <x v="0"/>
    <n v="5"/>
    <x v="1"/>
    <n v="1"/>
    <x v="1"/>
    <n v="0.19700000000000001"/>
    <x v="38"/>
    <x v="9"/>
    <n v="16"/>
    <n v="47"/>
    <n v="63"/>
    <x v="0"/>
    <x v="6"/>
    <x v="0"/>
    <x v="1"/>
  </r>
  <r>
    <n v="149"/>
    <x v="6"/>
    <x v="0"/>
    <n v="0"/>
    <x v="0"/>
    <x v="11"/>
    <x v="0"/>
    <n v="5"/>
    <x v="1"/>
    <n v="2"/>
    <x v="2"/>
    <n v="0.19700000000000001"/>
    <x v="22"/>
    <x v="6"/>
    <n v="19"/>
    <n v="48"/>
    <n v="67"/>
    <x v="1"/>
    <x v="6"/>
    <x v="0"/>
    <x v="1"/>
  </r>
  <r>
    <n v="150"/>
    <x v="6"/>
    <x v="0"/>
    <n v="0"/>
    <x v="0"/>
    <x v="12"/>
    <x v="0"/>
    <n v="5"/>
    <x v="1"/>
    <n v="2"/>
    <x v="2"/>
    <n v="0.19700000000000001"/>
    <x v="38"/>
    <x v="2"/>
    <n v="9"/>
    <n v="50"/>
    <n v="59"/>
    <x v="1"/>
    <x v="6"/>
    <x v="0"/>
    <x v="1"/>
  </r>
  <r>
    <n v="151"/>
    <x v="6"/>
    <x v="0"/>
    <n v="0"/>
    <x v="0"/>
    <x v="13"/>
    <x v="0"/>
    <n v="5"/>
    <x v="1"/>
    <n v="2"/>
    <x v="2"/>
    <n v="0.18179999999999999"/>
    <x v="38"/>
    <x v="3"/>
    <n v="9"/>
    <n v="64"/>
    <n v="73"/>
    <x v="1"/>
    <x v="6"/>
    <x v="0"/>
    <x v="1"/>
  </r>
  <r>
    <n v="152"/>
    <x v="6"/>
    <x v="0"/>
    <n v="0"/>
    <x v="0"/>
    <x v="14"/>
    <x v="0"/>
    <n v="5"/>
    <x v="1"/>
    <n v="2"/>
    <x v="2"/>
    <n v="0.19700000000000001"/>
    <x v="22"/>
    <x v="2"/>
    <n v="7"/>
    <n v="43"/>
    <n v="50"/>
    <x v="1"/>
    <x v="6"/>
    <x v="0"/>
    <x v="1"/>
  </r>
  <r>
    <n v="153"/>
    <x v="6"/>
    <x v="0"/>
    <n v="0"/>
    <x v="0"/>
    <x v="15"/>
    <x v="0"/>
    <n v="5"/>
    <x v="1"/>
    <n v="2"/>
    <x v="2"/>
    <n v="0.21210000000000001"/>
    <x v="38"/>
    <x v="8"/>
    <n v="9"/>
    <n v="63"/>
    <n v="72"/>
    <x v="1"/>
    <x v="6"/>
    <x v="0"/>
    <x v="1"/>
  </r>
  <r>
    <n v="154"/>
    <x v="6"/>
    <x v="0"/>
    <n v="0"/>
    <x v="0"/>
    <x v="16"/>
    <x v="0"/>
    <n v="5"/>
    <x v="1"/>
    <n v="2"/>
    <x v="2"/>
    <n v="0.21210000000000001"/>
    <x v="38"/>
    <x v="8"/>
    <n v="5"/>
    <n v="82"/>
    <n v="87"/>
    <x v="1"/>
    <x v="6"/>
    <x v="0"/>
    <x v="1"/>
  </r>
  <r>
    <n v="155"/>
    <x v="6"/>
    <x v="0"/>
    <n v="0"/>
    <x v="0"/>
    <x v="17"/>
    <x v="0"/>
    <n v="5"/>
    <x v="1"/>
    <n v="2"/>
    <x v="2"/>
    <n v="0.2576"/>
    <x v="38"/>
    <x v="0"/>
    <n v="9"/>
    <n v="178"/>
    <n v="187"/>
    <x v="1"/>
    <x v="6"/>
    <x v="0"/>
    <x v="1"/>
  </r>
  <r>
    <n v="156"/>
    <x v="6"/>
    <x v="0"/>
    <n v="0"/>
    <x v="0"/>
    <x v="18"/>
    <x v="0"/>
    <n v="5"/>
    <x v="1"/>
    <n v="1"/>
    <x v="2"/>
    <n v="0.2273"/>
    <x v="22"/>
    <x v="1"/>
    <n v="7"/>
    <n v="116"/>
    <n v="123"/>
    <x v="0"/>
    <x v="6"/>
    <x v="0"/>
    <x v="1"/>
  </r>
  <r>
    <n v="157"/>
    <x v="6"/>
    <x v="0"/>
    <n v="0"/>
    <x v="0"/>
    <x v="19"/>
    <x v="0"/>
    <n v="5"/>
    <x v="1"/>
    <n v="1"/>
    <x v="13"/>
    <n v="0.19700000000000001"/>
    <x v="28"/>
    <x v="1"/>
    <n v="3"/>
    <n v="92"/>
    <n v="95"/>
    <x v="0"/>
    <x v="6"/>
    <x v="0"/>
    <x v="1"/>
  </r>
  <r>
    <n v="158"/>
    <x v="6"/>
    <x v="0"/>
    <n v="0"/>
    <x v="0"/>
    <x v="20"/>
    <x v="0"/>
    <n v="5"/>
    <x v="1"/>
    <n v="1"/>
    <x v="15"/>
    <n v="0.21210000000000001"/>
    <x v="19"/>
    <x v="14"/>
    <n v="1"/>
    <n v="50"/>
    <n v="51"/>
    <x v="0"/>
    <x v="6"/>
    <x v="0"/>
    <x v="1"/>
  </r>
  <r>
    <n v="159"/>
    <x v="6"/>
    <x v="0"/>
    <n v="0"/>
    <x v="0"/>
    <x v="21"/>
    <x v="0"/>
    <n v="5"/>
    <x v="1"/>
    <n v="1"/>
    <x v="15"/>
    <n v="0.19700000000000001"/>
    <x v="19"/>
    <x v="7"/>
    <n v="0"/>
    <n v="39"/>
    <n v="39"/>
    <x v="0"/>
    <x v="6"/>
    <x v="0"/>
    <x v="1"/>
  </r>
  <r>
    <n v="160"/>
    <x v="6"/>
    <x v="0"/>
    <n v="0"/>
    <x v="0"/>
    <x v="22"/>
    <x v="0"/>
    <n v="5"/>
    <x v="1"/>
    <n v="2"/>
    <x v="15"/>
    <n v="0.19700000000000001"/>
    <x v="21"/>
    <x v="8"/>
    <n v="2"/>
    <n v="34"/>
    <n v="36"/>
    <x v="1"/>
    <x v="6"/>
    <x v="0"/>
    <x v="1"/>
  </r>
  <r>
    <n v="161"/>
    <x v="6"/>
    <x v="0"/>
    <n v="0"/>
    <x v="0"/>
    <x v="23"/>
    <x v="0"/>
    <n v="5"/>
    <x v="1"/>
    <n v="2"/>
    <x v="15"/>
    <n v="0.19700000000000001"/>
    <x v="33"/>
    <x v="8"/>
    <n v="1"/>
    <n v="14"/>
    <n v="15"/>
    <x v="1"/>
    <x v="6"/>
    <x v="0"/>
    <x v="1"/>
  </r>
  <r>
    <n v="162"/>
    <x v="7"/>
    <x v="0"/>
    <n v="0"/>
    <x v="0"/>
    <x v="0"/>
    <x v="0"/>
    <n v="6"/>
    <x v="0"/>
    <n v="2"/>
    <x v="15"/>
    <n v="0.19700000000000001"/>
    <x v="33"/>
    <x v="8"/>
    <n v="1"/>
    <n v="24"/>
    <n v="25"/>
    <x v="1"/>
    <x v="0"/>
    <x v="0"/>
    <x v="0"/>
  </r>
  <r>
    <n v="163"/>
    <x v="7"/>
    <x v="0"/>
    <n v="0"/>
    <x v="0"/>
    <x v="1"/>
    <x v="0"/>
    <n v="6"/>
    <x v="0"/>
    <n v="2"/>
    <x v="15"/>
    <n v="0.21210000000000001"/>
    <x v="28"/>
    <x v="1"/>
    <n v="1"/>
    <n v="15"/>
    <n v="16"/>
    <x v="1"/>
    <x v="0"/>
    <x v="0"/>
    <x v="0"/>
  </r>
  <r>
    <n v="164"/>
    <x v="7"/>
    <x v="0"/>
    <n v="0"/>
    <x v="0"/>
    <x v="2"/>
    <x v="0"/>
    <n v="6"/>
    <x v="0"/>
    <n v="2"/>
    <x v="15"/>
    <n v="0.2424"/>
    <x v="28"/>
    <x v="0"/>
    <n v="3"/>
    <n v="13"/>
    <n v="16"/>
    <x v="1"/>
    <x v="0"/>
    <x v="0"/>
    <x v="0"/>
  </r>
  <r>
    <n v="165"/>
    <x v="7"/>
    <x v="0"/>
    <n v="0"/>
    <x v="0"/>
    <x v="3"/>
    <x v="0"/>
    <n v="6"/>
    <x v="0"/>
    <n v="3"/>
    <x v="15"/>
    <n v="0.19700000000000001"/>
    <x v="28"/>
    <x v="8"/>
    <n v="0"/>
    <n v="7"/>
    <n v="7"/>
    <x v="2"/>
    <x v="0"/>
    <x v="0"/>
    <x v="0"/>
  </r>
  <r>
    <n v="166"/>
    <x v="7"/>
    <x v="0"/>
    <n v="0"/>
    <x v="0"/>
    <x v="4"/>
    <x v="0"/>
    <n v="6"/>
    <x v="0"/>
    <n v="3"/>
    <x v="15"/>
    <n v="0.19700000000000001"/>
    <x v="28"/>
    <x v="8"/>
    <n v="0"/>
    <n v="1"/>
    <n v="1"/>
    <x v="2"/>
    <x v="0"/>
    <x v="0"/>
    <x v="0"/>
  </r>
  <r>
    <n v="167"/>
    <x v="7"/>
    <x v="0"/>
    <n v="0"/>
    <x v="0"/>
    <x v="5"/>
    <x v="0"/>
    <n v="6"/>
    <x v="0"/>
    <n v="2"/>
    <x v="13"/>
    <n v="0.16669999999999999"/>
    <x v="32"/>
    <x v="8"/>
    <n v="0"/>
    <n v="5"/>
    <n v="5"/>
    <x v="1"/>
    <x v="0"/>
    <x v="0"/>
    <x v="0"/>
  </r>
  <r>
    <n v="168"/>
    <x v="7"/>
    <x v="0"/>
    <n v="0"/>
    <x v="0"/>
    <x v="6"/>
    <x v="0"/>
    <n v="6"/>
    <x v="0"/>
    <n v="2"/>
    <x v="13"/>
    <n v="0.16669999999999999"/>
    <x v="32"/>
    <x v="8"/>
    <n v="0"/>
    <n v="2"/>
    <n v="2"/>
    <x v="1"/>
    <x v="0"/>
    <x v="0"/>
    <x v="0"/>
  </r>
  <r>
    <n v="169"/>
    <x v="7"/>
    <x v="0"/>
    <n v="0"/>
    <x v="0"/>
    <x v="7"/>
    <x v="0"/>
    <n v="6"/>
    <x v="0"/>
    <n v="2"/>
    <x v="13"/>
    <n v="0.18179999999999999"/>
    <x v="32"/>
    <x v="14"/>
    <n v="1"/>
    <n v="8"/>
    <n v="9"/>
    <x v="1"/>
    <x v="0"/>
    <x v="0"/>
    <x v="0"/>
  </r>
  <r>
    <n v="170"/>
    <x v="7"/>
    <x v="0"/>
    <n v="0"/>
    <x v="0"/>
    <x v="8"/>
    <x v="0"/>
    <n v="6"/>
    <x v="0"/>
    <n v="3"/>
    <x v="13"/>
    <n v="0.18179999999999999"/>
    <x v="43"/>
    <x v="14"/>
    <n v="0"/>
    <n v="15"/>
    <n v="15"/>
    <x v="2"/>
    <x v="0"/>
    <x v="0"/>
    <x v="0"/>
  </r>
  <r>
    <n v="171"/>
    <x v="7"/>
    <x v="0"/>
    <n v="0"/>
    <x v="0"/>
    <x v="9"/>
    <x v="0"/>
    <n v="6"/>
    <x v="0"/>
    <n v="3"/>
    <x v="13"/>
    <n v="0.18179999999999999"/>
    <x v="43"/>
    <x v="14"/>
    <n v="0"/>
    <n v="20"/>
    <n v="20"/>
    <x v="2"/>
    <x v="0"/>
    <x v="0"/>
    <x v="0"/>
  </r>
  <r>
    <n v="172"/>
    <x v="7"/>
    <x v="0"/>
    <n v="0"/>
    <x v="0"/>
    <x v="10"/>
    <x v="0"/>
    <n v="6"/>
    <x v="0"/>
    <n v="2"/>
    <x v="15"/>
    <n v="0.19700000000000001"/>
    <x v="1"/>
    <x v="8"/>
    <n v="5"/>
    <n v="56"/>
    <n v="61"/>
    <x v="1"/>
    <x v="0"/>
    <x v="0"/>
    <x v="0"/>
  </r>
  <r>
    <n v="173"/>
    <x v="7"/>
    <x v="0"/>
    <n v="0"/>
    <x v="0"/>
    <x v="11"/>
    <x v="0"/>
    <n v="6"/>
    <x v="0"/>
    <n v="2"/>
    <x v="2"/>
    <n v="0.18179999999999999"/>
    <x v="27"/>
    <x v="13"/>
    <n v="2"/>
    <n v="60"/>
    <n v="62"/>
    <x v="1"/>
    <x v="0"/>
    <x v="0"/>
    <x v="0"/>
  </r>
  <r>
    <n v="174"/>
    <x v="7"/>
    <x v="0"/>
    <n v="0"/>
    <x v="0"/>
    <x v="12"/>
    <x v="0"/>
    <n v="6"/>
    <x v="0"/>
    <n v="2"/>
    <x v="2"/>
    <n v="0.18179999999999999"/>
    <x v="29"/>
    <x v="11"/>
    <n v="8"/>
    <n v="90"/>
    <n v="98"/>
    <x v="1"/>
    <x v="0"/>
    <x v="0"/>
    <x v="0"/>
  </r>
  <r>
    <n v="175"/>
    <x v="7"/>
    <x v="0"/>
    <n v="0"/>
    <x v="0"/>
    <x v="13"/>
    <x v="0"/>
    <n v="6"/>
    <x v="0"/>
    <n v="1"/>
    <x v="2"/>
    <n v="0.18179999999999999"/>
    <x v="18"/>
    <x v="9"/>
    <n v="7"/>
    <n v="95"/>
    <n v="102"/>
    <x v="0"/>
    <x v="0"/>
    <x v="0"/>
    <x v="0"/>
  </r>
  <r>
    <n v="176"/>
    <x v="7"/>
    <x v="0"/>
    <n v="0"/>
    <x v="0"/>
    <x v="14"/>
    <x v="0"/>
    <n v="6"/>
    <x v="0"/>
    <n v="1"/>
    <x v="2"/>
    <n v="0.16669999999999999"/>
    <x v="25"/>
    <x v="15"/>
    <n v="12"/>
    <n v="83"/>
    <n v="95"/>
    <x v="0"/>
    <x v="0"/>
    <x v="0"/>
    <x v="0"/>
  </r>
  <r>
    <n v="177"/>
    <x v="7"/>
    <x v="0"/>
    <n v="0"/>
    <x v="0"/>
    <x v="15"/>
    <x v="0"/>
    <n v="6"/>
    <x v="0"/>
    <n v="1"/>
    <x v="2"/>
    <n v="0.16669999999999999"/>
    <x v="25"/>
    <x v="10"/>
    <n v="5"/>
    <n v="69"/>
    <n v="74"/>
    <x v="0"/>
    <x v="0"/>
    <x v="0"/>
    <x v="0"/>
  </r>
  <r>
    <n v="178"/>
    <x v="7"/>
    <x v="0"/>
    <n v="0"/>
    <x v="0"/>
    <x v="16"/>
    <x v="0"/>
    <n v="6"/>
    <x v="0"/>
    <n v="1"/>
    <x v="15"/>
    <n v="0.13639999999999999"/>
    <x v="44"/>
    <x v="10"/>
    <n v="8"/>
    <n v="68"/>
    <n v="76"/>
    <x v="0"/>
    <x v="0"/>
    <x v="0"/>
    <x v="0"/>
  </r>
  <r>
    <n v="179"/>
    <x v="7"/>
    <x v="0"/>
    <n v="0"/>
    <x v="0"/>
    <x v="17"/>
    <x v="0"/>
    <n v="6"/>
    <x v="0"/>
    <n v="1"/>
    <x v="13"/>
    <n v="0.1212"/>
    <x v="38"/>
    <x v="16"/>
    <n v="5"/>
    <n v="64"/>
    <n v="69"/>
    <x v="0"/>
    <x v="0"/>
    <x v="0"/>
    <x v="0"/>
  </r>
  <r>
    <n v="180"/>
    <x v="7"/>
    <x v="0"/>
    <n v="0"/>
    <x v="0"/>
    <x v="18"/>
    <x v="0"/>
    <n v="6"/>
    <x v="0"/>
    <n v="1"/>
    <x v="14"/>
    <n v="0.1212"/>
    <x v="17"/>
    <x v="4"/>
    <n v="3"/>
    <n v="52"/>
    <n v="55"/>
    <x v="0"/>
    <x v="0"/>
    <x v="0"/>
    <x v="0"/>
  </r>
  <r>
    <n v="181"/>
    <x v="7"/>
    <x v="0"/>
    <n v="0"/>
    <x v="0"/>
    <x v="19"/>
    <x v="0"/>
    <n v="6"/>
    <x v="0"/>
    <n v="1"/>
    <x v="14"/>
    <n v="0.1212"/>
    <x v="42"/>
    <x v="2"/>
    <n v="4"/>
    <n v="26"/>
    <n v="30"/>
    <x v="0"/>
    <x v="0"/>
    <x v="0"/>
    <x v="0"/>
  </r>
  <r>
    <n v="182"/>
    <x v="7"/>
    <x v="0"/>
    <n v="0"/>
    <x v="0"/>
    <x v="20"/>
    <x v="0"/>
    <n v="6"/>
    <x v="0"/>
    <n v="1"/>
    <x v="16"/>
    <n v="0.1212"/>
    <x v="42"/>
    <x v="2"/>
    <n v="0"/>
    <n v="28"/>
    <n v="28"/>
    <x v="0"/>
    <x v="0"/>
    <x v="0"/>
    <x v="0"/>
  </r>
  <r>
    <n v="183"/>
    <x v="7"/>
    <x v="0"/>
    <n v="0"/>
    <x v="0"/>
    <x v="21"/>
    <x v="0"/>
    <n v="6"/>
    <x v="0"/>
    <n v="1"/>
    <x v="16"/>
    <n v="0.1061"/>
    <x v="17"/>
    <x v="11"/>
    <n v="2"/>
    <n v="35"/>
    <n v="37"/>
    <x v="0"/>
    <x v="0"/>
    <x v="0"/>
    <x v="0"/>
  </r>
  <r>
    <n v="184"/>
    <x v="7"/>
    <x v="0"/>
    <n v="0"/>
    <x v="0"/>
    <x v="22"/>
    <x v="0"/>
    <n v="6"/>
    <x v="0"/>
    <n v="1"/>
    <x v="16"/>
    <n v="0.1061"/>
    <x v="42"/>
    <x v="13"/>
    <n v="1"/>
    <n v="33"/>
    <n v="34"/>
    <x v="0"/>
    <x v="0"/>
    <x v="0"/>
    <x v="0"/>
  </r>
  <r>
    <n v="185"/>
    <x v="7"/>
    <x v="0"/>
    <n v="0"/>
    <x v="0"/>
    <x v="23"/>
    <x v="0"/>
    <n v="6"/>
    <x v="0"/>
    <n v="1"/>
    <x v="18"/>
    <n v="6.0600000000000001E-2"/>
    <x v="17"/>
    <x v="10"/>
    <n v="0"/>
    <n v="22"/>
    <n v="22"/>
    <x v="0"/>
    <x v="0"/>
    <x v="0"/>
    <x v="0"/>
  </r>
  <r>
    <n v="186"/>
    <x v="8"/>
    <x v="0"/>
    <n v="0"/>
    <x v="0"/>
    <x v="0"/>
    <x v="0"/>
    <n v="0"/>
    <x v="0"/>
    <n v="1"/>
    <x v="18"/>
    <n v="7.5800000000000006E-2"/>
    <x v="16"/>
    <x v="13"/>
    <n v="1"/>
    <n v="24"/>
    <n v="25"/>
    <x v="0"/>
    <x v="1"/>
    <x v="0"/>
    <x v="0"/>
  </r>
  <r>
    <n v="187"/>
    <x v="8"/>
    <x v="0"/>
    <n v="0"/>
    <x v="0"/>
    <x v="1"/>
    <x v="0"/>
    <n v="0"/>
    <x v="0"/>
    <n v="1"/>
    <x v="18"/>
    <n v="6.0600000000000001E-2"/>
    <x v="16"/>
    <x v="17"/>
    <n v="0"/>
    <n v="12"/>
    <n v="12"/>
    <x v="0"/>
    <x v="1"/>
    <x v="0"/>
    <x v="0"/>
  </r>
  <r>
    <n v="188"/>
    <x v="8"/>
    <x v="0"/>
    <n v="0"/>
    <x v="0"/>
    <x v="2"/>
    <x v="0"/>
    <n v="0"/>
    <x v="0"/>
    <n v="1"/>
    <x v="18"/>
    <n v="6.0600000000000001E-2"/>
    <x v="15"/>
    <x v="17"/>
    <n v="0"/>
    <n v="11"/>
    <n v="11"/>
    <x v="0"/>
    <x v="1"/>
    <x v="0"/>
    <x v="0"/>
  </r>
  <r>
    <n v="189"/>
    <x v="8"/>
    <x v="0"/>
    <n v="0"/>
    <x v="0"/>
    <x v="3"/>
    <x v="0"/>
    <n v="0"/>
    <x v="0"/>
    <n v="1"/>
    <x v="18"/>
    <n v="7.5800000000000006E-2"/>
    <x v="15"/>
    <x v="12"/>
    <n v="0"/>
    <n v="4"/>
    <n v="4"/>
    <x v="0"/>
    <x v="1"/>
    <x v="0"/>
    <x v="0"/>
  </r>
  <r>
    <n v="190"/>
    <x v="8"/>
    <x v="0"/>
    <n v="0"/>
    <x v="0"/>
    <x v="4"/>
    <x v="0"/>
    <n v="0"/>
    <x v="0"/>
    <n v="1"/>
    <x v="19"/>
    <n v="9.0899999999999995E-2"/>
    <x v="45"/>
    <x v="5"/>
    <n v="0"/>
    <n v="1"/>
    <n v="1"/>
    <x v="0"/>
    <x v="1"/>
    <x v="0"/>
    <x v="0"/>
  </r>
  <r>
    <n v="191"/>
    <x v="8"/>
    <x v="0"/>
    <n v="0"/>
    <x v="0"/>
    <x v="5"/>
    <x v="0"/>
    <n v="0"/>
    <x v="0"/>
    <n v="1"/>
    <x v="19"/>
    <n v="9.0899999999999995E-2"/>
    <x v="45"/>
    <x v="5"/>
    <n v="0"/>
    <n v="1"/>
    <n v="1"/>
    <x v="0"/>
    <x v="1"/>
    <x v="0"/>
    <x v="0"/>
  </r>
  <r>
    <n v="192"/>
    <x v="8"/>
    <x v="0"/>
    <n v="0"/>
    <x v="0"/>
    <x v="6"/>
    <x v="0"/>
    <n v="0"/>
    <x v="0"/>
    <n v="1"/>
    <x v="18"/>
    <n v="9.0899999999999995E-2"/>
    <x v="36"/>
    <x v="3"/>
    <n v="0"/>
    <n v="1"/>
    <n v="1"/>
    <x v="0"/>
    <x v="1"/>
    <x v="0"/>
    <x v="0"/>
  </r>
  <r>
    <n v="193"/>
    <x v="8"/>
    <x v="0"/>
    <n v="0"/>
    <x v="0"/>
    <x v="7"/>
    <x v="0"/>
    <n v="0"/>
    <x v="0"/>
    <n v="1"/>
    <x v="19"/>
    <n v="9.0899999999999995E-2"/>
    <x v="45"/>
    <x v="5"/>
    <n v="1"/>
    <n v="5"/>
    <n v="6"/>
    <x v="0"/>
    <x v="1"/>
    <x v="0"/>
    <x v="0"/>
  </r>
  <r>
    <n v="194"/>
    <x v="8"/>
    <x v="0"/>
    <n v="0"/>
    <x v="0"/>
    <x v="8"/>
    <x v="0"/>
    <n v="0"/>
    <x v="0"/>
    <n v="1"/>
    <x v="18"/>
    <n v="9.0899999999999995E-2"/>
    <x v="36"/>
    <x v="3"/>
    <n v="0"/>
    <n v="10"/>
    <n v="10"/>
    <x v="0"/>
    <x v="1"/>
    <x v="0"/>
    <x v="0"/>
  </r>
  <r>
    <n v="195"/>
    <x v="8"/>
    <x v="0"/>
    <n v="0"/>
    <x v="0"/>
    <x v="9"/>
    <x v="0"/>
    <n v="0"/>
    <x v="0"/>
    <n v="1"/>
    <x v="16"/>
    <n v="7.5800000000000006E-2"/>
    <x v="15"/>
    <x v="18"/>
    <n v="0"/>
    <n v="19"/>
    <n v="19"/>
    <x v="0"/>
    <x v="1"/>
    <x v="0"/>
    <x v="0"/>
  </r>
  <r>
    <n v="196"/>
    <x v="8"/>
    <x v="0"/>
    <n v="0"/>
    <x v="0"/>
    <x v="10"/>
    <x v="0"/>
    <n v="0"/>
    <x v="0"/>
    <n v="1"/>
    <x v="14"/>
    <n v="0.1061"/>
    <x v="21"/>
    <x v="13"/>
    <n v="0"/>
    <n v="49"/>
    <n v="49"/>
    <x v="0"/>
    <x v="1"/>
    <x v="0"/>
    <x v="0"/>
  </r>
  <r>
    <n v="197"/>
    <x v="8"/>
    <x v="0"/>
    <n v="0"/>
    <x v="0"/>
    <x v="11"/>
    <x v="0"/>
    <n v="0"/>
    <x v="0"/>
    <n v="1"/>
    <x v="13"/>
    <n v="0.1212"/>
    <x v="22"/>
    <x v="18"/>
    <n v="2"/>
    <n v="47"/>
    <n v="49"/>
    <x v="0"/>
    <x v="1"/>
    <x v="0"/>
    <x v="0"/>
  </r>
  <r>
    <n v="198"/>
    <x v="8"/>
    <x v="0"/>
    <n v="0"/>
    <x v="0"/>
    <x v="12"/>
    <x v="0"/>
    <n v="0"/>
    <x v="0"/>
    <n v="1"/>
    <x v="15"/>
    <n v="0.13639999999999999"/>
    <x v="38"/>
    <x v="10"/>
    <n v="4"/>
    <n v="79"/>
    <n v="83"/>
    <x v="0"/>
    <x v="1"/>
    <x v="0"/>
    <x v="0"/>
  </r>
  <r>
    <n v="199"/>
    <x v="8"/>
    <x v="0"/>
    <n v="0"/>
    <x v="0"/>
    <x v="13"/>
    <x v="0"/>
    <n v="0"/>
    <x v="0"/>
    <n v="1"/>
    <x v="2"/>
    <n v="0.16669999999999999"/>
    <x v="46"/>
    <x v="10"/>
    <n v="6"/>
    <n v="69"/>
    <n v="75"/>
    <x v="0"/>
    <x v="1"/>
    <x v="0"/>
    <x v="0"/>
  </r>
  <r>
    <n v="200"/>
    <x v="8"/>
    <x v="0"/>
    <n v="0"/>
    <x v="0"/>
    <x v="14"/>
    <x v="0"/>
    <n v="0"/>
    <x v="0"/>
    <n v="1"/>
    <x v="1"/>
    <n v="0.18179999999999999"/>
    <x v="25"/>
    <x v="17"/>
    <n v="8"/>
    <n v="64"/>
    <n v="72"/>
    <x v="0"/>
    <x v="1"/>
    <x v="0"/>
    <x v="0"/>
  </r>
  <r>
    <n v="201"/>
    <x v="8"/>
    <x v="0"/>
    <n v="0"/>
    <x v="0"/>
    <x v="15"/>
    <x v="0"/>
    <n v="0"/>
    <x v="0"/>
    <n v="1"/>
    <x v="1"/>
    <n v="0.19700000000000001"/>
    <x v="23"/>
    <x v="11"/>
    <n v="5"/>
    <n v="77"/>
    <n v="82"/>
    <x v="0"/>
    <x v="1"/>
    <x v="0"/>
    <x v="0"/>
  </r>
  <r>
    <n v="202"/>
    <x v="8"/>
    <x v="0"/>
    <n v="0"/>
    <x v="0"/>
    <x v="16"/>
    <x v="0"/>
    <n v="0"/>
    <x v="0"/>
    <n v="1"/>
    <x v="2"/>
    <n v="0.16669999999999999"/>
    <x v="46"/>
    <x v="10"/>
    <n v="13"/>
    <n v="79"/>
    <n v="92"/>
    <x v="0"/>
    <x v="1"/>
    <x v="0"/>
    <x v="0"/>
  </r>
  <r>
    <n v="203"/>
    <x v="8"/>
    <x v="0"/>
    <n v="0"/>
    <x v="0"/>
    <x v="17"/>
    <x v="0"/>
    <n v="0"/>
    <x v="0"/>
    <n v="1"/>
    <x v="15"/>
    <n v="0.1515"/>
    <x v="38"/>
    <x v="13"/>
    <n v="3"/>
    <n v="59"/>
    <n v="62"/>
    <x v="0"/>
    <x v="1"/>
    <x v="0"/>
    <x v="0"/>
  </r>
  <r>
    <n v="204"/>
    <x v="8"/>
    <x v="0"/>
    <n v="0"/>
    <x v="0"/>
    <x v="18"/>
    <x v="0"/>
    <n v="0"/>
    <x v="0"/>
    <n v="1"/>
    <x v="13"/>
    <n v="0.13639999999999999"/>
    <x v="22"/>
    <x v="9"/>
    <n v="4"/>
    <n v="44"/>
    <n v="48"/>
    <x v="0"/>
    <x v="1"/>
    <x v="0"/>
    <x v="0"/>
  </r>
  <r>
    <n v="205"/>
    <x v="8"/>
    <x v="0"/>
    <n v="0"/>
    <x v="0"/>
    <x v="19"/>
    <x v="0"/>
    <n v="0"/>
    <x v="0"/>
    <n v="1"/>
    <x v="13"/>
    <n v="0.13639999999999999"/>
    <x v="21"/>
    <x v="9"/>
    <n v="1"/>
    <n v="40"/>
    <n v="41"/>
    <x v="0"/>
    <x v="1"/>
    <x v="0"/>
    <x v="0"/>
  </r>
  <r>
    <n v="206"/>
    <x v="8"/>
    <x v="0"/>
    <n v="0"/>
    <x v="0"/>
    <x v="20"/>
    <x v="0"/>
    <n v="0"/>
    <x v="0"/>
    <n v="1"/>
    <x v="14"/>
    <n v="0.1212"/>
    <x v="15"/>
    <x v="2"/>
    <n v="0"/>
    <n v="38"/>
    <n v="38"/>
    <x v="0"/>
    <x v="1"/>
    <x v="0"/>
    <x v="0"/>
  </r>
  <r>
    <n v="207"/>
    <x v="8"/>
    <x v="0"/>
    <n v="0"/>
    <x v="0"/>
    <x v="21"/>
    <x v="0"/>
    <n v="0"/>
    <x v="0"/>
    <n v="1"/>
    <x v="14"/>
    <n v="0.1061"/>
    <x v="15"/>
    <x v="12"/>
    <n v="1"/>
    <n v="19"/>
    <n v="20"/>
    <x v="0"/>
    <x v="1"/>
    <x v="0"/>
    <x v="0"/>
  </r>
  <r>
    <n v="208"/>
    <x v="8"/>
    <x v="0"/>
    <n v="0"/>
    <x v="0"/>
    <x v="22"/>
    <x v="0"/>
    <n v="0"/>
    <x v="0"/>
    <n v="1"/>
    <x v="14"/>
    <n v="0.1212"/>
    <x v="15"/>
    <x v="4"/>
    <n v="5"/>
    <n v="10"/>
    <n v="15"/>
    <x v="0"/>
    <x v="1"/>
    <x v="0"/>
    <x v="0"/>
  </r>
  <r>
    <n v="209"/>
    <x v="8"/>
    <x v="0"/>
    <n v="0"/>
    <x v="0"/>
    <x v="23"/>
    <x v="0"/>
    <n v="0"/>
    <x v="0"/>
    <n v="1"/>
    <x v="16"/>
    <n v="0.13639999999999999"/>
    <x v="20"/>
    <x v="5"/>
    <n v="0"/>
    <n v="6"/>
    <n v="6"/>
    <x v="0"/>
    <x v="1"/>
    <x v="0"/>
    <x v="0"/>
  </r>
  <r>
    <n v="210"/>
    <x v="9"/>
    <x v="0"/>
    <n v="0"/>
    <x v="0"/>
    <x v="0"/>
    <x v="0"/>
    <n v="1"/>
    <x v="1"/>
    <n v="1"/>
    <x v="16"/>
    <n v="0.1212"/>
    <x v="20"/>
    <x v="3"/>
    <n v="2"/>
    <n v="3"/>
    <n v="5"/>
    <x v="0"/>
    <x v="2"/>
    <x v="0"/>
    <x v="1"/>
  </r>
  <r>
    <n v="211"/>
    <x v="9"/>
    <x v="0"/>
    <n v="0"/>
    <x v="0"/>
    <x v="1"/>
    <x v="0"/>
    <n v="1"/>
    <x v="1"/>
    <n v="1"/>
    <x v="16"/>
    <n v="0.1212"/>
    <x v="20"/>
    <x v="3"/>
    <n v="1"/>
    <n v="0"/>
    <n v="1"/>
    <x v="0"/>
    <x v="2"/>
    <x v="0"/>
    <x v="1"/>
  </r>
  <r>
    <n v="212"/>
    <x v="9"/>
    <x v="0"/>
    <n v="0"/>
    <x v="0"/>
    <x v="2"/>
    <x v="0"/>
    <n v="1"/>
    <x v="1"/>
    <n v="1"/>
    <x v="16"/>
    <n v="0.1212"/>
    <x v="20"/>
    <x v="6"/>
    <n v="0"/>
    <n v="3"/>
    <n v="3"/>
    <x v="0"/>
    <x v="2"/>
    <x v="0"/>
    <x v="1"/>
  </r>
  <r>
    <n v="213"/>
    <x v="9"/>
    <x v="0"/>
    <n v="0"/>
    <x v="0"/>
    <x v="3"/>
    <x v="0"/>
    <n v="1"/>
    <x v="1"/>
    <n v="1"/>
    <x v="16"/>
    <n v="0.1212"/>
    <x v="20"/>
    <x v="6"/>
    <n v="0"/>
    <n v="1"/>
    <n v="1"/>
    <x v="0"/>
    <x v="2"/>
    <x v="0"/>
    <x v="1"/>
  </r>
  <r>
    <n v="214"/>
    <x v="9"/>
    <x v="0"/>
    <n v="0"/>
    <x v="0"/>
    <x v="4"/>
    <x v="0"/>
    <n v="1"/>
    <x v="1"/>
    <n v="1"/>
    <x v="18"/>
    <n v="0.1212"/>
    <x v="47"/>
    <x v="7"/>
    <n v="1"/>
    <n v="2"/>
    <n v="3"/>
    <x v="0"/>
    <x v="2"/>
    <x v="0"/>
    <x v="1"/>
  </r>
  <r>
    <n v="215"/>
    <x v="9"/>
    <x v="0"/>
    <n v="0"/>
    <x v="0"/>
    <x v="5"/>
    <x v="0"/>
    <n v="1"/>
    <x v="1"/>
    <n v="1"/>
    <x v="18"/>
    <n v="0.1061"/>
    <x v="47"/>
    <x v="2"/>
    <n v="0"/>
    <n v="3"/>
    <n v="3"/>
    <x v="0"/>
    <x v="2"/>
    <x v="0"/>
    <x v="1"/>
  </r>
  <r>
    <n v="216"/>
    <x v="9"/>
    <x v="0"/>
    <n v="0"/>
    <x v="0"/>
    <x v="6"/>
    <x v="0"/>
    <n v="1"/>
    <x v="1"/>
    <n v="1"/>
    <x v="16"/>
    <n v="0.1212"/>
    <x v="20"/>
    <x v="3"/>
    <n v="0"/>
    <n v="31"/>
    <n v="31"/>
    <x v="0"/>
    <x v="2"/>
    <x v="0"/>
    <x v="1"/>
  </r>
  <r>
    <n v="217"/>
    <x v="9"/>
    <x v="0"/>
    <n v="0"/>
    <x v="0"/>
    <x v="7"/>
    <x v="0"/>
    <n v="1"/>
    <x v="1"/>
    <n v="1"/>
    <x v="16"/>
    <n v="0.1212"/>
    <x v="20"/>
    <x v="6"/>
    <n v="2"/>
    <n v="75"/>
    <n v="77"/>
    <x v="0"/>
    <x v="2"/>
    <x v="0"/>
    <x v="1"/>
  </r>
  <r>
    <n v="218"/>
    <x v="9"/>
    <x v="0"/>
    <n v="0"/>
    <x v="0"/>
    <x v="8"/>
    <x v="0"/>
    <n v="1"/>
    <x v="1"/>
    <n v="2"/>
    <x v="16"/>
    <n v="0.1212"/>
    <x v="20"/>
    <x v="3"/>
    <n v="4"/>
    <n v="184"/>
    <n v="188"/>
    <x v="1"/>
    <x v="2"/>
    <x v="0"/>
    <x v="1"/>
  </r>
  <r>
    <n v="219"/>
    <x v="9"/>
    <x v="0"/>
    <n v="0"/>
    <x v="0"/>
    <x v="9"/>
    <x v="0"/>
    <n v="1"/>
    <x v="1"/>
    <n v="2"/>
    <x v="14"/>
    <n v="0.1212"/>
    <x v="20"/>
    <x v="2"/>
    <n v="2"/>
    <n v="92"/>
    <n v="94"/>
    <x v="1"/>
    <x v="2"/>
    <x v="0"/>
    <x v="1"/>
  </r>
  <r>
    <n v="220"/>
    <x v="9"/>
    <x v="0"/>
    <n v="0"/>
    <x v="0"/>
    <x v="10"/>
    <x v="0"/>
    <n v="1"/>
    <x v="1"/>
    <n v="2"/>
    <x v="14"/>
    <n v="0.1212"/>
    <x v="20"/>
    <x v="4"/>
    <n v="0"/>
    <n v="31"/>
    <n v="31"/>
    <x v="1"/>
    <x v="2"/>
    <x v="0"/>
    <x v="1"/>
  </r>
  <r>
    <n v="221"/>
    <x v="9"/>
    <x v="0"/>
    <n v="0"/>
    <x v="0"/>
    <x v="11"/>
    <x v="0"/>
    <n v="1"/>
    <x v="1"/>
    <n v="2"/>
    <x v="13"/>
    <n v="0.13639999999999999"/>
    <x v="19"/>
    <x v="3"/>
    <n v="2"/>
    <n v="28"/>
    <n v="30"/>
    <x v="1"/>
    <x v="2"/>
    <x v="0"/>
    <x v="1"/>
  </r>
  <r>
    <n v="222"/>
    <x v="9"/>
    <x v="0"/>
    <n v="0"/>
    <x v="0"/>
    <x v="12"/>
    <x v="0"/>
    <n v="1"/>
    <x v="1"/>
    <n v="2"/>
    <x v="2"/>
    <n v="0.18179999999999999"/>
    <x v="22"/>
    <x v="3"/>
    <n v="5"/>
    <n v="47"/>
    <n v="52"/>
    <x v="1"/>
    <x v="2"/>
    <x v="0"/>
    <x v="1"/>
  </r>
  <r>
    <n v="223"/>
    <x v="9"/>
    <x v="0"/>
    <n v="0"/>
    <x v="0"/>
    <x v="13"/>
    <x v="0"/>
    <n v="1"/>
    <x v="1"/>
    <n v="2"/>
    <x v="2"/>
    <n v="0.18179999999999999"/>
    <x v="22"/>
    <x v="3"/>
    <n v="4"/>
    <n v="50"/>
    <n v="54"/>
    <x v="1"/>
    <x v="2"/>
    <x v="0"/>
    <x v="1"/>
  </r>
  <r>
    <n v="224"/>
    <x v="9"/>
    <x v="0"/>
    <n v="0"/>
    <x v="0"/>
    <x v="14"/>
    <x v="0"/>
    <n v="1"/>
    <x v="1"/>
    <n v="2"/>
    <x v="2"/>
    <n v="0.19700000000000001"/>
    <x v="22"/>
    <x v="6"/>
    <n v="0"/>
    <n v="47"/>
    <n v="47"/>
    <x v="1"/>
    <x v="2"/>
    <x v="0"/>
    <x v="1"/>
  </r>
  <r>
    <n v="225"/>
    <x v="9"/>
    <x v="0"/>
    <n v="0"/>
    <x v="0"/>
    <x v="15"/>
    <x v="0"/>
    <n v="1"/>
    <x v="1"/>
    <n v="2"/>
    <x v="2"/>
    <n v="0.19700000000000001"/>
    <x v="22"/>
    <x v="6"/>
    <n v="2"/>
    <n v="43"/>
    <n v="45"/>
    <x v="1"/>
    <x v="2"/>
    <x v="0"/>
    <x v="1"/>
  </r>
  <r>
    <n v="226"/>
    <x v="9"/>
    <x v="0"/>
    <n v="0"/>
    <x v="0"/>
    <x v="16"/>
    <x v="0"/>
    <n v="1"/>
    <x v="1"/>
    <n v="1"/>
    <x v="2"/>
    <n v="0.21210000000000001"/>
    <x v="22"/>
    <x v="7"/>
    <n v="4"/>
    <n v="70"/>
    <n v="74"/>
    <x v="0"/>
    <x v="2"/>
    <x v="0"/>
    <x v="1"/>
  </r>
  <r>
    <n v="227"/>
    <x v="9"/>
    <x v="0"/>
    <n v="0"/>
    <x v="0"/>
    <x v="17"/>
    <x v="0"/>
    <n v="1"/>
    <x v="1"/>
    <n v="1"/>
    <x v="2"/>
    <n v="0.2273"/>
    <x v="22"/>
    <x v="14"/>
    <n v="4"/>
    <n v="174"/>
    <n v="178"/>
    <x v="0"/>
    <x v="2"/>
    <x v="0"/>
    <x v="1"/>
  </r>
  <r>
    <n v="228"/>
    <x v="9"/>
    <x v="0"/>
    <n v="0"/>
    <x v="0"/>
    <x v="18"/>
    <x v="0"/>
    <n v="1"/>
    <x v="1"/>
    <n v="1"/>
    <x v="2"/>
    <n v="0.19700000000000001"/>
    <x v="22"/>
    <x v="6"/>
    <n v="1"/>
    <n v="154"/>
    <n v="155"/>
    <x v="0"/>
    <x v="2"/>
    <x v="0"/>
    <x v="1"/>
  </r>
  <r>
    <n v="229"/>
    <x v="9"/>
    <x v="0"/>
    <n v="0"/>
    <x v="0"/>
    <x v="19"/>
    <x v="0"/>
    <n v="1"/>
    <x v="1"/>
    <n v="1"/>
    <x v="13"/>
    <n v="0.16669999999999999"/>
    <x v="19"/>
    <x v="8"/>
    <n v="3"/>
    <n v="92"/>
    <n v="95"/>
    <x v="0"/>
    <x v="2"/>
    <x v="0"/>
    <x v="1"/>
  </r>
  <r>
    <n v="230"/>
    <x v="9"/>
    <x v="0"/>
    <n v="0"/>
    <x v="0"/>
    <x v="20"/>
    <x v="0"/>
    <n v="1"/>
    <x v="1"/>
    <n v="1"/>
    <x v="13"/>
    <n v="0.16669999999999999"/>
    <x v="20"/>
    <x v="8"/>
    <n v="1"/>
    <n v="73"/>
    <n v="74"/>
    <x v="0"/>
    <x v="2"/>
    <x v="0"/>
    <x v="1"/>
  </r>
  <r>
    <n v="231"/>
    <x v="9"/>
    <x v="0"/>
    <n v="0"/>
    <x v="0"/>
    <x v="21"/>
    <x v="0"/>
    <n v="1"/>
    <x v="1"/>
    <n v="1"/>
    <x v="14"/>
    <n v="0.13639999999999999"/>
    <x v="29"/>
    <x v="5"/>
    <n v="1"/>
    <n v="37"/>
    <n v="38"/>
    <x v="0"/>
    <x v="2"/>
    <x v="0"/>
    <x v="1"/>
  </r>
  <r>
    <n v="232"/>
    <x v="9"/>
    <x v="0"/>
    <n v="0"/>
    <x v="0"/>
    <x v="22"/>
    <x v="0"/>
    <n v="1"/>
    <x v="1"/>
    <n v="1"/>
    <x v="14"/>
    <n v="0.1515"/>
    <x v="29"/>
    <x v="8"/>
    <n v="2"/>
    <n v="22"/>
    <n v="24"/>
    <x v="0"/>
    <x v="2"/>
    <x v="0"/>
    <x v="1"/>
  </r>
  <r>
    <n v="233"/>
    <x v="9"/>
    <x v="0"/>
    <n v="0"/>
    <x v="0"/>
    <x v="23"/>
    <x v="0"/>
    <n v="1"/>
    <x v="1"/>
    <n v="1"/>
    <x v="14"/>
    <n v="0.1515"/>
    <x v="29"/>
    <x v="8"/>
    <n v="0"/>
    <n v="18"/>
    <n v="18"/>
    <x v="0"/>
    <x v="2"/>
    <x v="0"/>
    <x v="1"/>
  </r>
  <r>
    <n v="234"/>
    <x v="10"/>
    <x v="0"/>
    <n v="0"/>
    <x v="0"/>
    <x v="0"/>
    <x v="0"/>
    <n v="2"/>
    <x v="1"/>
    <n v="1"/>
    <x v="14"/>
    <n v="0.16669999999999999"/>
    <x v="29"/>
    <x v="14"/>
    <n v="2"/>
    <n v="10"/>
    <n v="12"/>
    <x v="0"/>
    <x v="3"/>
    <x v="0"/>
    <x v="1"/>
  </r>
  <r>
    <n v="235"/>
    <x v="10"/>
    <x v="0"/>
    <n v="0"/>
    <x v="0"/>
    <x v="1"/>
    <x v="0"/>
    <n v="2"/>
    <x v="1"/>
    <n v="1"/>
    <x v="14"/>
    <n v="0.1515"/>
    <x v="29"/>
    <x v="8"/>
    <n v="0"/>
    <n v="3"/>
    <n v="3"/>
    <x v="0"/>
    <x v="3"/>
    <x v="0"/>
    <x v="1"/>
  </r>
  <r>
    <n v="236"/>
    <x v="10"/>
    <x v="0"/>
    <n v="0"/>
    <x v="0"/>
    <x v="2"/>
    <x v="0"/>
    <n v="2"/>
    <x v="1"/>
    <n v="2"/>
    <x v="13"/>
    <n v="0.1515"/>
    <x v="28"/>
    <x v="5"/>
    <n v="0"/>
    <n v="3"/>
    <n v="3"/>
    <x v="1"/>
    <x v="3"/>
    <x v="0"/>
    <x v="1"/>
  </r>
  <r>
    <n v="237"/>
    <x v="10"/>
    <x v="0"/>
    <n v="0"/>
    <x v="0"/>
    <x v="5"/>
    <x v="0"/>
    <n v="2"/>
    <x v="1"/>
    <n v="2"/>
    <x v="13"/>
    <n v="0.18179999999999999"/>
    <x v="28"/>
    <x v="7"/>
    <n v="0"/>
    <n v="6"/>
    <n v="6"/>
    <x v="1"/>
    <x v="3"/>
    <x v="0"/>
    <x v="1"/>
  </r>
  <r>
    <n v="238"/>
    <x v="10"/>
    <x v="0"/>
    <n v="0"/>
    <x v="0"/>
    <x v="6"/>
    <x v="0"/>
    <n v="2"/>
    <x v="1"/>
    <n v="2"/>
    <x v="13"/>
    <n v="0.18179999999999999"/>
    <x v="28"/>
    <x v="7"/>
    <n v="0"/>
    <n v="27"/>
    <n v="27"/>
    <x v="1"/>
    <x v="3"/>
    <x v="0"/>
    <x v="1"/>
  </r>
  <r>
    <n v="239"/>
    <x v="10"/>
    <x v="0"/>
    <n v="0"/>
    <x v="0"/>
    <x v="7"/>
    <x v="0"/>
    <n v="2"/>
    <x v="1"/>
    <n v="2"/>
    <x v="13"/>
    <n v="0.2273"/>
    <x v="28"/>
    <x v="0"/>
    <n v="2"/>
    <n v="97"/>
    <n v="99"/>
    <x v="1"/>
    <x v="3"/>
    <x v="0"/>
    <x v="1"/>
  </r>
  <r>
    <n v="240"/>
    <x v="10"/>
    <x v="0"/>
    <n v="0"/>
    <x v="0"/>
    <x v="8"/>
    <x v="0"/>
    <n v="2"/>
    <x v="1"/>
    <n v="2"/>
    <x v="15"/>
    <n v="0.21210000000000001"/>
    <x v="33"/>
    <x v="1"/>
    <n v="3"/>
    <n v="214"/>
    <n v="217"/>
    <x v="1"/>
    <x v="3"/>
    <x v="0"/>
    <x v="1"/>
  </r>
  <r>
    <n v="241"/>
    <x v="10"/>
    <x v="0"/>
    <n v="0"/>
    <x v="0"/>
    <x v="9"/>
    <x v="0"/>
    <n v="2"/>
    <x v="1"/>
    <n v="2"/>
    <x v="15"/>
    <n v="0.19700000000000001"/>
    <x v="33"/>
    <x v="8"/>
    <n v="3"/>
    <n v="127"/>
    <n v="130"/>
    <x v="1"/>
    <x v="3"/>
    <x v="0"/>
    <x v="1"/>
  </r>
  <r>
    <n v="242"/>
    <x v="10"/>
    <x v="0"/>
    <n v="0"/>
    <x v="0"/>
    <x v="10"/>
    <x v="0"/>
    <n v="2"/>
    <x v="1"/>
    <n v="2"/>
    <x v="2"/>
    <n v="0.21210000000000001"/>
    <x v="33"/>
    <x v="8"/>
    <n v="3"/>
    <n v="51"/>
    <n v="54"/>
    <x v="1"/>
    <x v="3"/>
    <x v="0"/>
    <x v="1"/>
  </r>
  <r>
    <n v="243"/>
    <x v="10"/>
    <x v="0"/>
    <n v="0"/>
    <x v="0"/>
    <x v="11"/>
    <x v="0"/>
    <n v="2"/>
    <x v="1"/>
    <n v="2"/>
    <x v="2"/>
    <n v="0.21210000000000001"/>
    <x v="19"/>
    <x v="7"/>
    <n v="4"/>
    <n v="31"/>
    <n v="35"/>
    <x v="1"/>
    <x v="3"/>
    <x v="0"/>
    <x v="1"/>
  </r>
  <r>
    <n v="244"/>
    <x v="10"/>
    <x v="0"/>
    <n v="0"/>
    <x v="0"/>
    <x v="12"/>
    <x v="0"/>
    <n v="2"/>
    <x v="1"/>
    <n v="2"/>
    <x v="2"/>
    <n v="0.2273"/>
    <x v="33"/>
    <x v="14"/>
    <n v="2"/>
    <n v="55"/>
    <n v="57"/>
    <x v="1"/>
    <x v="3"/>
    <x v="0"/>
    <x v="1"/>
  </r>
  <r>
    <n v="245"/>
    <x v="10"/>
    <x v="0"/>
    <n v="0"/>
    <x v="0"/>
    <x v="13"/>
    <x v="0"/>
    <n v="2"/>
    <x v="1"/>
    <n v="2"/>
    <x v="2"/>
    <n v="0.2273"/>
    <x v="29"/>
    <x v="1"/>
    <n v="6"/>
    <n v="46"/>
    <n v="52"/>
    <x v="1"/>
    <x v="3"/>
    <x v="0"/>
    <x v="1"/>
  </r>
  <r>
    <n v="246"/>
    <x v="10"/>
    <x v="0"/>
    <n v="0"/>
    <x v="0"/>
    <x v="14"/>
    <x v="0"/>
    <n v="2"/>
    <x v="1"/>
    <n v="2"/>
    <x v="2"/>
    <n v="0.2273"/>
    <x v="29"/>
    <x v="1"/>
    <n v="3"/>
    <n v="60"/>
    <n v="63"/>
    <x v="1"/>
    <x v="3"/>
    <x v="0"/>
    <x v="1"/>
  </r>
  <r>
    <n v="247"/>
    <x v="10"/>
    <x v="0"/>
    <n v="0"/>
    <x v="0"/>
    <x v="15"/>
    <x v="0"/>
    <n v="2"/>
    <x v="1"/>
    <n v="2"/>
    <x v="13"/>
    <n v="0.19700000000000001"/>
    <x v="1"/>
    <x v="1"/>
    <n v="2"/>
    <n v="45"/>
    <n v="47"/>
    <x v="1"/>
    <x v="3"/>
    <x v="0"/>
    <x v="1"/>
  </r>
  <r>
    <n v="248"/>
    <x v="10"/>
    <x v="0"/>
    <n v="0"/>
    <x v="0"/>
    <x v="16"/>
    <x v="0"/>
    <n v="2"/>
    <x v="1"/>
    <n v="2"/>
    <x v="13"/>
    <n v="0.1515"/>
    <x v="3"/>
    <x v="6"/>
    <n v="4"/>
    <n v="72"/>
    <n v="76"/>
    <x v="1"/>
    <x v="3"/>
    <x v="0"/>
    <x v="1"/>
  </r>
  <r>
    <n v="249"/>
    <x v="10"/>
    <x v="0"/>
    <n v="0"/>
    <x v="0"/>
    <x v="17"/>
    <x v="0"/>
    <n v="2"/>
    <x v="1"/>
    <n v="2"/>
    <x v="13"/>
    <n v="0.1515"/>
    <x v="3"/>
    <x v="6"/>
    <n v="6"/>
    <n v="130"/>
    <n v="136"/>
    <x v="1"/>
    <x v="3"/>
    <x v="0"/>
    <x v="1"/>
  </r>
  <r>
    <n v="250"/>
    <x v="10"/>
    <x v="0"/>
    <n v="0"/>
    <x v="0"/>
    <x v="18"/>
    <x v="0"/>
    <n v="2"/>
    <x v="1"/>
    <n v="3"/>
    <x v="13"/>
    <n v="0.18179999999999999"/>
    <x v="43"/>
    <x v="14"/>
    <n v="1"/>
    <n v="94"/>
    <n v="95"/>
    <x v="2"/>
    <x v="3"/>
    <x v="0"/>
    <x v="1"/>
  </r>
  <r>
    <n v="251"/>
    <x v="10"/>
    <x v="0"/>
    <n v="0"/>
    <x v="0"/>
    <x v="19"/>
    <x v="0"/>
    <n v="2"/>
    <x v="1"/>
    <n v="3"/>
    <x v="13"/>
    <n v="0.2273"/>
    <x v="43"/>
    <x v="0"/>
    <n v="0"/>
    <n v="51"/>
    <n v="51"/>
    <x v="2"/>
    <x v="3"/>
    <x v="0"/>
    <x v="1"/>
  </r>
  <r>
    <n v="252"/>
    <x v="10"/>
    <x v="0"/>
    <n v="0"/>
    <x v="0"/>
    <x v="20"/>
    <x v="0"/>
    <n v="2"/>
    <x v="1"/>
    <n v="3"/>
    <x v="13"/>
    <n v="0.1515"/>
    <x v="43"/>
    <x v="5"/>
    <n v="0"/>
    <n v="32"/>
    <n v="32"/>
    <x v="2"/>
    <x v="3"/>
    <x v="0"/>
    <x v="1"/>
  </r>
  <r>
    <n v="253"/>
    <x v="10"/>
    <x v="0"/>
    <n v="0"/>
    <x v="0"/>
    <x v="21"/>
    <x v="0"/>
    <n v="2"/>
    <x v="1"/>
    <n v="3"/>
    <x v="13"/>
    <n v="0.19700000000000001"/>
    <x v="3"/>
    <x v="1"/>
    <n v="0"/>
    <n v="20"/>
    <n v="20"/>
    <x v="2"/>
    <x v="3"/>
    <x v="0"/>
    <x v="1"/>
  </r>
  <r>
    <n v="254"/>
    <x v="10"/>
    <x v="0"/>
    <n v="0"/>
    <x v="0"/>
    <x v="22"/>
    <x v="0"/>
    <n v="2"/>
    <x v="1"/>
    <n v="3"/>
    <x v="13"/>
    <n v="0.18179999999999999"/>
    <x v="43"/>
    <x v="14"/>
    <n v="1"/>
    <n v="28"/>
    <n v="29"/>
    <x v="2"/>
    <x v="3"/>
    <x v="0"/>
    <x v="1"/>
  </r>
  <r>
    <n v="255"/>
    <x v="10"/>
    <x v="0"/>
    <n v="0"/>
    <x v="0"/>
    <x v="23"/>
    <x v="0"/>
    <n v="2"/>
    <x v="1"/>
    <n v="3"/>
    <x v="13"/>
    <n v="0.19700000000000001"/>
    <x v="43"/>
    <x v="1"/>
    <n v="1"/>
    <n v="18"/>
    <n v="19"/>
    <x v="2"/>
    <x v="3"/>
    <x v="0"/>
    <x v="1"/>
  </r>
  <r>
    <n v="256"/>
    <x v="11"/>
    <x v="0"/>
    <n v="0"/>
    <x v="0"/>
    <x v="0"/>
    <x v="0"/>
    <n v="3"/>
    <x v="1"/>
    <n v="2"/>
    <x v="13"/>
    <n v="0.19700000000000001"/>
    <x v="3"/>
    <x v="1"/>
    <n v="0"/>
    <n v="7"/>
    <n v="7"/>
    <x v="1"/>
    <x v="4"/>
    <x v="0"/>
    <x v="1"/>
  </r>
  <r>
    <n v="257"/>
    <x v="11"/>
    <x v="0"/>
    <n v="0"/>
    <x v="0"/>
    <x v="1"/>
    <x v="0"/>
    <n v="3"/>
    <x v="1"/>
    <n v="2"/>
    <x v="13"/>
    <n v="0.18179999999999999"/>
    <x v="3"/>
    <x v="14"/>
    <n v="0"/>
    <n v="6"/>
    <n v="6"/>
    <x v="1"/>
    <x v="4"/>
    <x v="0"/>
    <x v="1"/>
  </r>
  <r>
    <n v="258"/>
    <x v="11"/>
    <x v="0"/>
    <n v="0"/>
    <x v="0"/>
    <x v="2"/>
    <x v="0"/>
    <n v="3"/>
    <x v="1"/>
    <n v="1"/>
    <x v="14"/>
    <n v="0.1515"/>
    <x v="3"/>
    <x v="7"/>
    <n v="0"/>
    <n v="1"/>
    <n v="1"/>
    <x v="0"/>
    <x v="4"/>
    <x v="0"/>
    <x v="1"/>
  </r>
  <r>
    <n v="259"/>
    <x v="11"/>
    <x v="0"/>
    <n v="0"/>
    <x v="0"/>
    <x v="5"/>
    <x v="0"/>
    <n v="3"/>
    <x v="1"/>
    <n v="1"/>
    <x v="14"/>
    <n v="0.1515"/>
    <x v="3"/>
    <x v="8"/>
    <n v="0"/>
    <n v="5"/>
    <n v="5"/>
    <x v="0"/>
    <x v="4"/>
    <x v="0"/>
    <x v="1"/>
  </r>
  <r>
    <n v="260"/>
    <x v="11"/>
    <x v="0"/>
    <n v="0"/>
    <x v="0"/>
    <x v="6"/>
    <x v="0"/>
    <n v="3"/>
    <x v="1"/>
    <n v="1"/>
    <x v="16"/>
    <n v="0.1515"/>
    <x v="43"/>
    <x v="7"/>
    <n v="0"/>
    <n v="16"/>
    <n v="16"/>
    <x v="0"/>
    <x v="4"/>
    <x v="0"/>
    <x v="1"/>
  </r>
  <r>
    <n v="261"/>
    <x v="11"/>
    <x v="0"/>
    <n v="0"/>
    <x v="0"/>
    <x v="7"/>
    <x v="0"/>
    <n v="3"/>
    <x v="1"/>
    <n v="1"/>
    <x v="14"/>
    <n v="0.1515"/>
    <x v="27"/>
    <x v="7"/>
    <n v="0"/>
    <n v="54"/>
    <n v="54"/>
    <x v="0"/>
    <x v="4"/>
    <x v="0"/>
    <x v="1"/>
  </r>
  <r>
    <n v="262"/>
    <x v="11"/>
    <x v="0"/>
    <n v="0"/>
    <x v="0"/>
    <x v="8"/>
    <x v="0"/>
    <n v="3"/>
    <x v="1"/>
    <n v="1"/>
    <x v="13"/>
    <n v="0.16669999999999999"/>
    <x v="29"/>
    <x v="8"/>
    <n v="3"/>
    <n v="125"/>
    <n v="128"/>
    <x v="0"/>
    <x v="4"/>
    <x v="0"/>
    <x v="1"/>
  </r>
  <r>
    <n v="263"/>
    <x v="11"/>
    <x v="0"/>
    <n v="0"/>
    <x v="0"/>
    <x v="9"/>
    <x v="0"/>
    <n v="3"/>
    <x v="1"/>
    <n v="1"/>
    <x v="13"/>
    <n v="0.13639999999999999"/>
    <x v="29"/>
    <x v="9"/>
    <n v="3"/>
    <n v="78"/>
    <n v="81"/>
    <x v="0"/>
    <x v="4"/>
    <x v="0"/>
    <x v="1"/>
  </r>
  <r>
    <n v="264"/>
    <x v="11"/>
    <x v="0"/>
    <n v="0"/>
    <x v="0"/>
    <x v="10"/>
    <x v="0"/>
    <n v="3"/>
    <x v="1"/>
    <n v="1"/>
    <x v="15"/>
    <n v="0.18179999999999999"/>
    <x v="28"/>
    <x v="6"/>
    <n v="0"/>
    <n v="39"/>
    <n v="39"/>
    <x v="0"/>
    <x v="4"/>
    <x v="0"/>
    <x v="1"/>
  </r>
  <r>
    <n v="265"/>
    <x v="11"/>
    <x v="0"/>
    <n v="0"/>
    <x v="0"/>
    <x v="11"/>
    <x v="0"/>
    <n v="3"/>
    <x v="1"/>
    <n v="1"/>
    <x v="2"/>
    <n v="0.18179999999999999"/>
    <x v="33"/>
    <x v="13"/>
    <n v="3"/>
    <n v="32"/>
    <n v="35"/>
    <x v="0"/>
    <x v="4"/>
    <x v="0"/>
    <x v="1"/>
  </r>
  <r>
    <n v="266"/>
    <x v="11"/>
    <x v="0"/>
    <n v="0"/>
    <x v="0"/>
    <x v="12"/>
    <x v="0"/>
    <n v="3"/>
    <x v="1"/>
    <n v="1"/>
    <x v="2"/>
    <n v="0.1515"/>
    <x v="19"/>
    <x v="19"/>
    <n v="3"/>
    <n v="52"/>
    <n v="55"/>
    <x v="0"/>
    <x v="4"/>
    <x v="0"/>
    <x v="1"/>
  </r>
  <r>
    <n v="267"/>
    <x v="11"/>
    <x v="0"/>
    <n v="0"/>
    <x v="0"/>
    <x v="13"/>
    <x v="0"/>
    <n v="3"/>
    <x v="1"/>
    <n v="1"/>
    <x v="1"/>
    <n v="0.19700000000000001"/>
    <x v="18"/>
    <x v="11"/>
    <n v="0"/>
    <n v="49"/>
    <n v="49"/>
    <x v="0"/>
    <x v="4"/>
    <x v="0"/>
    <x v="1"/>
  </r>
  <r>
    <n v="268"/>
    <x v="11"/>
    <x v="0"/>
    <n v="0"/>
    <x v="0"/>
    <x v="14"/>
    <x v="0"/>
    <n v="3"/>
    <x v="1"/>
    <n v="1"/>
    <x v="2"/>
    <n v="0.18179999999999999"/>
    <x v="19"/>
    <x v="9"/>
    <n v="0"/>
    <n v="44"/>
    <n v="44"/>
    <x v="0"/>
    <x v="4"/>
    <x v="0"/>
    <x v="1"/>
  </r>
  <r>
    <n v="269"/>
    <x v="11"/>
    <x v="0"/>
    <n v="0"/>
    <x v="0"/>
    <x v="15"/>
    <x v="0"/>
    <n v="3"/>
    <x v="1"/>
    <n v="1"/>
    <x v="2"/>
    <n v="0.16669999999999999"/>
    <x v="19"/>
    <x v="12"/>
    <n v="1"/>
    <n v="48"/>
    <n v="49"/>
    <x v="0"/>
    <x v="4"/>
    <x v="0"/>
    <x v="1"/>
  </r>
  <r>
    <n v="270"/>
    <x v="11"/>
    <x v="0"/>
    <n v="0"/>
    <x v="0"/>
    <x v="16"/>
    <x v="0"/>
    <n v="3"/>
    <x v="1"/>
    <n v="1"/>
    <x v="1"/>
    <n v="0.19700000000000001"/>
    <x v="18"/>
    <x v="9"/>
    <n v="5"/>
    <n v="63"/>
    <n v="68"/>
    <x v="0"/>
    <x v="4"/>
    <x v="0"/>
    <x v="1"/>
  </r>
  <r>
    <n v="271"/>
    <x v="11"/>
    <x v="0"/>
    <n v="0"/>
    <x v="0"/>
    <x v="17"/>
    <x v="0"/>
    <n v="3"/>
    <x v="1"/>
    <n v="1"/>
    <x v="2"/>
    <n v="0.18179999999999999"/>
    <x v="19"/>
    <x v="11"/>
    <n v="0"/>
    <n v="139"/>
    <n v="139"/>
    <x v="0"/>
    <x v="4"/>
    <x v="0"/>
    <x v="1"/>
  </r>
  <r>
    <n v="272"/>
    <x v="11"/>
    <x v="0"/>
    <n v="0"/>
    <x v="0"/>
    <x v="18"/>
    <x v="0"/>
    <n v="3"/>
    <x v="1"/>
    <n v="1"/>
    <x v="2"/>
    <n v="0.1515"/>
    <x v="19"/>
    <x v="18"/>
    <n v="2"/>
    <n v="135"/>
    <n v="137"/>
    <x v="0"/>
    <x v="4"/>
    <x v="0"/>
    <x v="1"/>
  </r>
  <r>
    <n v="273"/>
    <x v="11"/>
    <x v="0"/>
    <n v="0"/>
    <x v="0"/>
    <x v="19"/>
    <x v="0"/>
    <n v="3"/>
    <x v="1"/>
    <n v="1"/>
    <x v="15"/>
    <n v="0.1515"/>
    <x v="19"/>
    <x v="12"/>
    <n v="1"/>
    <n v="82"/>
    <n v="83"/>
    <x v="0"/>
    <x v="4"/>
    <x v="0"/>
    <x v="1"/>
  </r>
  <r>
    <n v="274"/>
    <x v="11"/>
    <x v="0"/>
    <n v="0"/>
    <x v="0"/>
    <x v="20"/>
    <x v="0"/>
    <n v="3"/>
    <x v="1"/>
    <n v="1"/>
    <x v="13"/>
    <n v="0.13639999999999999"/>
    <x v="20"/>
    <x v="9"/>
    <n v="2"/>
    <n v="54"/>
    <n v="56"/>
    <x v="0"/>
    <x v="4"/>
    <x v="0"/>
    <x v="1"/>
  </r>
  <r>
    <n v="275"/>
    <x v="11"/>
    <x v="0"/>
    <n v="0"/>
    <x v="0"/>
    <x v="21"/>
    <x v="0"/>
    <n v="3"/>
    <x v="1"/>
    <n v="1"/>
    <x v="13"/>
    <n v="0.13639999999999999"/>
    <x v="28"/>
    <x v="9"/>
    <n v="0"/>
    <n v="57"/>
    <n v="57"/>
    <x v="0"/>
    <x v="4"/>
    <x v="0"/>
    <x v="1"/>
  </r>
  <r>
    <n v="276"/>
    <x v="11"/>
    <x v="0"/>
    <n v="0"/>
    <x v="0"/>
    <x v="22"/>
    <x v="0"/>
    <n v="3"/>
    <x v="1"/>
    <n v="1"/>
    <x v="13"/>
    <n v="0.1212"/>
    <x v="28"/>
    <x v="10"/>
    <n v="1"/>
    <n v="32"/>
    <n v="33"/>
    <x v="0"/>
    <x v="4"/>
    <x v="0"/>
    <x v="1"/>
  </r>
  <r>
    <n v="277"/>
    <x v="11"/>
    <x v="0"/>
    <n v="0"/>
    <x v="0"/>
    <x v="23"/>
    <x v="0"/>
    <n v="3"/>
    <x v="1"/>
    <n v="1"/>
    <x v="14"/>
    <n v="0.1061"/>
    <x v="29"/>
    <x v="12"/>
    <n v="1"/>
    <n v="19"/>
    <n v="20"/>
    <x v="0"/>
    <x v="4"/>
    <x v="0"/>
    <x v="1"/>
  </r>
  <r>
    <n v="278"/>
    <x v="12"/>
    <x v="0"/>
    <n v="0"/>
    <x v="0"/>
    <x v="0"/>
    <x v="0"/>
    <n v="4"/>
    <x v="1"/>
    <n v="1"/>
    <x v="14"/>
    <n v="0.1212"/>
    <x v="29"/>
    <x v="3"/>
    <n v="1"/>
    <n v="6"/>
    <n v="7"/>
    <x v="0"/>
    <x v="5"/>
    <x v="0"/>
    <x v="1"/>
  </r>
  <r>
    <n v="279"/>
    <x v="12"/>
    <x v="0"/>
    <n v="0"/>
    <x v="0"/>
    <x v="1"/>
    <x v="0"/>
    <n v="4"/>
    <x v="1"/>
    <n v="1"/>
    <x v="14"/>
    <n v="0.1212"/>
    <x v="20"/>
    <x v="3"/>
    <n v="0"/>
    <n v="2"/>
    <n v="2"/>
    <x v="0"/>
    <x v="5"/>
    <x v="0"/>
    <x v="1"/>
  </r>
  <r>
    <n v="280"/>
    <x v="12"/>
    <x v="0"/>
    <n v="0"/>
    <x v="0"/>
    <x v="2"/>
    <x v="0"/>
    <n v="4"/>
    <x v="1"/>
    <n v="1"/>
    <x v="14"/>
    <n v="0.1212"/>
    <x v="20"/>
    <x v="11"/>
    <n v="0"/>
    <n v="2"/>
    <n v="2"/>
    <x v="0"/>
    <x v="5"/>
    <x v="0"/>
    <x v="1"/>
  </r>
  <r>
    <n v="281"/>
    <x v="12"/>
    <x v="0"/>
    <n v="0"/>
    <x v="0"/>
    <x v="3"/>
    <x v="0"/>
    <n v="4"/>
    <x v="1"/>
    <n v="1"/>
    <x v="14"/>
    <n v="0.1212"/>
    <x v="20"/>
    <x v="9"/>
    <n v="0"/>
    <n v="3"/>
    <n v="3"/>
    <x v="0"/>
    <x v="5"/>
    <x v="0"/>
    <x v="1"/>
  </r>
  <r>
    <n v="282"/>
    <x v="12"/>
    <x v="0"/>
    <n v="0"/>
    <x v="0"/>
    <x v="4"/>
    <x v="0"/>
    <n v="4"/>
    <x v="1"/>
    <n v="1"/>
    <x v="14"/>
    <n v="0.1212"/>
    <x v="20"/>
    <x v="2"/>
    <n v="0"/>
    <n v="4"/>
    <n v="4"/>
    <x v="0"/>
    <x v="5"/>
    <x v="0"/>
    <x v="1"/>
  </r>
  <r>
    <n v="283"/>
    <x v="12"/>
    <x v="0"/>
    <n v="0"/>
    <x v="0"/>
    <x v="5"/>
    <x v="0"/>
    <n v="4"/>
    <x v="1"/>
    <n v="1"/>
    <x v="14"/>
    <n v="0.1212"/>
    <x v="20"/>
    <x v="4"/>
    <n v="0"/>
    <n v="3"/>
    <n v="3"/>
    <x v="0"/>
    <x v="5"/>
    <x v="0"/>
    <x v="1"/>
  </r>
  <r>
    <n v="284"/>
    <x v="12"/>
    <x v="0"/>
    <n v="0"/>
    <x v="0"/>
    <x v="6"/>
    <x v="0"/>
    <n v="4"/>
    <x v="1"/>
    <n v="1"/>
    <x v="16"/>
    <n v="0.1515"/>
    <x v="47"/>
    <x v="7"/>
    <n v="0"/>
    <n v="28"/>
    <n v="28"/>
    <x v="0"/>
    <x v="5"/>
    <x v="0"/>
    <x v="1"/>
  </r>
  <r>
    <n v="285"/>
    <x v="12"/>
    <x v="0"/>
    <n v="0"/>
    <x v="0"/>
    <x v="7"/>
    <x v="0"/>
    <n v="4"/>
    <x v="1"/>
    <n v="1"/>
    <x v="16"/>
    <n v="0.1515"/>
    <x v="47"/>
    <x v="7"/>
    <n v="0"/>
    <n v="72"/>
    <n v="72"/>
    <x v="0"/>
    <x v="5"/>
    <x v="0"/>
    <x v="1"/>
  </r>
  <r>
    <n v="286"/>
    <x v="12"/>
    <x v="0"/>
    <n v="0"/>
    <x v="0"/>
    <x v="8"/>
    <x v="0"/>
    <n v="4"/>
    <x v="1"/>
    <n v="1"/>
    <x v="14"/>
    <n v="0.13639999999999999"/>
    <x v="20"/>
    <x v="5"/>
    <n v="5"/>
    <n v="197"/>
    <n v="202"/>
    <x v="0"/>
    <x v="5"/>
    <x v="0"/>
    <x v="1"/>
  </r>
  <r>
    <n v="287"/>
    <x v="12"/>
    <x v="0"/>
    <n v="0"/>
    <x v="0"/>
    <x v="9"/>
    <x v="0"/>
    <n v="4"/>
    <x v="1"/>
    <n v="1"/>
    <x v="14"/>
    <n v="0.1212"/>
    <x v="20"/>
    <x v="9"/>
    <n v="2"/>
    <n v="137"/>
    <n v="139"/>
    <x v="0"/>
    <x v="5"/>
    <x v="0"/>
    <x v="1"/>
  </r>
  <r>
    <n v="288"/>
    <x v="12"/>
    <x v="0"/>
    <n v="0"/>
    <x v="0"/>
    <x v="10"/>
    <x v="0"/>
    <n v="4"/>
    <x v="1"/>
    <n v="2"/>
    <x v="13"/>
    <n v="0.13639999999999999"/>
    <x v="20"/>
    <x v="11"/>
    <n v="2"/>
    <n v="36"/>
    <n v="38"/>
    <x v="1"/>
    <x v="5"/>
    <x v="0"/>
    <x v="1"/>
  </r>
  <r>
    <n v="289"/>
    <x v="12"/>
    <x v="0"/>
    <n v="0"/>
    <x v="0"/>
    <x v="11"/>
    <x v="0"/>
    <n v="4"/>
    <x v="1"/>
    <n v="2"/>
    <x v="2"/>
    <n v="0.16669999999999999"/>
    <x v="18"/>
    <x v="10"/>
    <n v="4"/>
    <n v="33"/>
    <n v="37"/>
    <x v="1"/>
    <x v="5"/>
    <x v="0"/>
    <x v="1"/>
  </r>
  <r>
    <n v="290"/>
    <x v="12"/>
    <x v="0"/>
    <n v="0"/>
    <x v="0"/>
    <x v="12"/>
    <x v="0"/>
    <n v="4"/>
    <x v="1"/>
    <n v="1"/>
    <x v="2"/>
    <n v="0.16669999999999999"/>
    <x v="18"/>
    <x v="12"/>
    <n v="3"/>
    <n v="49"/>
    <n v="52"/>
    <x v="0"/>
    <x v="5"/>
    <x v="0"/>
    <x v="1"/>
  </r>
  <r>
    <n v="291"/>
    <x v="12"/>
    <x v="0"/>
    <n v="0"/>
    <x v="0"/>
    <x v="13"/>
    <x v="0"/>
    <n v="4"/>
    <x v="1"/>
    <n v="1"/>
    <x v="1"/>
    <n v="0.19700000000000001"/>
    <x v="48"/>
    <x v="10"/>
    <n v="2"/>
    <n v="81"/>
    <n v="83"/>
    <x v="0"/>
    <x v="5"/>
    <x v="0"/>
    <x v="1"/>
  </r>
  <r>
    <n v="292"/>
    <x v="12"/>
    <x v="0"/>
    <n v="0"/>
    <x v="0"/>
    <x v="14"/>
    <x v="0"/>
    <n v="4"/>
    <x v="1"/>
    <n v="1"/>
    <x v="1"/>
    <n v="0.19700000000000001"/>
    <x v="48"/>
    <x v="13"/>
    <n v="3"/>
    <n v="39"/>
    <n v="42"/>
    <x v="0"/>
    <x v="5"/>
    <x v="0"/>
    <x v="1"/>
  </r>
  <r>
    <n v="293"/>
    <x v="12"/>
    <x v="0"/>
    <n v="0"/>
    <x v="0"/>
    <x v="15"/>
    <x v="0"/>
    <n v="4"/>
    <x v="1"/>
    <n v="1"/>
    <x v="0"/>
    <n v="0.21210000000000001"/>
    <x v="41"/>
    <x v="4"/>
    <n v="5"/>
    <n v="55"/>
    <n v="60"/>
    <x v="0"/>
    <x v="5"/>
    <x v="0"/>
    <x v="1"/>
  </r>
  <r>
    <n v="294"/>
    <x v="12"/>
    <x v="0"/>
    <n v="0"/>
    <x v="0"/>
    <x v="16"/>
    <x v="0"/>
    <n v="4"/>
    <x v="1"/>
    <n v="1"/>
    <x v="0"/>
    <n v="0.21210000000000001"/>
    <x v="41"/>
    <x v="11"/>
    <n v="2"/>
    <n v="76"/>
    <n v="78"/>
    <x v="0"/>
    <x v="5"/>
    <x v="0"/>
    <x v="1"/>
  </r>
  <r>
    <n v="295"/>
    <x v="12"/>
    <x v="0"/>
    <n v="0"/>
    <x v="0"/>
    <x v="17"/>
    <x v="0"/>
    <n v="4"/>
    <x v="1"/>
    <n v="1"/>
    <x v="2"/>
    <n v="0.18179999999999999"/>
    <x v="22"/>
    <x v="3"/>
    <n v="4"/>
    <n v="158"/>
    <n v="162"/>
    <x v="0"/>
    <x v="5"/>
    <x v="0"/>
    <x v="1"/>
  </r>
  <r>
    <n v="296"/>
    <x v="12"/>
    <x v="0"/>
    <n v="0"/>
    <x v="0"/>
    <x v="18"/>
    <x v="0"/>
    <n v="4"/>
    <x v="1"/>
    <n v="1"/>
    <x v="2"/>
    <n v="0.18179999999999999"/>
    <x v="22"/>
    <x v="9"/>
    <n v="3"/>
    <n v="141"/>
    <n v="144"/>
    <x v="0"/>
    <x v="5"/>
    <x v="0"/>
    <x v="1"/>
  </r>
  <r>
    <n v="297"/>
    <x v="12"/>
    <x v="0"/>
    <n v="0"/>
    <x v="0"/>
    <x v="19"/>
    <x v="0"/>
    <n v="4"/>
    <x v="1"/>
    <n v="1"/>
    <x v="13"/>
    <n v="0.1515"/>
    <x v="19"/>
    <x v="2"/>
    <n v="1"/>
    <n v="98"/>
    <n v="99"/>
    <x v="0"/>
    <x v="5"/>
    <x v="0"/>
    <x v="1"/>
  </r>
  <r>
    <n v="298"/>
    <x v="12"/>
    <x v="0"/>
    <n v="0"/>
    <x v="0"/>
    <x v="20"/>
    <x v="0"/>
    <n v="4"/>
    <x v="1"/>
    <n v="1"/>
    <x v="13"/>
    <n v="0.1515"/>
    <x v="19"/>
    <x v="6"/>
    <n v="0"/>
    <n v="64"/>
    <n v="64"/>
    <x v="0"/>
    <x v="5"/>
    <x v="0"/>
    <x v="1"/>
  </r>
  <r>
    <n v="299"/>
    <x v="12"/>
    <x v="0"/>
    <n v="0"/>
    <x v="0"/>
    <x v="21"/>
    <x v="0"/>
    <n v="4"/>
    <x v="1"/>
    <n v="1"/>
    <x v="14"/>
    <n v="0.1212"/>
    <x v="15"/>
    <x v="4"/>
    <n v="0"/>
    <n v="40"/>
    <n v="40"/>
    <x v="0"/>
    <x v="5"/>
    <x v="0"/>
    <x v="1"/>
  </r>
  <r>
    <n v="300"/>
    <x v="12"/>
    <x v="0"/>
    <n v="0"/>
    <x v="0"/>
    <x v="22"/>
    <x v="0"/>
    <n v="4"/>
    <x v="1"/>
    <n v="1"/>
    <x v="14"/>
    <n v="0.1212"/>
    <x v="15"/>
    <x v="9"/>
    <n v="0"/>
    <n v="30"/>
    <n v="30"/>
    <x v="0"/>
    <x v="5"/>
    <x v="0"/>
    <x v="1"/>
  </r>
  <r>
    <n v="301"/>
    <x v="12"/>
    <x v="0"/>
    <n v="0"/>
    <x v="0"/>
    <x v="23"/>
    <x v="0"/>
    <n v="4"/>
    <x v="1"/>
    <n v="1"/>
    <x v="16"/>
    <n v="0.13639999999999999"/>
    <x v="20"/>
    <x v="5"/>
    <n v="1"/>
    <n v="14"/>
    <n v="15"/>
    <x v="0"/>
    <x v="5"/>
    <x v="0"/>
    <x v="1"/>
  </r>
  <r>
    <n v="302"/>
    <x v="13"/>
    <x v="0"/>
    <n v="0"/>
    <x v="0"/>
    <x v="0"/>
    <x v="0"/>
    <n v="5"/>
    <x v="1"/>
    <n v="1"/>
    <x v="16"/>
    <n v="0.13639999999999999"/>
    <x v="20"/>
    <x v="5"/>
    <n v="0"/>
    <n v="14"/>
    <n v="14"/>
    <x v="0"/>
    <x v="6"/>
    <x v="0"/>
    <x v="1"/>
  </r>
  <r>
    <n v="303"/>
    <x v="13"/>
    <x v="0"/>
    <n v="0"/>
    <x v="0"/>
    <x v="1"/>
    <x v="0"/>
    <n v="5"/>
    <x v="1"/>
    <n v="1"/>
    <x v="18"/>
    <n v="0.1212"/>
    <x v="47"/>
    <x v="8"/>
    <n v="0"/>
    <n v="5"/>
    <n v="5"/>
    <x v="0"/>
    <x v="6"/>
    <x v="0"/>
    <x v="1"/>
  </r>
  <r>
    <n v="304"/>
    <x v="13"/>
    <x v="0"/>
    <n v="0"/>
    <x v="0"/>
    <x v="2"/>
    <x v="0"/>
    <n v="5"/>
    <x v="1"/>
    <n v="1"/>
    <x v="18"/>
    <n v="0.1212"/>
    <x v="47"/>
    <x v="7"/>
    <n v="0"/>
    <n v="1"/>
    <n v="1"/>
    <x v="0"/>
    <x v="6"/>
    <x v="0"/>
    <x v="1"/>
  </r>
  <r>
    <n v="305"/>
    <x v="13"/>
    <x v="0"/>
    <n v="0"/>
    <x v="0"/>
    <x v="3"/>
    <x v="0"/>
    <n v="5"/>
    <x v="1"/>
    <n v="1"/>
    <x v="18"/>
    <n v="0.13639999999999999"/>
    <x v="47"/>
    <x v="14"/>
    <n v="0"/>
    <n v="1"/>
    <n v="1"/>
    <x v="0"/>
    <x v="6"/>
    <x v="0"/>
    <x v="1"/>
  </r>
  <r>
    <n v="306"/>
    <x v="13"/>
    <x v="0"/>
    <n v="0"/>
    <x v="0"/>
    <x v="5"/>
    <x v="0"/>
    <n v="5"/>
    <x v="1"/>
    <n v="1"/>
    <x v="18"/>
    <n v="0.13639999999999999"/>
    <x v="47"/>
    <x v="1"/>
    <n v="0"/>
    <n v="8"/>
    <n v="8"/>
    <x v="0"/>
    <x v="6"/>
    <x v="0"/>
    <x v="1"/>
  </r>
  <r>
    <n v="307"/>
    <x v="13"/>
    <x v="0"/>
    <n v="0"/>
    <x v="0"/>
    <x v="6"/>
    <x v="0"/>
    <n v="5"/>
    <x v="1"/>
    <n v="1"/>
    <x v="18"/>
    <n v="0.18179999999999999"/>
    <x v="47"/>
    <x v="0"/>
    <n v="0"/>
    <n v="17"/>
    <n v="17"/>
    <x v="0"/>
    <x v="6"/>
    <x v="0"/>
    <x v="1"/>
  </r>
  <r>
    <n v="308"/>
    <x v="13"/>
    <x v="0"/>
    <n v="0"/>
    <x v="0"/>
    <x v="7"/>
    <x v="0"/>
    <n v="5"/>
    <x v="1"/>
    <n v="1"/>
    <x v="18"/>
    <n v="0.1212"/>
    <x v="32"/>
    <x v="8"/>
    <n v="0"/>
    <n v="70"/>
    <n v="70"/>
    <x v="0"/>
    <x v="6"/>
    <x v="0"/>
    <x v="1"/>
  </r>
  <r>
    <n v="309"/>
    <x v="13"/>
    <x v="0"/>
    <n v="0"/>
    <x v="0"/>
    <x v="8"/>
    <x v="0"/>
    <n v="5"/>
    <x v="1"/>
    <n v="1"/>
    <x v="16"/>
    <n v="0.16669999999999999"/>
    <x v="31"/>
    <x v="0"/>
    <n v="2"/>
    <n v="156"/>
    <n v="158"/>
    <x v="0"/>
    <x v="6"/>
    <x v="0"/>
    <x v="1"/>
  </r>
  <r>
    <n v="310"/>
    <x v="13"/>
    <x v="0"/>
    <n v="0"/>
    <x v="0"/>
    <x v="9"/>
    <x v="0"/>
    <n v="5"/>
    <x v="1"/>
    <n v="1"/>
    <x v="14"/>
    <n v="0.1515"/>
    <x v="27"/>
    <x v="7"/>
    <n v="0"/>
    <n v="117"/>
    <n v="117"/>
    <x v="0"/>
    <x v="6"/>
    <x v="0"/>
    <x v="1"/>
  </r>
  <r>
    <n v="311"/>
    <x v="13"/>
    <x v="0"/>
    <n v="0"/>
    <x v="0"/>
    <x v="10"/>
    <x v="0"/>
    <n v="5"/>
    <x v="1"/>
    <n v="1"/>
    <x v="15"/>
    <n v="0.18179999999999999"/>
    <x v="28"/>
    <x v="5"/>
    <n v="4"/>
    <n v="40"/>
    <n v="44"/>
    <x v="0"/>
    <x v="6"/>
    <x v="0"/>
    <x v="1"/>
  </r>
  <r>
    <n v="312"/>
    <x v="13"/>
    <x v="0"/>
    <n v="0"/>
    <x v="0"/>
    <x v="11"/>
    <x v="0"/>
    <n v="5"/>
    <x v="1"/>
    <n v="1"/>
    <x v="15"/>
    <n v="0.16669999999999999"/>
    <x v="33"/>
    <x v="3"/>
    <n v="6"/>
    <n v="47"/>
    <n v="53"/>
    <x v="0"/>
    <x v="6"/>
    <x v="0"/>
    <x v="1"/>
  </r>
  <r>
    <n v="313"/>
    <x v="13"/>
    <x v="0"/>
    <n v="0"/>
    <x v="0"/>
    <x v="12"/>
    <x v="0"/>
    <n v="5"/>
    <x v="1"/>
    <n v="1"/>
    <x v="2"/>
    <n v="0.19700000000000001"/>
    <x v="18"/>
    <x v="2"/>
    <n v="2"/>
    <n v="59"/>
    <n v="61"/>
    <x v="0"/>
    <x v="6"/>
    <x v="0"/>
    <x v="1"/>
  </r>
  <r>
    <n v="314"/>
    <x v="13"/>
    <x v="0"/>
    <n v="0"/>
    <x v="0"/>
    <x v="13"/>
    <x v="0"/>
    <n v="5"/>
    <x v="1"/>
    <n v="1"/>
    <x v="1"/>
    <n v="0.19700000000000001"/>
    <x v="38"/>
    <x v="13"/>
    <n v="4"/>
    <n v="73"/>
    <n v="77"/>
    <x v="0"/>
    <x v="6"/>
    <x v="0"/>
    <x v="1"/>
  </r>
  <r>
    <n v="315"/>
    <x v="13"/>
    <x v="0"/>
    <n v="0"/>
    <x v="0"/>
    <x v="14"/>
    <x v="0"/>
    <n v="5"/>
    <x v="1"/>
    <n v="1"/>
    <x v="1"/>
    <n v="0.21210000000000001"/>
    <x v="48"/>
    <x v="3"/>
    <n v="5"/>
    <n v="59"/>
    <n v="64"/>
    <x v="0"/>
    <x v="6"/>
    <x v="0"/>
    <x v="1"/>
  </r>
  <r>
    <n v="316"/>
    <x v="13"/>
    <x v="0"/>
    <n v="0"/>
    <x v="0"/>
    <x v="15"/>
    <x v="0"/>
    <n v="5"/>
    <x v="1"/>
    <n v="1"/>
    <x v="0"/>
    <n v="0.2424"/>
    <x v="41"/>
    <x v="8"/>
    <n v="9"/>
    <n v="59"/>
    <n v="68"/>
    <x v="0"/>
    <x v="6"/>
    <x v="0"/>
    <x v="1"/>
  </r>
  <r>
    <n v="317"/>
    <x v="13"/>
    <x v="0"/>
    <n v="0"/>
    <x v="0"/>
    <x v="16"/>
    <x v="0"/>
    <n v="5"/>
    <x v="1"/>
    <n v="1"/>
    <x v="1"/>
    <n v="0.2424"/>
    <x v="48"/>
    <x v="14"/>
    <n v="3"/>
    <n v="87"/>
    <n v="90"/>
    <x v="0"/>
    <x v="6"/>
    <x v="0"/>
    <x v="1"/>
  </r>
  <r>
    <n v="318"/>
    <x v="13"/>
    <x v="0"/>
    <n v="0"/>
    <x v="0"/>
    <x v="17"/>
    <x v="0"/>
    <n v="5"/>
    <x v="1"/>
    <n v="1"/>
    <x v="1"/>
    <n v="0.2273"/>
    <x v="48"/>
    <x v="8"/>
    <n v="4"/>
    <n v="155"/>
    <n v="159"/>
    <x v="0"/>
    <x v="6"/>
    <x v="0"/>
    <x v="1"/>
  </r>
  <r>
    <n v="319"/>
    <x v="13"/>
    <x v="0"/>
    <n v="0"/>
    <x v="0"/>
    <x v="18"/>
    <x v="0"/>
    <n v="5"/>
    <x v="1"/>
    <n v="1"/>
    <x v="2"/>
    <n v="0.2576"/>
    <x v="19"/>
    <x v="0"/>
    <n v="5"/>
    <n v="134"/>
    <n v="139"/>
    <x v="0"/>
    <x v="6"/>
    <x v="0"/>
    <x v="1"/>
  </r>
  <r>
    <n v="320"/>
    <x v="13"/>
    <x v="0"/>
    <n v="0"/>
    <x v="0"/>
    <x v="19"/>
    <x v="0"/>
    <n v="5"/>
    <x v="1"/>
    <n v="1"/>
    <x v="13"/>
    <n v="0.19700000000000001"/>
    <x v="29"/>
    <x v="1"/>
    <n v="3"/>
    <n v="89"/>
    <n v="92"/>
    <x v="0"/>
    <x v="6"/>
    <x v="0"/>
    <x v="1"/>
  </r>
  <r>
    <n v="321"/>
    <x v="13"/>
    <x v="0"/>
    <n v="0"/>
    <x v="0"/>
    <x v="20"/>
    <x v="0"/>
    <n v="5"/>
    <x v="1"/>
    <n v="1"/>
    <x v="15"/>
    <n v="0.2424"/>
    <x v="29"/>
    <x v="0"/>
    <n v="0"/>
    <n v="68"/>
    <n v="68"/>
    <x v="0"/>
    <x v="6"/>
    <x v="0"/>
    <x v="1"/>
  </r>
  <r>
    <n v="322"/>
    <x v="13"/>
    <x v="0"/>
    <n v="0"/>
    <x v="0"/>
    <x v="21"/>
    <x v="0"/>
    <n v="5"/>
    <x v="1"/>
    <n v="1"/>
    <x v="13"/>
    <n v="0.2273"/>
    <x v="27"/>
    <x v="0"/>
    <n v="4"/>
    <n v="48"/>
    <n v="52"/>
    <x v="0"/>
    <x v="6"/>
    <x v="0"/>
    <x v="1"/>
  </r>
  <r>
    <n v="323"/>
    <x v="13"/>
    <x v="0"/>
    <n v="0"/>
    <x v="0"/>
    <x v="22"/>
    <x v="0"/>
    <n v="5"/>
    <x v="1"/>
    <n v="2"/>
    <x v="13"/>
    <n v="0.2273"/>
    <x v="27"/>
    <x v="0"/>
    <n v="2"/>
    <n v="34"/>
    <n v="36"/>
    <x v="1"/>
    <x v="6"/>
    <x v="0"/>
    <x v="1"/>
  </r>
  <r>
    <n v="324"/>
    <x v="13"/>
    <x v="0"/>
    <n v="0"/>
    <x v="0"/>
    <x v="23"/>
    <x v="0"/>
    <n v="5"/>
    <x v="1"/>
    <n v="2"/>
    <x v="15"/>
    <n v="0.2424"/>
    <x v="28"/>
    <x v="0"/>
    <n v="1"/>
    <n v="26"/>
    <n v="27"/>
    <x v="1"/>
    <x v="6"/>
    <x v="0"/>
    <x v="1"/>
  </r>
  <r>
    <n v="325"/>
    <x v="14"/>
    <x v="0"/>
    <n v="0"/>
    <x v="0"/>
    <x v="0"/>
    <x v="0"/>
    <n v="6"/>
    <x v="0"/>
    <n v="1"/>
    <x v="15"/>
    <n v="0.2424"/>
    <x v="28"/>
    <x v="0"/>
    <n v="3"/>
    <n v="25"/>
    <n v="28"/>
    <x v="0"/>
    <x v="0"/>
    <x v="0"/>
    <x v="0"/>
  </r>
  <r>
    <n v="326"/>
    <x v="14"/>
    <x v="0"/>
    <n v="0"/>
    <x v="0"/>
    <x v="1"/>
    <x v="0"/>
    <n v="6"/>
    <x v="0"/>
    <n v="2"/>
    <x v="13"/>
    <n v="0.19700000000000001"/>
    <x v="29"/>
    <x v="1"/>
    <n v="2"/>
    <n v="18"/>
    <n v="20"/>
    <x v="1"/>
    <x v="0"/>
    <x v="0"/>
    <x v="0"/>
  </r>
  <r>
    <n v="327"/>
    <x v="14"/>
    <x v="0"/>
    <n v="0"/>
    <x v="0"/>
    <x v="2"/>
    <x v="0"/>
    <n v="6"/>
    <x v="0"/>
    <n v="2"/>
    <x v="13"/>
    <n v="0.19700000000000001"/>
    <x v="29"/>
    <x v="1"/>
    <n v="0"/>
    <n v="12"/>
    <n v="12"/>
    <x v="1"/>
    <x v="0"/>
    <x v="0"/>
    <x v="0"/>
  </r>
  <r>
    <n v="328"/>
    <x v="14"/>
    <x v="0"/>
    <n v="0"/>
    <x v="0"/>
    <x v="3"/>
    <x v="0"/>
    <n v="6"/>
    <x v="0"/>
    <n v="2"/>
    <x v="13"/>
    <n v="0.2273"/>
    <x v="29"/>
    <x v="0"/>
    <n v="1"/>
    <n v="7"/>
    <n v="8"/>
    <x v="1"/>
    <x v="0"/>
    <x v="0"/>
    <x v="0"/>
  </r>
  <r>
    <n v="329"/>
    <x v="14"/>
    <x v="0"/>
    <n v="0"/>
    <x v="0"/>
    <x v="4"/>
    <x v="0"/>
    <n v="6"/>
    <x v="0"/>
    <n v="2"/>
    <x v="13"/>
    <n v="0.2273"/>
    <x v="29"/>
    <x v="0"/>
    <n v="0"/>
    <n v="5"/>
    <n v="5"/>
    <x v="1"/>
    <x v="0"/>
    <x v="0"/>
    <x v="0"/>
  </r>
  <r>
    <n v="330"/>
    <x v="14"/>
    <x v="0"/>
    <n v="0"/>
    <x v="0"/>
    <x v="5"/>
    <x v="0"/>
    <n v="6"/>
    <x v="0"/>
    <n v="1"/>
    <x v="13"/>
    <n v="0.2273"/>
    <x v="29"/>
    <x v="0"/>
    <n v="0"/>
    <n v="1"/>
    <n v="1"/>
    <x v="0"/>
    <x v="0"/>
    <x v="0"/>
    <x v="0"/>
  </r>
  <r>
    <n v="331"/>
    <x v="14"/>
    <x v="0"/>
    <n v="0"/>
    <x v="0"/>
    <x v="6"/>
    <x v="0"/>
    <n v="6"/>
    <x v="0"/>
    <n v="1"/>
    <x v="14"/>
    <n v="0.16669999999999999"/>
    <x v="30"/>
    <x v="14"/>
    <n v="1"/>
    <n v="2"/>
    <n v="3"/>
    <x v="0"/>
    <x v="0"/>
    <x v="0"/>
    <x v="0"/>
  </r>
  <r>
    <n v="332"/>
    <x v="14"/>
    <x v="0"/>
    <n v="0"/>
    <x v="0"/>
    <x v="7"/>
    <x v="0"/>
    <n v="6"/>
    <x v="0"/>
    <n v="1"/>
    <x v="14"/>
    <n v="0.21210000000000001"/>
    <x v="30"/>
    <x v="0"/>
    <n v="1"/>
    <n v="9"/>
    <n v="10"/>
    <x v="0"/>
    <x v="0"/>
    <x v="0"/>
    <x v="0"/>
  </r>
  <r>
    <n v="333"/>
    <x v="14"/>
    <x v="0"/>
    <n v="0"/>
    <x v="0"/>
    <x v="8"/>
    <x v="0"/>
    <n v="6"/>
    <x v="0"/>
    <n v="1"/>
    <x v="14"/>
    <n v="0.1515"/>
    <x v="30"/>
    <x v="7"/>
    <n v="1"/>
    <n v="22"/>
    <n v="23"/>
    <x v="0"/>
    <x v="0"/>
    <x v="0"/>
    <x v="0"/>
  </r>
  <r>
    <n v="334"/>
    <x v="14"/>
    <x v="0"/>
    <n v="0"/>
    <x v="0"/>
    <x v="9"/>
    <x v="0"/>
    <n v="6"/>
    <x v="0"/>
    <n v="1"/>
    <x v="13"/>
    <n v="0.18179999999999999"/>
    <x v="26"/>
    <x v="7"/>
    <n v="2"/>
    <n v="31"/>
    <n v="33"/>
    <x v="0"/>
    <x v="0"/>
    <x v="0"/>
    <x v="0"/>
  </r>
  <r>
    <n v="335"/>
    <x v="14"/>
    <x v="0"/>
    <n v="0"/>
    <x v="0"/>
    <x v="10"/>
    <x v="0"/>
    <n v="6"/>
    <x v="0"/>
    <n v="1"/>
    <x v="15"/>
    <n v="0.19700000000000001"/>
    <x v="29"/>
    <x v="8"/>
    <n v="2"/>
    <n v="57"/>
    <n v="59"/>
    <x v="0"/>
    <x v="0"/>
    <x v="0"/>
    <x v="0"/>
  </r>
  <r>
    <n v="336"/>
    <x v="14"/>
    <x v="0"/>
    <n v="0"/>
    <x v="0"/>
    <x v="11"/>
    <x v="0"/>
    <n v="6"/>
    <x v="0"/>
    <n v="1"/>
    <x v="2"/>
    <n v="0.19700000000000001"/>
    <x v="28"/>
    <x v="6"/>
    <n v="18"/>
    <n v="54"/>
    <n v="72"/>
    <x v="0"/>
    <x v="0"/>
    <x v="0"/>
    <x v="0"/>
  </r>
  <r>
    <n v="337"/>
    <x v="14"/>
    <x v="0"/>
    <n v="0"/>
    <x v="0"/>
    <x v="12"/>
    <x v="0"/>
    <n v="6"/>
    <x v="0"/>
    <n v="1"/>
    <x v="0"/>
    <n v="0.2273"/>
    <x v="37"/>
    <x v="6"/>
    <n v="15"/>
    <n v="74"/>
    <n v="89"/>
    <x v="0"/>
    <x v="0"/>
    <x v="0"/>
    <x v="0"/>
  </r>
  <r>
    <n v="338"/>
    <x v="14"/>
    <x v="0"/>
    <n v="0"/>
    <x v="0"/>
    <x v="13"/>
    <x v="0"/>
    <n v="6"/>
    <x v="0"/>
    <n v="1"/>
    <x v="17"/>
    <n v="0.2576"/>
    <x v="41"/>
    <x v="4"/>
    <n v="21"/>
    <n v="80"/>
    <n v="101"/>
    <x v="0"/>
    <x v="0"/>
    <x v="0"/>
    <x v="0"/>
  </r>
  <r>
    <n v="339"/>
    <x v="14"/>
    <x v="0"/>
    <n v="0"/>
    <x v="0"/>
    <x v="14"/>
    <x v="0"/>
    <n v="6"/>
    <x v="0"/>
    <n v="1"/>
    <x v="11"/>
    <n v="0.28789999999999999"/>
    <x v="17"/>
    <x v="3"/>
    <n v="26"/>
    <n v="92"/>
    <n v="118"/>
    <x v="0"/>
    <x v="0"/>
    <x v="0"/>
    <x v="0"/>
  </r>
  <r>
    <n v="340"/>
    <x v="14"/>
    <x v="0"/>
    <n v="0"/>
    <x v="0"/>
    <x v="15"/>
    <x v="0"/>
    <n v="6"/>
    <x v="0"/>
    <n v="2"/>
    <x v="3"/>
    <n v="0.31819999999999998"/>
    <x v="42"/>
    <x v="5"/>
    <n v="21"/>
    <n v="108"/>
    <n v="129"/>
    <x v="1"/>
    <x v="0"/>
    <x v="0"/>
    <x v="0"/>
  </r>
  <r>
    <n v="341"/>
    <x v="14"/>
    <x v="0"/>
    <n v="0"/>
    <x v="0"/>
    <x v="16"/>
    <x v="0"/>
    <n v="6"/>
    <x v="0"/>
    <n v="2"/>
    <x v="10"/>
    <n v="0.33329999999999999"/>
    <x v="46"/>
    <x v="5"/>
    <n v="33"/>
    <n v="95"/>
    <n v="128"/>
    <x v="1"/>
    <x v="0"/>
    <x v="0"/>
    <x v="0"/>
  </r>
  <r>
    <n v="342"/>
    <x v="14"/>
    <x v="0"/>
    <n v="0"/>
    <x v="0"/>
    <x v="17"/>
    <x v="0"/>
    <n v="6"/>
    <x v="0"/>
    <n v="2"/>
    <x v="3"/>
    <n v="0.30299999999999999"/>
    <x v="42"/>
    <x v="3"/>
    <n v="29"/>
    <n v="54"/>
    <n v="83"/>
    <x v="1"/>
    <x v="0"/>
    <x v="0"/>
    <x v="0"/>
  </r>
  <r>
    <n v="343"/>
    <x v="14"/>
    <x v="0"/>
    <n v="0"/>
    <x v="0"/>
    <x v="18"/>
    <x v="0"/>
    <n v="6"/>
    <x v="0"/>
    <n v="2"/>
    <x v="11"/>
    <n v="0.28789999999999999"/>
    <x v="49"/>
    <x v="2"/>
    <n v="15"/>
    <n v="69"/>
    <n v="84"/>
    <x v="1"/>
    <x v="0"/>
    <x v="0"/>
    <x v="0"/>
  </r>
  <r>
    <n v="344"/>
    <x v="14"/>
    <x v="0"/>
    <n v="0"/>
    <x v="0"/>
    <x v="19"/>
    <x v="0"/>
    <n v="6"/>
    <x v="0"/>
    <n v="2"/>
    <x v="3"/>
    <n v="0.30299999999999999"/>
    <x v="17"/>
    <x v="2"/>
    <n v="14"/>
    <n v="60"/>
    <n v="74"/>
    <x v="1"/>
    <x v="0"/>
    <x v="0"/>
    <x v="0"/>
  </r>
  <r>
    <n v="345"/>
    <x v="14"/>
    <x v="0"/>
    <n v="0"/>
    <x v="0"/>
    <x v="20"/>
    <x v="0"/>
    <n v="6"/>
    <x v="0"/>
    <n v="2"/>
    <x v="3"/>
    <n v="0.30299999999999999"/>
    <x v="17"/>
    <x v="2"/>
    <n v="6"/>
    <n v="35"/>
    <n v="41"/>
    <x v="1"/>
    <x v="0"/>
    <x v="0"/>
    <x v="0"/>
  </r>
  <r>
    <n v="346"/>
    <x v="14"/>
    <x v="0"/>
    <n v="0"/>
    <x v="0"/>
    <x v="21"/>
    <x v="0"/>
    <n v="6"/>
    <x v="0"/>
    <n v="2"/>
    <x v="3"/>
    <n v="0.30299999999999999"/>
    <x v="17"/>
    <x v="6"/>
    <n v="6"/>
    <n v="51"/>
    <n v="57"/>
    <x v="1"/>
    <x v="0"/>
    <x v="0"/>
    <x v="0"/>
  </r>
  <r>
    <n v="347"/>
    <x v="14"/>
    <x v="0"/>
    <n v="0"/>
    <x v="0"/>
    <x v="22"/>
    <x v="0"/>
    <n v="6"/>
    <x v="0"/>
    <n v="2"/>
    <x v="11"/>
    <n v="0.31819999999999998"/>
    <x v="16"/>
    <x v="14"/>
    <n v="0"/>
    <n v="26"/>
    <n v="26"/>
    <x v="1"/>
    <x v="0"/>
    <x v="0"/>
    <x v="0"/>
  </r>
  <r>
    <n v="348"/>
    <x v="14"/>
    <x v="0"/>
    <n v="0"/>
    <x v="0"/>
    <x v="23"/>
    <x v="0"/>
    <n v="6"/>
    <x v="0"/>
    <n v="1"/>
    <x v="11"/>
    <n v="0.28789999999999999"/>
    <x v="49"/>
    <x v="3"/>
    <n v="5"/>
    <n v="39"/>
    <n v="44"/>
    <x v="0"/>
    <x v="0"/>
    <x v="0"/>
    <x v="0"/>
  </r>
  <r>
    <n v="349"/>
    <x v="15"/>
    <x v="0"/>
    <n v="0"/>
    <x v="0"/>
    <x v="0"/>
    <x v="0"/>
    <n v="0"/>
    <x v="0"/>
    <n v="1"/>
    <x v="12"/>
    <n v="0.30299999999999999"/>
    <x v="34"/>
    <x v="0"/>
    <n v="6"/>
    <n v="33"/>
    <n v="39"/>
    <x v="0"/>
    <x v="1"/>
    <x v="0"/>
    <x v="0"/>
  </r>
  <r>
    <n v="350"/>
    <x v="15"/>
    <x v="0"/>
    <n v="0"/>
    <x v="0"/>
    <x v="1"/>
    <x v="0"/>
    <n v="0"/>
    <x v="0"/>
    <n v="1"/>
    <x v="12"/>
    <n v="0.2727"/>
    <x v="34"/>
    <x v="7"/>
    <n v="4"/>
    <n v="19"/>
    <n v="23"/>
    <x v="0"/>
    <x v="1"/>
    <x v="0"/>
    <x v="0"/>
  </r>
  <r>
    <n v="351"/>
    <x v="15"/>
    <x v="0"/>
    <n v="0"/>
    <x v="0"/>
    <x v="2"/>
    <x v="0"/>
    <n v="0"/>
    <x v="0"/>
    <n v="1"/>
    <x v="12"/>
    <n v="0.28789999999999999"/>
    <x v="34"/>
    <x v="1"/>
    <n v="3"/>
    <n v="13"/>
    <n v="16"/>
    <x v="0"/>
    <x v="1"/>
    <x v="0"/>
    <x v="0"/>
  </r>
  <r>
    <n v="352"/>
    <x v="15"/>
    <x v="0"/>
    <n v="0"/>
    <x v="0"/>
    <x v="3"/>
    <x v="0"/>
    <n v="0"/>
    <x v="0"/>
    <n v="1"/>
    <x v="1"/>
    <n v="0.2727"/>
    <x v="27"/>
    <x v="0"/>
    <n v="9"/>
    <n v="6"/>
    <n v="15"/>
    <x v="0"/>
    <x v="1"/>
    <x v="0"/>
    <x v="0"/>
  </r>
  <r>
    <n v="353"/>
    <x v="15"/>
    <x v="0"/>
    <n v="0"/>
    <x v="0"/>
    <x v="4"/>
    <x v="0"/>
    <n v="0"/>
    <x v="0"/>
    <n v="1"/>
    <x v="12"/>
    <n v="0.2576"/>
    <x v="34"/>
    <x v="8"/>
    <n v="0"/>
    <n v="1"/>
    <n v="1"/>
    <x v="0"/>
    <x v="1"/>
    <x v="0"/>
    <x v="0"/>
  </r>
  <r>
    <n v="354"/>
    <x v="15"/>
    <x v="0"/>
    <n v="0"/>
    <x v="0"/>
    <x v="5"/>
    <x v="0"/>
    <n v="0"/>
    <x v="0"/>
    <n v="2"/>
    <x v="12"/>
    <n v="0.2576"/>
    <x v="34"/>
    <x v="8"/>
    <n v="1"/>
    <n v="1"/>
    <n v="2"/>
    <x v="1"/>
    <x v="1"/>
    <x v="0"/>
    <x v="0"/>
  </r>
  <r>
    <n v="355"/>
    <x v="15"/>
    <x v="0"/>
    <n v="0"/>
    <x v="0"/>
    <x v="6"/>
    <x v="0"/>
    <n v="0"/>
    <x v="0"/>
    <n v="2"/>
    <x v="12"/>
    <n v="0.2576"/>
    <x v="34"/>
    <x v="8"/>
    <n v="0"/>
    <n v="1"/>
    <n v="1"/>
    <x v="1"/>
    <x v="1"/>
    <x v="0"/>
    <x v="0"/>
  </r>
  <r>
    <n v="356"/>
    <x v="15"/>
    <x v="0"/>
    <n v="0"/>
    <x v="0"/>
    <x v="7"/>
    <x v="0"/>
    <n v="0"/>
    <x v="0"/>
    <n v="2"/>
    <x v="0"/>
    <n v="0.21210000000000001"/>
    <x v="34"/>
    <x v="4"/>
    <n v="0"/>
    <n v="3"/>
    <n v="3"/>
    <x v="1"/>
    <x v="1"/>
    <x v="0"/>
    <x v="0"/>
  </r>
  <r>
    <n v="357"/>
    <x v="15"/>
    <x v="0"/>
    <n v="0"/>
    <x v="0"/>
    <x v="8"/>
    <x v="0"/>
    <n v="0"/>
    <x v="0"/>
    <n v="1"/>
    <x v="1"/>
    <n v="0.21210000000000001"/>
    <x v="28"/>
    <x v="3"/>
    <n v="0"/>
    <n v="18"/>
    <n v="18"/>
    <x v="0"/>
    <x v="1"/>
    <x v="0"/>
    <x v="0"/>
  </r>
  <r>
    <n v="358"/>
    <x v="15"/>
    <x v="0"/>
    <n v="0"/>
    <x v="0"/>
    <x v="9"/>
    <x v="0"/>
    <n v="0"/>
    <x v="0"/>
    <n v="1"/>
    <x v="1"/>
    <n v="0.21210000000000001"/>
    <x v="33"/>
    <x v="2"/>
    <n v="3"/>
    <n v="29"/>
    <n v="32"/>
    <x v="0"/>
    <x v="1"/>
    <x v="0"/>
    <x v="0"/>
  </r>
  <r>
    <n v="359"/>
    <x v="15"/>
    <x v="0"/>
    <n v="0"/>
    <x v="0"/>
    <x v="10"/>
    <x v="0"/>
    <n v="0"/>
    <x v="0"/>
    <n v="1"/>
    <x v="1"/>
    <n v="0.21210000000000001"/>
    <x v="33"/>
    <x v="3"/>
    <n v="8"/>
    <n v="71"/>
    <n v="79"/>
    <x v="0"/>
    <x v="1"/>
    <x v="0"/>
    <x v="0"/>
  </r>
  <r>
    <n v="360"/>
    <x v="15"/>
    <x v="0"/>
    <n v="0"/>
    <x v="0"/>
    <x v="11"/>
    <x v="0"/>
    <n v="0"/>
    <x v="0"/>
    <n v="1"/>
    <x v="0"/>
    <n v="0.2273"/>
    <x v="18"/>
    <x v="2"/>
    <n v="23"/>
    <n v="70"/>
    <n v="93"/>
    <x v="0"/>
    <x v="1"/>
    <x v="0"/>
    <x v="0"/>
  </r>
  <r>
    <n v="361"/>
    <x v="15"/>
    <x v="0"/>
    <n v="0"/>
    <x v="0"/>
    <x v="12"/>
    <x v="0"/>
    <n v="0"/>
    <x v="0"/>
    <n v="1"/>
    <x v="0"/>
    <n v="0.21210000000000001"/>
    <x v="48"/>
    <x v="3"/>
    <n v="29"/>
    <n v="75"/>
    <n v="104"/>
    <x v="0"/>
    <x v="1"/>
    <x v="0"/>
    <x v="0"/>
  </r>
  <r>
    <n v="362"/>
    <x v="15"/>
    <x v="0"/>
    <n v="0"/>
    <x v="0"/>
    <x v="13"/>
    <x v="0"/>
    <n v="0"/>
    <x v="0"/>
    <n v="1"/>
    <x v="12"/>
    <n v="0.2273"/>
    <x v="23"/>
    <x v="4"/>
    <n v="23"/>
    <n v="95"/>
    <n v="118"/>
    <x v="0"/>
    <x v="1"/>
    <x v="0"/>
    <x v="0"/>
  </r>
  <r>
    <n v="363"/>
    <x v="15"/>
    <x v="0"/>
    <n v="0"/>
    <x v="0"/>
    <x v="14"/>
    <x v="0"/>
    <n v="0"/>
    <x v="0"/>
    <n v="1"/>
    <x v="17"/>
    <n v="0.2727"/>
    <x v="42"/>
    <x v="2"/>
    <n v="22"/>
    <n v="69"/>
    <n v="91"/>
    <x v="0"/>
    <x v="1"/>
    <x v="0"/>
    <x v="0"/>
  </r>
  <r>
    <n v="364"/>
    <x v="15"/>
    <x v="0"/>
    <n v="0"/>
    <x v="0"/>
    <x v="15"/>
    <x v="0"/>
    <n v="0"/>
    <x v="0"/>
    <n v="1"/>
    <x v="12"/>
    <n v="0.2424"/>
    <x v="41"/>
    <x v="2"/>
    <n v="35"/>
    <n v="78"/>
    <n v="113"/>
    <x v="0"/>
    <x v="1"/>
    <x v="0"/>
    <x v="0"/>
  </r>
  <r>
    <n v="365"/>
    <x v="15"/>
    <x v="0"/>
    <n v="0"/>
    <x v="0"/>
    <x v="16"/>
    <x v="0"/>
    <n v="0"/>
    <x v="0"/>
    <n v="1"/>
    <x v="0"/>
    <n v="0.2273"/>
    <x v="41"/>
    <x v="6"/>
    <n v="22"/>
    <n v="77"/>
    <n v="99"/>
    <x v="0"/>
    <x v="1"/>
    <x v="0"/>
    <x v="0"/>
  </r>
  <r>
    <n v="366"/>
    <x v="15"/>
    <x v="0"/>
    <n v="0"/>
    <x v="0"/>
    <x v="17"/>
    <x v="0"/>
    <n v="0"/>
    <x v="0"/>
    <n v="1"/>
    <x v="1"/>
    <n v="0.21210000000000001"/>
    <x v="38"/>
    <x v="2"/>
    <n v="23"/>
    <n v="82"/>
    <n v="105"/>
    <x v="0"/>
    <x v="1"/>
    <x v="0"/>
    <x v="0"/>
  </r>
  <r>
    <n v="367"/>
    <x v="15"/>
    <x v="0"/>
    <n v="0"/>
    <x v="0"/>
    <x v="18"/>
    <x v="0"/>
    <n v="0"/>
    <x v="0"/>
    <n v="1"/>
    <x v="2"/>
    <n v="0.21210000000000001"/>
    <x v="22"/>
    <x v="8"/>
    <n v="11"/>
    <n v="56"/>
    <n v="67"/>
    <x v="0"/>
    <x v="1"/>
    <x v="0"/>
    <x v="0"/>
  </r>
  <r>
    <n v="368"/>
    <x v="15"/>
    <x v="0"/>
    <n v="0"/>
    <x v="0"/>
    <x v="19"/>
    <x v="0"/>
    <n v="0"/>
    <x v="0"/>
    <n v="1"/>
    <x v="15"/>
    <n v="0.19700000000000001"/>
    <x v="19"/>
    <x v="7"/>
    <n v="14"/>
    <n v="47"/>
    <n v="61"/>
    <x v="0"/>
    <x v="1"/>
    <x v="0"/>
    <x v="0"/>
  </r>
  <r>
    <n v="369"/>
    <x v="15"/>
    <x v="0"/>
    <n v="0"/>
    <x v="0"/>
    <x v="20"/>
    <x v="0"/>
    <n v="0"/>
    <x v="0"/>
    <n v="1"/>
    <x v="15"/>
    <n v="0.19700000000000001"/>
    <x v="19"/>
    <x v="8"/>
    <n v="7"/>
    <n v="50"/>
    <n v="57"/>
    <x v="0"/>
    <x v="1"/>
    <x v="0"/>
    <x v="0"/>
  </r>
  <r>
    <n v="370"/>
    <x v="15"/>
    <x v="0"/>
    <n v="0"/>
    <x v="0"/>
    <x v="21"/>
    <x v="0"/>
    <n v="0"/>
    <x v="0"/>
    <n v="1"/>
    <x v="15"/>
    <n v="0.19700000000000001"/>
    <x v="33"/>
    <x v="8"/>
    <n v="6"/>
    <n v="22"/>
    <n v="28"/>
    <x v="0"/>
    <x v="1"/>
    <x v="0"/>
    <x v="0"/>
  </r>
  <r>
    <n v="371"/>
    <x v="15"/>
    <x v="0"/>
    <n v="0"/>
    <x v="0"/>
    <x v="22"/>
    <x v="0"/>
    <n v="0"/>
    <x v="0"/>
    <n v="2"/>
    <x v="2"/>
    <n v="0.21210000000000001"/>
    <x v="36"/>
    <x v="7"/>
    <n v="2"/>
    <n v="19"/>
    <n v="21"/>
    <x v="1"/>
    <x v="1"/>
    <x v="0"/>
    <x v="0"/>
  </r>
  <r>
    <n v="372"/>
    <x v="15"/>
    <x v="0"/>
    <n v="0"/>
    <x v="0"/>
    <x v="23"/>
    <x v="0"/>
    <n v="0"/>
    <x v="0"/>
    <n v="2"/>
    <x v="2"/>
    <n v="0.2273"/>
    <x v="22"/>
    <x v="14"/>
    <n v="0"/>
    <n v="18"/>
    <n v="18"/>
    <x v="1"/>
    <x v="1"/>
    <x v="0"/>
    <x v="0"/>
  </r>
  <r>
    <n v="373"/>
    <x v="16"/>
    <x v="0"/>
    <n v="0"/>
    <x v="0"/>
    <x v="0"/>
    <x v="1"/>
    <n v="1"/>
    <x v="1"/>
    <n v="2"/>
    <x v="2"/>
    <n v="0.19700000000000001"/>
    <x v="19"/>
    <x v="6"/>
    <n v="1"/>
    <n v="16"/>
    <n v="17"/>
    <x v="1"/>
    <x v="2"/>
    <x v="0"/>
    <x v="0"/>
  </r>
  <r>
    <n v="374"/>
    <x v="16"/>
    <x v="0"/>
    <n v="0"/>
    <x v="0"/>
    <x v="1"/>
    <x v="1"/>
    <n v="1"/>
    <x v="1"/>
    <n v="2"/>
    <x v="2"/>
    <n v="0.19700000000000001"/>
    <x v="18"/>
    <x v="5"/>
    <n v="1"/>
    <n v="15"/>
    <n v="16"/>
    <x v="1"/>
    <x v="2"/>
    <x v="0"/>
    <x v="0"/>
  </r>
  <r>
    <n v="375"/>
    <x v="16"/>
    <x v="0"/>
    <n v="0"/>
    <x v="0"/>
    <x v="2"/>
    <x v="1"/>
    <n v="1"/>
    <x v="1"/>
    <n v="2"/>
    <x v="15"/>
    <n v="0.16669999999999999"/>
    <x v="21"/>
    <x v="2"/>
    <n v="0"/>
    <n v="8"/>
    <n v="8"/>
    <x v="1"/>
    <x v="2"/>
    <x v="0"/>
    <x v="0"/>
  </r>
  <r>
    <n v="376"/>
    <x v="16"/>
    <x v="0"/>
    <n v="0"/>
    <x v="0"/>
    <x v="3"/>
    <x v="1"/>
    <n v="1"/>
    <x v="1"/>
    <n v="2"/>
    <x v="15"/>
    <n v="0.18179999999999999"/>
    <x v="21"/>
    <x v="5"/>
    <n v="0"/>
    <n v="2"/>
    <n v="2"/>
    <x v="1"/>
    <x v="2"/>
    <x v="0"/>
    <x v="0"/>
  </r>
  <r>
    <n v="377"/>
    <x v="16"/>
    <x v="0"/>
    <n v="0"/>
    <x v="0"/>
    <x v="4"/>
    <x v="1"/>
    <n v="1"/>
    <x v="1"/>
    <n v="2"/>
    <x v="15"/>
    <n v="0.19700000000000001"/>
    <x v="21"/>
    <x v="7"/>
    <n v="1"/>
    <n v="2"/>
    <n v="3"/>
    <x v="1"/>
    <x v="2"/>
    <x v="0"/>
    <x v="0"/>
  </r>
  <r>
    <n v="378"/>
    <x v="16"/>
    <x v="0"/>
    <n v="0"/>
    <x v="0"/>
    <x v="5"/>
    <x v="1"/>
    <n v="1"/>
    <x v="1"/>
    <n v="2"/>
    <x v="15"/>
    <n v="0.19700000000000001"/>
    <x v="21"/>
    <x v="8"/>
    <n v="0"/>
    <n v="1"/>
    <n v="1"/>
    <x v="1"/>
    <x v="2"/>
    <x v="0"/>
    <x v="0"/>
  </r>
  <r>
    <n v="379"/>
    <x v="16"/>
    <x v="0"/>
    <n v="0"/>
    <x v="0"/>
    <x v="6"/>
    <x v="1"/>
    <n v="1"/>
    <x v="1"/>
    <n v="2"/>
    <x v="15"/>
    <n v="0.18179999999999999"/>
    <x v="21"/>
    <x v="5"/>
    <n v="0"/>
    <n v="5"/>
    <n v="5"/>
    <x v="1"/>
    <x v="2"/>
    <x v="0"/>
    <x v="0"/>
  </r>
  <r>
    <n v="380"/>
    <x v="16"/>
    <x v="0"/>
    <n v="0"/>
    <x v="0"/>
    <x v="7"/>
    <x v="1"/>
    <n v="1"/>
    <x v="1"/>
    <n v="2"/>
    <x v="13"/>
    <n v="0.18179999999999999"/>
    <x v="20"/>
    <x v="7"/>
    <n v="4"/>
    <n v="9"/>
    <n v="13"/>
    <x v="1"/>
    <x v="2"/>
    <x v="0"/>
    <x v="0"/>
  </r>
  <r>
    <n v="381"/>
    <x v="16"/>
    <x v="0"/>
    <n v="0"/>
    <x v="0"/>
    <x v="8"/>
    <x v="1"/>
    <n v="1"/>
    <x v="1"/>
    <n v="2"/>
    <x v="13"/>
    <n v="0.1515"/>
    <x v="19"/>
    <x v="6"/>
    <n v="3"/>
    <n v="30"/>
    <n v="33"/>
    <x v="1"/>
    <x v="2"/>
    <x v="0"/>
    <x v="0"/>
  </r>
  <r>
    <n v="382"/>
    <x v="16"/>
    <x v="0"/>
    <n v="0"/>
    <x v="0"/>
    <x v="9"/>
    <x v="1"/>
    <n v="1"/>
    <x v="1"/>
    <n v="2"/>
    <x v="13"/>
    <n v="0.1515"/>
    <x v="19"/>
    <x v="6"/>
    <n v="8"/>
    <n v="39"/>
    <n v="47"/>
    <x v="1"/>
    <x v="2"/>
    <x v="0"/>
    <x v="0"/>
  </r>
  <r>
    <n v="383"/>
    <x v="16"/>
    <x v="0"/>
    <n v="0"/>
    <x v="0"/>
    <x v="10"/>
    <x v="1"/>
    <n v="1"/>
    <x v="1"/>
    <n v="2"/>
    <x v="13"/>
    <n v="0.1515"/>
    <x v="20"/>
    <x v="2"/>
    <n v="7"/>
    <n v="50"/>
    <n v="57"/>
    <x v="1"/>
    <x v="2"/>
    <x v="0"/>
    <x v="0"/>
  </r>
  <r>
    <n v="384"/>
    <x v="16"/>
    <x v="0"/>
    <n v="0"/>
    <x v="0"/>
    <x v="11"/>
    <x v="1"/>
    <n v="1"/>
    <x v="1"/>
    <n v="2"/>
    <x v="13"/>
    <n v="0.1515"/>
    <x v="28"/>
    <x v="5"/>
    <n v="9"/>
    <n v="55"/>
    <n v="64"/>
    <x v="1"/>
    <x v="2"/>
    <x v="0"/>
    <x v="0"/>
  </r>
  <r>
    <n v="385"/>
    <x v="16"/>
    <x v="0"/>
    <n v="0"/>
    <x v="0"/>
    <x v="12"/>
    <x v="1"/>
    <n v="1"/>
    <x v="1"/>
    <n v="2"/>
    <x v="15"/>
    <n v="0.19700000000000001"/>
    <x v="19"/>
    <x v="7"/>
    <n v="10"/>
    <n v="70"/>
    <n v="80"/>
    <x v="1"/>
    <x v="2"/>
    <x v="0"/>
    <x v="0"/>
  </r>
  <r>
    <n v="386"/>
    <x v="16"/>
    <x v="0"/>
    <n v="0"/>
    <x v="0"/>
    <x v="13"/>
    <x v="1"/>
    <n v="1"/>
    <x v="1"/>
    <n v="2"/>
    <x v="15"/>
    <n v="0.19700000000000001"/>
    <x v="19"/>
    <x v="7"/>
    <n v="13"/>
    <n v="80"/>
    <n v="93"/>
    <x v="1"/>
    <x v="2"/>
    <x v="0"/>
    <x v="0"/>
  </r>
  <r>
    <n v="387"/>
    <x v="16"/>
    <x v="0"/>
    <n v="0"/>
    <x v="0"/>
    <x v="14"/>
    <x v="1"/>
    <n v="1"/>
    <x v="1"/>
    <n v="2"/>
    <x v="15"/>
    <n v="0.21210000000000001"/>
    <x v="21"/>
    <x v="14"/>
    <n v="12"/>
    <n v="74"/>
    <n v="86"/>
    <x v="1"/>
    <x v="2"/>
    <x v="0"/>
    <x v="0"/>
  </r>
  <r>
    <n v="388"/>
    <x v="16"/>
    <x v="0"/>
    <n v="0"/>
    <x v="0"/>
    <x v="15"/>
    <x v="1"/>
    <n v="1"/>
    <x v="1"/>
    <n v="2"/>
    <x v="2"/>
    <n v="0.21210000000000001"/>
    <x v="19"/>
    <x v="8"/>
    <n v="21"/>
    <n v="72"/>
    <n v="93"/>
    <x v="1"/>
    <x v="2"/>
    <x v="0"/>
    <x v="0"/>
  </r>
  <r>
    <n v="389"/>
    <x v="16"/>
    <x v="0"/>
    <n v="0"/>
    <x v="0"/>
    <x v="16"/>
    <x v="1"/>
    <n v="1"/>
    <x v="1"/>
    <n v="2"/>
    <x v="2"/>
    <n v="0.21210000000000001"/>
    <x v="19"/>
    <x v="8"/>
    <n v="6"/>
    <n v="76"/>
    <n v="82"/>
    <x v="1"/>
    <x v="2"/>
    <x v="0"/>
    <x v="0"/>
  </r>
  <r>
    <n v="390"/>
    <x v="16"/>
    <x v="0"/>
    <n v="0"/>
    <x v="0"/>
    <x v="17"/>
    <x v="1"/>
    <n v="1"/>
    <x v="1"/>
    <n v="1"/>
    <x v="2"/>
    <n v="0.19700000000000001"/>
    <x v="33"/>
    <x v="5"/>
    <n v="4"/>
    <n v="67"/>
    <n v="71"/>
    <x v="0"/>
    <x v="2"/>
    <x v="0"/>
    <x v="0"/>
  </r>
  <r>
    <n v="391"/>
    <x v="16"/>
    <x v="0"/>
    <n v="0"/>
    <x v="0"/>
    <x v="18"/>
    <x v="1"/>
    <n v="1"/>
    <x v="1"/>
    <n v="2"/>
    <x v="15"/>
    <n v="0.16669999999999999"/>
    <x v="28"/>
    <x v="2"/>
    <n v="7"/>
    <n v="85"/>
    <n v="92"/>
    <x v="1"/>
    <x v="2"/>
    <x v="0"/>
    <x v="0"/>
  </r>
  <r>
    <n v="392"/>
    <x v="16"/>
    <x v="0"/>
    <n v="0"/>
    <x v="0"/>
    <x v="19"/>
    <x v="1"/>
    <n v="1"/>
    <x v="1"/>
    <n v="3"/>
    <x v="15"/>
    <n v="0.18179999999999999"/>
    <x v="29"/>
    <x v="5"/>
    <n v="2"/>
    <n v="58"/>
    <n v="60"/>
    <x v="2"/>
    <x v="2"/>
    <x v="0"/>
    <x v="0"/>
  </r>
  <r>
    <n v="393"/>
    <x v="16"/>
    <x v="0"/>
    <n v="0"/>
    <x v="0"/>
    <x v="20"/>
    <x v="1"/>
    <n v="1"/>
    <x v="1"/>
    <n v="3"/>
    <x v="13"/>
    <n v="0.1515"/>
    <x v="1"/>
    <x v="5"/>
    <n v="4"/>
    <n v="29"/>
    <n v="33"/>
    <x v="2"/>
    <x v="2"/>
    <x v="0"/>
    <x v="0"/>
  </r>
  <r>
    <n v="394"/>
    <x v="16"/>
    <x v="0"/>
    <n v="0"/>
    <x v="0"/>
    <x v="21"/>
    <x v="1"/>
    <n v="1"/>
    <x v="1"/>
    <n v="3"/>
    <x v="13"/>
    <n v="0.1515"/>
    <x v="1"/>
    <x v="5"/>
    <n v="3"/>
    <n v="24"/>
    <n v="27"/>
    <x v="2"/>
    <x v="2"/>
    <x v="0"/>
    <x v="0"/>
  </r>
  <r>
    <n v="395"/>
    <x v="16"/>
    <x v="0"/>
    <n v="0"/>
    <x v="0"/>
    <x v="22"/>
    <x v="1"/>
    <n v="1"/>
    <x v="1"/>
    <n v="3"/>
    <x v="14"/>
    <n v="0.1212"/>
    <x v="43"/>
    <x v="2"/>
    <n v="0"/>
    <n v="13"/>
    <n v="13"/>
    <x v="2"/>
    <x v="2"/>
    <x v="0"/>
    <x v="0"/>
  </r>
  <r>
    <n v="396"/>
    <x v="16"/>
    <x v="0"/>
    <n v="0"/>
    <x v="0"/>
    <x v="23"/>
    <x v="1"/>
    <n v="1"/>
    <x v="1"/>
    <n v="3"/>
    <x v="13"/>
    <n v="0.13639999999999999"/>
    <x v="3"/>
    <x v="3"/>
    <n v="1"/>
    <n v="3"/>
    <n v="4"/>
    <x v="2"/>
    <x v="2"/>
    <x v="0"/>
    <x v="0"/>
  </r>
  <r>
    <n v="397"/>
    <x v="17"/>
    <x v="0"/>
    <n v="0"/>
    <x v="0"/>
    <x v="12"/>
    <x v="0"/>
    <n v="2"/>
    <x v="1"/>
    <n v="2"/>
    <x v="2"/>
    <n v="0.18179999999999999"/>
    <x v="3"/>
    <x v="9"/>
    <n v="0"/>
    <n v="3"/>
    <n v="3"/>
    <x v="1"/>
    <x v="3"/>
    <x v="0"/>
    <x v="1"/>
  </r>
  <r>
    <n v="398"/>
    <x v="17"/>
    <x v="0"/>
    <n v="0"/>
    <x v="0"/>
    <x v="13"/>
    <x v="0"/>
    <n v="2"/>
    <x v="1"/>
    <n v="2"/>
    <x v="2"/>
    <n v="0.19700000000000001"/>
    <x v="3"/>
    <x v="6"/>
    <n v="0"/>
    <n v="22"/>
    <n v="22"/>
    <x v="1"/>
    <x v="3"/>
    <x v="0"/>
    <x v="1"/>
  </r>
  <r>
    <n v="399"/>
    <x v="17"/>
    <x v="0"/>
    <n v="0"/>
    <x v="0"/>
    <x v="14"/>
    <x v="0"/>
    <n v="2"/>
    <x v="1"/>
    <n v="2"/>
    <x v="1"/>
    <n v="0.2273"/>
    <x v="1"/>
    <x v="8"/>
    <n v="2"/>
    <n v="26"/>
    <n v="28"/>
    <x v="1"/>
    <x v="3"/>
    <x v="0"/>
    <x v="1"/>
  </r>
  <r>
    <n v="400"/>
    <x v="17"/>
    <x v="0"/>
    <n v="0"/>
    <x v="0"/>
    <x v="15"/>
    <x v="0"/>
    <n v="2"/>
    <x v="1"/>
    <n v="2"/>
    <x v="1"/>
    <n v="0.2273"/>
    <x v="9"/>
    <x v="8"/>
    <n v="3"/>
    <n v="32"/>
    <n v="35"/>
    <x v="1"/>
    <x v="3"/>
    <x v="0"/>
    <x v="1"/>
  </r>
  <r>
    <n v="401"/>
    <x v="17"/>
    <x v="0"/>
    <n v="0"/>
    <x v="0"/>
    <x v="16"/>
    <x v="0"/>
    <n v="2"/>
    <x v="1"/>
    <n v="2"/>
    <x v="1"/>
    <n v="0.2273"/>
    <x v="9"/>
    <x v="5"/>
    <n v="0"/>
    <n v="61"/>
    <n v="61"/>
    <x v="1"/>
    <x v="3"/>
    <x v="0"/>
    <x v="1"/>
  </r>
  <r>
    <n v="402"/>
    <x v="17"/>
    <x v="0"/>
    <n v="0"/>
    <x v="0"/>
    <x v="17"/>
    <x v="0"/>
    <n v="2"/>
    <x v="1"/>
    <n v="2"/>
    <x v="1"/>
    <n v="0.2273"/>
    <x v="7"/>
    <x v="5"/>
    <n v="1"/>
    <n v="124"/>
    <n v="125"/>
    <x v="1"/>
    <x v="3"/>
    <x v="0"/>
    <x v="1"/>
  </r>
  <r>
    <n v="403"/>
    <x v="17"/>
    <x v="0"/>
    <n v="0"/>
    <x v="0"/>
    <x v="18"/>
    <x v="0"/>
    <n v="2"/>
    <x v="1"/>
    <n v="2"/>
    <x v="1"/>
    <n v="0.2273"/>
    <x v="1"/>
    <x v="8"/>
    <n v="1"/>
    <n v="132"/>
    <n v="133"/>
    <x v="1"/>
    <x v="3"/>
    <x v="0"/>
    <x v="1"/>
  </r>
  <r>
    <n v="404"/>
    <x v="17"/>
    <x v="0"/>
    <n v="0"/>
    <x v="0"/>
    <x v="19"/>
    <x v="0"/>
    <n v="2"/>
    <x v="1"/>
    <n v="2"/>
    <x v="1"/>
    <n v="0.2273"/>
    <x v="1"/>
    <x v="7"/>
    <n v="1"/>
    <n v="98"/>
    <n v="99"/>
    <x v="1"/>
    <x v="3"/>
    <x v="0"/>
    <x v="1"/>
  </r>
  <r>
    <n v="405"/>
    <x v="17"/>
    <x v="0"/>
    <n v="0"/>
    <x v="0"/>
    <x v="20"/>
    <x v="0"/>
    <n v="2"/>
    <x v="1"/>
    <n v="2"/>
    <x v="1"/>
    <n v="0.2727"/>
    <x v="9"/>
    <x v="0"/>
    <n v="0"/>
    <n v="83"/>
    <n v="83"/>
    <x v="1"/>
    <x v="3"/>
    <x v="0"/>
    <x v="1"/>
  </r>
  <r>
    <n v="406"/>
    <x v="17"/>
    <x v="0"/>
    <n v="0"/>
    <x v="0"/>
    <x v="21"/>
    <x v="0"/>
    <n v="2"/>
    <x v="1"/>
    <n v="2"/>
    <x v="1"/>
    <n v="0.2424"/>
    <x v="43"/>
    <x v="14"/>
    <n v="0"/>
    <n v="41"/>
    <n v="41"/>
    <x v="1"/>
    <x v="3"/>
    <x v="0"/>
    <x v="1"/>
  </r>
  <r>
    <n v="407"/>
    <x v="17"/>
    <x v="0"/>
    <n v="0"/>
    <x v="0"/>
    <x v="22"/>
    <x v="0"/>
    <n v="2"/>
    <x v="1"/>
    <n v="2"/>
    <x v="1"/>
    <n v="0.2576"/>
    <x v="43"/>
    <x v="1"/>
    <n v="0"/>
    <n v="33"/>
    <n v="33"/>
    <x v="1"/>
    <x v="3"/>
    <x v="0"/>
    <x v="1"/>
  </r>
  <r>
    <n v="408"/>
    <x v="17"/>
    <x v="0"/>
    <n v="0"/>
    <x v="0"/>
    <x v="23"/>
    <x v="0"/>
    <n v="2"/>
    <x v="1"/>
    <n v="2"/>
    <x v="1"/>
    <n v="0.2727"/>
    <x v="43"/>
    <x v="0"/>
    <n v="1"/>
    <n v="19"/>
    <n v="20"/>
    <x v="1"/>
    <x v="3"/>
    <x v="0"/>
    <x v="1"/>
  </r>
  <r>
    <n v="409"/>
    <x v="18"/>
    <x v="0"/>
    <n v="0"/>
    <x v="0"/>
    <x v="0"/>
    <x v="0"/>
    <n v="3"/>
    <x v="1"/>
    <n v="2"/>
    <x v="1"/>
    <n v="0.2727"/>
    <x v="43"/>
    <x v="0"/>
    <n v="0"/>
    <n v="3"/>
    <n v="3"/>
    <x v="1"/>
    <x v="4"/>
    <x v="0"/>
    <x v="1"/>
  </r>
  <r>
    <n v="410"/>
    <x v="18"/>
    <x v="0"/>
    <n v="0"/>
    <x v="0"/>
    <x v="1"/>
    <x v="0"/>
    <n v="3"/>
    <x v="1"/>
    <n v="3"/>
    <x v="1"/>
    <n v="0.2273"/>
    <x v="43"/>
    <x v="7"/>
    <n v="1"/>
    <n v="6"/>
    <n v="7"/>
    <x v="2"/>
    <x v="4"/>
    <x v="0"/>
    <x v="1"/>
  </r>
  <r>
    <n v="411"/>
    <x v="18"/>
    <x v="0"/>
    <n v="0"/>
    <x v="0"/>
    <x v="2"/>
    <x v="0"/>
    <n v="3"/>
    <x v="1"/>
    <n v="3"/>
    <x v="1"/>
    <n v="0.2273"/>
    <x v="43"/>
    <x v="7"/>
    <n v="0"/>
    <n v="3"/>
    <n v="3"/>
    <x v="2"/>
    <x v="4"/>
    <x v="0"/>
    <x v="1"/>
  </r>
  <r>
    <n v="412"/>
    <x v="18"/>
    <x v="0"/>
    <n v="0"/>
    <x v="0"/>
    <x v="4"/>
    <x v="0"/>
    <n v="3"/>
    <x v="1"/>
    <n v="3"/>
    <x v="1"/>
    <n v="0.2273"/>
    <x v="43"/>
    <x v="7"/>
    <n v="1"/>
    <n v="1"/>
    <n v="2"/>
    <x v="2"/>
    <x v="4"/>
    <x v="0"/>
    <x v="1"/>
  </r>
  <r>
    <n v="413"/>
    <x v="18"/>
    <x v="0"/>
    <n v="0"/>
    <x v="0"/>
    <x v="5"/>
    <x v="0"/>
    <n v="3"/>
    <x v="1"/>
    <n v="2"/>
    <x v="1"/>
    <n v="0.2576"/>
    <x v="43"/>
    <x v="1"/>
    <n v="0"/>
    <n v="7"/>
    <n v="7"/>
    <x v="1"/>
    <x v="4"/>
    <x v="0"/>
    <x v="1"/>
  </r>
  <r>
    <n v="414"/>
    <x v="18"/>
    <x v="0"/>
    <n v="0"/>
    <x v="0"/>
    <x v="6"/>
    <x v="0"/>
    <n v="3"/>
    <x v="1"/>
    <n v="2"/>
    <x v="1"/>
    <n v="0.2576"/>
    <x v="43"/>
    <x v="1"/>
    <n v="0"/>
    <n v="32"/>
    <n v="32"/>
    <x v="1"/>
    <x v="4"/>
    <x v="0"/>
    <x v="1"/>
  </r>
  <r>
    <n v="415"/>
    <x v="18"/>
    <x v="0"/>
    <n v="0"/>
    <x v="0"/>
    <x v="7"/>
    <x v="0"/>
    <n v="3"/>
    <x v="1"/>
    <n v="2"/>
    <x v="0"/>
    <n v="0.2576"/>
    <x v="50"/>
    <x v="14"/>
    <n v="1"/>
    <n v="89"/>
    <n v="90"/>
    <x v="1"/>
    <x v="4"/>
    <x v="0"/>
    <x v="1"/>
  </r>
  <r>
    <n v="416"/>
    <x v="18"/>
    <x v="0"/>
    <n v="0"/>
    <x v="0"/>
    <x v="8"/>
    <x v="0"/>
    <n v="3"/>
    <x v="1"/>
    <n v="2"/>
    <x v="0"/>
    <n v="0.2576"/>
    <x v="43"/>
    <x v="14"/>
    <n v="1"/>
    <n v="196"/>
    <n v="197"/>
    <x v="1"/>
    <x v="4"/>
    <x v="0"/>
    <x v="1"/>
  </r>
  <r>
    <n v="417"/>
    <x v="18"/>
    <x v="0"/>
    <n v="0"/>
    <x v="0"/>
    <x v="9"/>
    <x v="0"/>
    <n v="3"/>
    <x v="1"/>
    <n v="2"/>
    <x v="0"/>
    <n v="0.2576"/>
    <x v="43"/>
    <x v="14"/>
    <n v="2"/>
    <n v="107"/>
    <n v="109"/>
    <x v="1"/>
    <x v="4"/>
    <x v="0"/>
    <x v="1"/>
  </r>
  <r>
    <n v="418"/>
    <x v="18"/>
    <x v="0"/>
    <n v="0"/>
    <x v="0"/>
    <x v="10"/>
    <x v="0"/>
    <n v="3"/>
    <x v="1"/>
    <n v="2"/>
    <x v="12"/>
    <n v="0.2727"/>
    <x v="43"/>
    <x v="7"/>
    <n v="1"/>
    <n v="46"/>
    <n v="47"/>
    <x v="1"/>
    <x v="4"/>
    <x v="0"/>
    <x v="1"/>
  </r>
  <r>
    <n v="419"/>
    <x v="18"/>
    <x v="0"/>
    <n v="0"/>
    <x v="0"/>
    <x v="11"/>
    <x v="0"/>
    <n v="3"/>
    <x v="1"/>
    <n v="2"/>
    <x v="17"/>
    <n v="0.30299999999999999"/>
    <x v="9"/>
    <x v="1"/>
    <n v="5"/>
    <n v="47"/>
    <n v="52"/>
    <x v="1"/>
    <x v="4"/>
    <x v="0"/>
    <x v="1"/>
  </r>
  <r>
    <n v="420"/>
    <x v="18"/>
    <x v="0"/>
    <n v="0"/>
    <x v="0"/>
    <x v="12"/>
    <x v="0"/>
    <n v="3"/>
    <x v="1"/>
    <n v="2"/>
    <x v="11"/>
    <n v="0.31819999999999998"/>
    <x v="0"/>
    <x v="1"/>
    <n v="5"/>
    <n v="65"/>
    <n v="70"/>
    <x v="1"/>
    <x v="4"/>
    <x v="0"/>
    <x v="1"/>
  </r>
  <r>
    <n v="421"/>
    <x v="18"/>
    <x v="0"/>
    <n v="0"/>
    <x v="0"/>
    <x v="13"/>
    <x v="0"/>
    <n v="3"/>
    <x v="1"/>
    <n v="1"/>
    <x v="9"/>
    <n v="0.40910000000000002"/>
    <x v="51"/>
    <x v="3"/>
    <n v="11"/>
    <n v="67"/>
    <n v="78"/>
    <x v="0"/>
    <x v="4"/>
    <x v="0"/>
    <x v="1"/>
  </r>
  <r>
    <n v="422"/>
    <x v="18"/>
    <x v="0"/>
    <n v="0"/>
    <x v="0"/>
    <x v="14"/>
    <x v="0"/>
    <n v="3"/>
    <x v="1"/>
    <n v="1"/>
    <x v="9"/>
    <n v="0.40910000000000002"/>
    <x v="52"/>
    <x v="2"/>
    <n v="7"/>
    <n v="68"/>
    <n v="75"/>
    <x v="0"/>
    <x v="4"/>
    <x v="0"/>
    <x v="1"/>
  </r>
  <r>
    <n v="423"/>
    <x v="18"/>
    <x v="0"/>
    <n v="0"/>
    <x v="0"/>
    <x v="15"/>
    <x v="0"/>
    <n v="3"/>
    <x v="1"/>
    <n v="1"/>
    <x v="9"/>
    <n v="0.40910000000000002"/>
    <x v="47"/>
    <x v="3"/>
    <n v="4"/>
    <n v="78"/>
    <n v="82"/>
    <x v="0"/>
    <x v="4"/>
    <x v="0"/>
    <x v="1"/>
  </r>
  <r>
    <n v="424"/>
    <x v="18"/>
    <x v="0"/>
    <n v="0"/>
    <x v="0"/>
    <x v="16"/>
    <x v="0"/>
    <n v="3"/>
    <x v="1"/>
    <n v="1"/>
    <x v="4"/>
    <n v="0.39389999999999997"/>
    <x v="52"/>
    <x v="13"/>
    <n v="10"/>
    <n v="94"/>
    <n v="104"/>
    <x v="0"/>
    <x v="4"/>
    <x v="0"/>
    <x v="1"/>
  </r>
  <r>
    <n v="425"/>
    <x v="18"/>
    <x v="0"/>
    <n v="0"/>
    <x v="0"/>
    <x v="17"/>
    <x v="0"/>
    <n v="3"/>
    <x v="1"/>
    <n v="1"/>
    <x v="5"/>
    <n v="0.33329999999999999"/>
    <x v="14"/>
    <x v="9"/>
    <n v="7"/>
    <n v="190"/>
    <n v="197"/>
    <x v="0"/>
    <x v="4"/>
    <x v="0"/>
    <x v="1"/>
  </r>
  <r>
    <n v="426"/>
    <x v="18"/>
    <x v="0"/>
    <n v="0"/>
    <x v="0"/>
    <x v="18"/>
    <x v="0"/>
    <n v="3"/>
    <x v="1"/>
    <n v="1"/>
    <x v="10"/>
    <n v="0.31819999999999998"/>
    <x v="53"/>
    <x v="3"/>
    <n v="5"/>
    <n v="156"/>
    <n v="161"/>
    <x v="0"/>
    <x v="4"/>
    <x v="0"/>
    <x v="1"/>
  </r>
  <r>
    <n v="427"/>
    <x v="18"/>
    <x v="0"/>
    <n v="0"/>
    <x v="0"/>
    <x v="19"/>
    <x v="0"/>
    <n v="3"/>
    <x v="1"/>
    <n v="1"/>
    <x v="3"/>
    <n v="0.28789999999999999"/>
    <x v="14"/>
    <x v="12"/>
    <n v="4"/>
    <n v="108"/>
    <n v="112"/>
    <x v="0"/>
    <x v="4"/>
    <x v="0"/>
    <x v="1"/>
  </r>
  <r>
    <n v="428"/>
    <x v="18"/>
    <x v="0"/>
    <n v="0"/>
    <x v="0"/>
    <x v="20"/>
    <x v="0"/>
    <n v="3"/>
    <x v="1"/>
    <n v="1"/>
    <x v="3"/>
    <n v="0.30299999999999999"/>
    <x v="36"/>
    <x v="4"/>
    <n v="2"/>
    <n v="74"/>
    <n v="76"/>
    <x v="0"/>
    <x v="4"/>
    <x v="0"/>
    <x v="1"/>
  </r>
  <r>
    <n v="429"/>
    <x v="18"/>
    <x v="0"/>
    <n v="0"/>
    <x v="0"/>
    <x v="21"/>
    <x v="0"/>
    <n v="3"/>
    <x v="1"/>
    <n v="1"/>
    <x v="3"/>
    <n v="0.28789999999999999"/>
    <x v="36"/>
    <x v="12"/>
    <n v="4"/>
    <n v="55"/>
    <n v="59"/>
    <x v="0"/>
    <x v="4"/>
    <x v="0"/>
    <x v="1"/>
  </r>
  <r>
    <n v="430"/>
    <x v="18"/>
    <x v="0"/>
    <n v="0"/>
    <x v="0"/>
    <x v="22"/>
    <x v="0"/>
    <n v="3"/>
    <x v="1"/>
    <n v="1"/>
    <x v="11"/>
    <n v="0.30299999999999999"/>
    <x v="35"/>
    <x v="8"/>
    <n v="6"/>
    <n v="53"/>
    <n v="59"/>
    <x v="0"/>
    <x v="4"/>
    <x v="0"/>
    <x v="1"/>
  </r>
  <r>
    <n v="431"/>
    <x v="18"/>
    <x v="0"/>
    <n v="0"/>
    <x v="0"/>
    <x v="23"/>
    <x v="0"/>
    <n v="3"/>
    <x v="1"/>
    <n v="1"/>
    <x v="11"/>
    <n v="0.2727"/>
    <x v="35"/>
    <x v="17"/>
    <n v="1"/>
    <n v="27"/>
    <n v="28"/>
    <x v="0"/>
    <x v="4"/>
    <x v="0"/>
    <x v="1"/>
  </r>
  <r>
    <n v="432"/>
    <x v="19"/>
    <x v="0"/>
    <n v="0"/>
    <x v="0"/>
    <x v="0"/>
    <x v="0"/>
    <n v="4"/>
    <x v="1"/>
    <n v="1"/>
    <x v="12"/>
    <n v="0.2273"/>
    <x v="34"/>
    <x v="13"/>
    <n v="5"/>
    <n v="8"/>
    <n v="13"/>
    <x v="0"/>
    <x v="5"/>
    <x v="0"/>
    <x v="1"/>
  </r>
  <r>
    <n v="433"/>
    <x v="19"/>
    <x v="0"/>
    <n v="0"/>
    <x v="0"/>
    <x v="1"/>
    <x v="0"/>
    <n v="4"/>
    <x v="1"/>
    <n v="1"/>
    <x v="12"/>
    <n v="0.2727"/>
    <x v="34"/>
    <x v="0"/>
    <n v="2"/>
    <n v="3"/>
    <n v="5"/>
    <x v="0"/>
    <x v="5"/>
    <x v="0"/>
    <x v="1"/>
  </r>
  <r>
    <n v="434"/>
    <x v="19"/>
    <x v="0"/>
    <n v="0"/>
    <x v="0"/>
    <x v="2"/>
    <x v="0"/>
    <n v="4"/>
    <x v="1"/>
    <n v="1"/>
    <x v="12"/>
    <n v="0.2727"/>
    <x v="34"/>
    <x v="0"/>
    <n v="0"/>
    <n v="2"/>
    <n v="2"/>
    <x v="0"/>
    <x v="5"/>
    <x v="0"/>
    <x v="1"/>
  </r>
  <r>
    <n v="435"/>
    <x v="19"/>
    <x v="0"/>
    <n v="0"/>
    <x v="0"/>
    <x v="3"/>
    <x v="0"/>
    <n v="4"/>
    <x v="1"/>
    <n v="1"/>
    <x v="12"/>
    <n v="0.2576"/>
    <x v="34"/>
    <x v="8"/>
    <n v="0"/>
    <n v="1"/>
    <n v="1"/>
    <x v="0"/>
    <x v="5"/>
    <x v="0"/>
    <x v="1"/>
  </r>
  <r>
    <n v="436"/>
    <x v="19"/>
    <x v="0"/>
    <n v="0"/>
    <x v="0"/>
    <x v="4"/>
    <x v="0"/>
    <n v="4"/>
    <x v="1"/>
    <n v="1"/>
    <x v="12"/>
    <n v="0.2576"/>
    <x v="34"/>
    <x v="8"/>
    <n v="0"/>
    <n v="1"/>
    <n v="1"/>
    <x v="0"/>
    <x v="5"/>
    <x v="0"/>
    <x v="1"/>
  </r>
  <r>
    <n v="437"/>
    <x v="19"/>
    <x v="0"/>
    <n v="0"/>
    <x v="0"/>
    <x v="5"/>
    <x v="0"/>
    <n v="4"/>
    <x v="1"/>
    <n v="1"/>
    <x v="0"/>
    <n v="0.2273"/>
    <x v="54"/>
    <x v="6"/>
    <n v="0"/>
    <n v="6"/>
    <n v="6"/>
    <x v="0"/>
    <x v="5"/>
    <x v="0"/>
    <x v="1"/>
  </r>
  <r>
    <n v="438"/>
    <x v="19"/>
    <x v="0"/>
    <n v="0"/>
    <x v="0"/>
    <x v="6"/>
    <x v="0"/>
    <n v="4"/>
    <x v="1"/>
    <n v="1"/>
    <x v="1"/>
    <n v="0.21210000000000001"/>
    <x v="54"/>
    <x v="6"/>
    <n v="0"/>
    <n v="35"/>
    <n v="35"/>
    <x v="0"/>
    <x v="5"/>
    <x v="0"/>
    <x v="1"/>
  </r>
  <r>
    <n v="439"/>
    <x v="19"/>
    <x v="0"/>
    <n v="0"/>
    <x v="0"/>
    <x v="7"/>
    <x v="0"/>
    <n v="4"/>
    <x v="1"/>
    <n v="1"/>
    <x v="1"/>
    <n v="0.21210000000000001"/>
    <x v="28"/>
    <x v="6"/>
    <n v="1"/>
    <n v="100"/>
    <n v="101"/>
    <x v="0"/>
    <x v="5"/>
    <x v="0"/>
    <x v="1"/>
  </r>
  <r>
    <n v="440"/>
    <x v="19"/>
    <x v="0"/>
    <n v="0"/>
    <x v="0"/>
    <x v="8"/>
    <x v="0"/>
    <n v="4"/>
    <x v="1"/>
    <n v="1"/>
    <x v="1"/>
    <n v="0.21210000000000001"/>
    <x v="28"/>
    <x v="3"/>
    <n v="2"/>
    <n v="247"/>
    <n v="249"/>
    <x v="0"/>
    <x v="5"/>
    <x v="0"/>
    <x v="1"/>
  </r>
  <r>
    <n v="441"/>
    <x v="19"/>
    <x v="0"/>
    <n v="0"/>
    <x v="0"/>
    <x v="9"/>
    <x v="0"/>
    <n v="4"/>
    <x v="1"/>
    <n v="2"/>
    <x v="0"/>
    <n v="0.2273"/>
    <x v="35"/>
    <x v="6"/>
    <n v="3"/>
    <n v="140"/>
    <n v="143"/>
    <x v="1"/>
    <x v="5"/>
    <x v="0"/>
    <x v="1"/>
  </r>
  <r>
    <n v="442"/>
    <x v="19"/>
    <x v="0"/>
    <n v="0"/>
    <x v="0"/>
    <x v="10"/>
    <x v="0"/>
    <n v="4"/>
    <x v="1"/>
    <n v="1"/>
    <x v="12"/>
    <n v="0.2273"/>
    <x v="37"/>
    <x v="4"/>
    <n v="1"/>
    <n v="56"/>
    <n v="57"/>
    <x v="0"/>
    <x v="5"/>
    <x v="0"/>
    <x v="1"/>
  </r>
  <r>
    <n v="443"/>
    <x v="19"/>
    <x v="0"/>
    <n v="0"/>
    <x v="0"/>
    <x v="11"/>
    <x v="0"/>
    <n v="4"/>
    <x v="1"/>
    <n v="2"/>
    <x v="17"/>
    <n v="0.2727"/>
    <x v="49"/>
    <x v="8"/>
    <n v="5"/>
    <n v="63"/>
    <n v="68"/>
    <x v="1"/>
    <x v="5"/>
    <x v="0"/>
    <x v="1"/>
  </r>
  <r>
    <n v="444"/>
    <x v="19"/>
    <x v="0"/>
    <n v="0"/>
    <x v="0"/>
    <x v="12"/>
    <x v="0"/>
    <n v="4"/>
    <x v="1"/>
    <n v="2"/>
    <x v="11"/>
    <n v="0.33329999999999999"/>
    <x v="16"/>
    <x v="0"/>
    <n v="7"/>
    <n v="77"/>
    <n v="84"/>
    <x v="1"/>
    <x v="5"/>
    <x v="0"/>
    <x v="1"/>
  </r>
  <r>
    <n v="445"/>
    <x v="19"/>
    <x v="0"/>
    <n v="0"/>
    <x v="0"/>
    <x v="13"/>
    <x v="0"/>
    <n v="4"/>
    <x v="1"/>
    <n v="2"/>
    <x v="17"/>
    <n v="0.28789999999999999"/>
    <x v="49"/>
    <x v="14"/>
    <n v="12"/>
    <n v="86"/>
    <n v="98"/>
    <x v="1"/>
    <x v="5"/>
    <x v="0"/>
    <x v="1"/>
  </r>
  <r>
    <n v="446"/>
    <x v="19"/>
    <x v="0"/>
    <n v="0"/>
    <x v="0"/>
    <x v="14"/>
    <x v="0"/>
    <n v="4"/>
    <x v="1"/>
    <n v="2"/>
    <x v="11"/>
    <n v="0.30299999999999999"/>
    <x v="49"/>
    <x v="7"/>
    <n v="6"/>
    <n v="75"/>
    <n v="81"/>
    <x v="1"/>
    <x v="5"/>
    <x v="0"/>
    <x v="1"/>
  </r>
  <r>
    <n v="447"/>
    <x v="19"/>
    <x v="0"/>
    <n v="0"/>
    <x v="0"/>
    <x v="15"/>
    <x v="0"/>
    <n v="4"/>
    <x v="1"/>
    <n v="2"/>
    <x v="3"/>
    <n v="0.31819999999999998"/>
    <x v="49"/>
    <x v="5"/>
    <n v="8"/>
    <n v="62"/>
    <n v="70"/>
    <x v="1"/>
    <x v="5"/>
    <x v="0"/>
    <x v="1"/>
  </r>
  <r>
    <n v="448"/>
    <x v="19"/>
    <x v="0"/>
    <n v="0"/>
    <x v="0"/>
    <x v="16"/>
    <x v="0"/>
    <n v="4"/>
    <x v="1"/>
    <n v="2"/>
    <x v="11"/>
    <n v="0.30299999999999999"/>
    <x v="36"/>
    <x v="7"/>
    <n v="8"/>
    <n v="83"/>
    <n v="91"/>
    <x v="1"/>
    <x v="5"/>
    <x v="0"/>
    <x v="1"/>
  </r>
  <r>
    <n v="449"/>
    <x v="19"/>
    <x v="0"/>
    <n v="0"/>
    <x v="0"/>
    <x v="17"/>
    <x v="0"/>
    <n v="4"/>
    <x v="1"/>
    <n v="2"/>
    <x v="11"/>
    <n v="0.31819999999999998"/>
    <x v="36"/>
    <x v="14"/>
    <n v="8"/>
    <n v="207"/>
    <n v="215"/>
    <x v="1"/>
    <x v="5"/>
    <x v="0"/>
    <x v="1"/>
  </r>
  <r>
    <n v="450"/>
    <x v="19"/>
    <x v="0"/>
    <n v="0"/>
    <x v="0"/>
    <x v="18"/>
    <x v="0"/>
    <n v="4"/>
    <x v="1"/>
    <n v="2"/>
    <x v="12"/>
    <n v="0.2576"/>
    <x v="34"/>
    <x v="5"/>
    <n v="1"/>
    <n v="184"/>
    <n v="185"/>
    <x v="1"/>
    <x v="5"/>
    <x v="0"/>
    <x v="1"/>
  </r>
  <r>
    <n v="451"/>
    <x v="19"/>
    <x v="0"/>
    <n v="0"/>
    <x v="0"/>
    <x v="19"/>
    <x v="0"/>
    <n v="4"/>
    <x v="1"/>
    <n v="1"/>
    <x v="12"/>
    <n v="0.2273"/>
    <x v="34"/>
    <x v="9"/>
    <n v="6"/>
    <n v="146"/>
    <n v="152"/>
    <x v="0"/>
    <x v="5"/>
    <x v="0"/>
    <x v="1"/>
  </r>
  <r>
    <n v="452"/>
    <x v="19"/>
    <x v="0"/>
    <n v="0"/>
    <x v="0"/>
    <x v="20"/>
    <x v="0"/>
    <n v="4"/>
    <x v="1"/>
    <n v="2"/>
    <x v="12"/>
    <n v="0.2424"/>
    <x v="54"/>
    <x v="3"/>
    <n v="2"/>
    <n v="124"/>
    <n v="126"/>
    <x v="1"/>
    <x v="5"/>
    <x v="0"/>
    <x v="1"/>
  </r>
  <r>
    <n v="453"/>
    <x v="19"/>
    <x v="0"/>
    <n v="0"/>
    <x v="0"/>
    <x v="21"/>
    <x v="0"/>
    <n v="4"/>
    <x v="1"/>
    <n v="2"/>
    <x v="0"/>
    <n v="0.2273"/>
    <x v="54"/>
    <x v="2"/>
    <n v="3"/>
    <n v="54"/>
    <n v="57"/>
    <x v="1"/>
    <x v="5"/>
    <x v="0"/>
    <x v="1"/>
  </r>
  <r>
    <n v="454"/>
    <x v="19"/>
    <x v="0"/>
    <n v="0"/>
    <x v="0"/>
    <x v="22"/>
    <x v="0"/>
    <n v="4"/>
    <x v="1"/>
    <n v="2"/>
    <x v="0"/>
    <n v="0.21210000000000001"/>
    <x v="55"/>
    <x v="3"/>
    <n v="0"/>
    <n v="56"/>
    <n v="56"/>
    <x v="1"/>
    <x v="5"/>
    <x v="0"/>
    <x v="1"/>
  </r>
  <r>
    <n v="455"/>
    <x v="19"/>
    <x v="0"/>
    <n v="0"/>
    <x v="0"/>
    <x v="23"/>
    <x v="0"/>
    <n v="4"/>
    <x v="1"/>
    <n v="2"/>
    <x v="0"/>
    <n v="0.21210000000000001"/>
    <x v="55"/>
    <x v="9"/>
    <n v="3"/>
    <n v="28"/>
    <n v="31"/>
    <x v="1"/>
    <x v="5"/>
    <x v="0"/>
    <x v="1"/>
  </r>
  <r>
    <n v="456"/>
    <x v="20"/>
    <x v="0"/>
    <n v="0"/>
    <x v="0"/>
    <x v="0"/>
    <x v="0"/>
    <n v="5"/>
    <x v="1"/>
    <n v="2"/>
    <x v="0"/>
    <n v="0.2273"/>
    <x v="56"/>
    <x v="2"/>
    <n v="1"/>
    <n v="20"/>
    <n v="21"/>
    <x v="1"/>
    <x v="6"/>
    <x v="0"/>
    <x v="1"/>
  </r>
  <r>
    <n v="457"/>
    <x v="20"/>
    <x v="0"/>
    <n v="0"/>
    <x v="0"/>
    <x v="1"/>
    <x v="0"/>
    <n v="5"/>
    <x v="1"/>
    <n v="2"/>
    <x v="0"/>
    <n v="0.2273"/>
    <x v="56"/>
    <x v="2"/>
    <n v="0"/>
    <n v="6"/>
    <n v="6"/>
    <x v="1"/>
    <x v="6"/>
    <x v="0"/>
    <x v="1"/>
  </r>
  <r>
    <n v="458"/>
    <x v="20"/>
    <x v="0"/>
    <n v="0"/>
    <x v="0"/>
    <x v="2"/>
    <x v="0"/>
    <n v="5"/>
    <x v="1"/>
    <n v="3"/>
    <x v="0"/>
    <n v="0.2424"/>
    <x v="2"/>
    <x v="8"/>
    <n v="0"/>
    <n v="2"/>
    <n v="2"/>
    <x v="2"/>
    <x v="6"/>
    <x v="0"/>
    <x v="1"/>
  </r>
  <r>
    <n v="459"/>
    <x v="20"/>
    <x v="0"/>
    <n v="0"/>
    <x v="0"/>
    <x v="3"/>
    <x v="0"/>
    <n v="5"/>
    <x v="1"/>
    <n v="3"/>
    <x v="1"/>
    <n v="0.21210000000000001"/>
    <x v="1"/>
    <x v="4"/>
    <n v="0"/>
    <n v="1"/>
    <n v="1"/>
    <x v="2"/>
    <x v="6"/>
    <x v="0"/>
    <x v="1"/>
  </r>
  <r>
    <n v="460"/>
    <x v="20"/>
    <x v="0"/>
    <n v="0"/>
    <x v="0"/>
    <x v="4"/>
    <x v="0"/>
    <n v="5"/>
    <x v="1"/>
    <n v="2"/>
    <x v="1"/>
    <n v="0.2576"/>
    <x v="9"/>
    <x v="1"/>
    <n v="0"/>
    <n v="1"/>
    <n v="1"/>
    <x v="1"/>
    <x v="6"/>
    <x v="0"/>
    <x v="1"/>
  </r>
  <r>
    <n v="461"/>
    <x v="20"/>
    <x v="0"/>
    <n v="0"/>
    <x v="0"/>
    <x v="5"/>
    <x v="0"/>
    <n v="5"/>
    <x v="1"/>
    <n v="1"/>
    <x v="0"/>
    <n v="0.19700000000000001"/>
    <x v="54"/>
    <x v="12"/>
    <n v="1"/>
    <n v="4"/>
    <n v="5"/>
    <x v="0"/>
    <x v="6"/>
    <x v="0"/>
    <x v="1"/>
  </r>
  <r>
    <n v="462"/>
    <x v="20"/>
    <x v="0"/>
    <n v="0"/>
    <x v="0"/>
    <x v="6"/>
    <x v="0"/>
    <n v="5"/>
    <x v="1"/>
    <n v="1"/>
    <x v="1"/>
    <n v="0.21210000000000001"/>
    <x v="28"/>
    <x v="2"/>
    <n v="0"/>
    <n v="27"/>
    <n v="27"/>
    <x v="0"/>
    <x v="6"/>
    <x v="0"/>
    <x v="1"/>
  </r>
  <r>
    <n v="463"/>
    <x v="20"/>
    <x v="0"/>
    <n v="0"/>
    <x v="0"/>
    <x v="7"/>
    <x v="0"/>
    <n v="5"/>
    <x v="1"/>
    <n v="1"/>
    <x v="2"/>
    <n v="0.18179999999999999"/>
    <x v="33"/>
    <x v="3"/>
    <n v="2"/>
    <n v="66"/>
    <n v="68"/>
    <x v="0"/>
    <x v="6"/>
    <x v="0"/>
    <x v="1"/>
  </r>
  <r>
    <n v="464"/>
    <x v="20"/>
    <x v="0"/>
    <n v="0"/>
    <x v="0"/>
    <x v="8"/>
    <x v="0"/>
    <n v="5"/>
    <x v="1"/>
    <n v="1"/>
    <x v="2"/>
    <n v="0.18179999999999999"/>
    <x v="19"/>
    <x v="9"/>
    <n v="7"/>
    <n v="210"/>
    <n v="217"/>
    <x v="0"/>
    <x v="6"/>
    <x v="0"/>
    <x v="1"/>
  </r>
  <r>
    <n v="465"/>
    <x v="20"/>
    <x v="0"/>
    <n v="0"/>
    <x v="0"/>
    <x v="9"/>
    <x v="0"/>
    <n v="5"/>
    <x v="1"/>
    <n v="1"/>
    <x v="2"/>
    <n v="0.18179999999999999"/>
    <x v="33"/>
    <x v="11"/>
    <n v="7"/>
    <n v="159"/>
    <n v="166"/>
    <x v="0"/>
    <x v="6"/>
    <x v="0"/>
    <x v="1"/>
  </r>
  <r>
    <n v="466"/>
    <x v="20"/>
    <x v="0"/>
    <n v="0"/>
    <x v="0"/>
    <x v="10"/>
    <x v="0"/>
    <n v="5"/>
    <x v="1"/>
    <n v="1"/>
    <x v="2"/>
    <n v="0.16669999999999999"/>
    <x v="19"/>
    <x v="17"/>
    <n v="6"/>
    <n v="57"/>
    <n v="63"/>
    <x v="0"/>
    <x v="6"/>
    <x v="0"/>
    <x v="1"/>
  </r>
  <r>
    <n v="467"/>
    <x v="20"/>
    <x v="0"/>
    <n v="0"/>
    <x v="0"/>
    <x v="11"/>
    <x v="0"/>
    <n v="5"/>
    <x v="1"/>
    <n v="1"/>
    <x v="1"/>
    <n v="0.18179999999999999"/>
    <x v="48"/>
    <x v="17"/>
    <n v="6"/>
    <n v="53"/>
    <n v="59"/>
    <x v="0"/>
    <x v="6"/>
    <x v="0"/>
    <x v="1"/>
  </r>
  <r>
    <n v="468"/>
    <x v="20"/>
    <x v="0"/>
    <n v="0"/>
    <x v="0"/>
    <x v="12"/>
    <x v="0"/>
    <n v="5"/>
    <x v="1"/>
    <n v="1"/>
    <x v="1"/>
    <n v="0.18179999999999999"/>
    <x v="57"/>
    <x v="19"/>
    <n v="11"/>
    <n v="67"/>
    <n v="78"/>
    <x v="0"/>
    <x v="6"/>
    <x v="0"/>
    <x v="1"/>
  </r>
  <r>
    <n v="469"/>
    <x v="20"/>
    <x v="0"/>
    <n v="0"/>
    <x v="0"/>
    <x v="13"/>
    <x v="0"/>
    <n v="5"/>
    <x v="1"/>
    <n v="1"/>
    <x v="2"/>
    <n v="0.1515"/>
    <x v="58"/>
    <x v="19"/>
    <n v="8"/>
    <n v="65"/>
    <n v="73"/>
    <x v="0"/>
    <x v="6"/>
    <x v="0"/>
    <x v="1"/>
  </r>
  <r>
    <n v="470"/>
    <x v="20"/>
    <x v="0"/>
    <n v="0"/>
    <x v="0"/>
    <x v="14"/>
    <x v="0"/>
    <n v="5"/>
    <x v="1"/>
    <n v="1"/>
    <x v="2"/>
    <n v="0.1515"/>
    <x v="59"/>
    <x v="18"/>
    <n v="6"/>
    <n v="56"/>
    <n v="62"/>
    <x v="0"/>
    <x v="6"/>
    <x v="0"/>
    <x v="1"/>
  </r>
  <r>
    <n v="471"/>
    <x v="20"/>
    <x v="0"/>
    <n v="0"/>
    <x v="0"/>
    <x v="15"/>
    <x v="0"/>
    <n v="5"/>
    <x v="1"/>
    <n v="1"/>
    <x v="13"/>
    <n v="0.1212"/>
    <x v="60"/>
    <x v="10"/>
    <n v="4"/>
    <n v="61"/>
    <n v="65"/>
    <x v="0"/>
    <x v="6"/>
    <x v="0"/>
    <x v="1"/>
  </r>
  <r>
    <n v="472"/>
    <x v="20"/>
    <x v="0"/>
    <n v="0"/>
    <x v="0"/>
    <x v="16"/>
    <x v="0"/>
    <n v="5"/>
    <x v="1"/>
    <n v="1"/>
    <x v="13"/>
    <n v="0.13639999999999999"/>
    <x v="60"/>
    <x v="11"/>
    <n v="0"/>
    <n v="97"/>
    <n v="97"/>
    <x v="0"/>
    <x v="6"/>
    <x v="0"/>
    <x v="1"/>
  </r>
  <r>
    <n v="473"/>
    <x v="20"/>
    <x v="0"/>
    <n v="0"/>
    <x v="0"/>
    <x v="17"/>
    <x v="0"/>
    <n v="5"/>
    <x v="1"/>
    <n v="1"/>
    <x v="14"/>
    <n v="0.1212"/>
    <x v="40"/>
    <x v="11"/>
    <n v="10"/>
    <n v="151"/>
    <n v="161"/>
    <x v="0"/>
    <x v="6"/>
    <x v="0"/>
    <x v="1"/>
  </r>
  <r>
    <n v="474"/>
    <x v="20"/>
    <x v="0"/>
    <n v="0"/>
    <x v="0"/>
    <x v="18"/>
    <x v="0"/>
    <n v="5"/>
    <x v="1"/>
    <n v="1"/>
    <x v="16"/>
    <n v="0.1212"/>
    <x v="24"/>
    <x v="2"/>
    <n v="1"/>
    <n v="119"/>
    <n v="120"/>
    <x v="0"/>
    <x v="6"/>
    <x v="0"/>
    <x v="1"/>
  </r>
  <r>
    <n v="475"/>
    <x v="20"/>
    <x v="0"/>
    <n v="0"/>
    <x v="0"/>
    <x v="19"/>
    <x v="0"/>
    <n v="5"/>
    <x v="1"/>
    <n v="1"/>
    <x v="16"/>
    <n v="0.1061"/>
    <x v="24"/>
    <x v="9"/>
    <n v="3"/>
    <n v="93"/>
    <n v="96"/>
    <x v="0"/>
    <x v="6"/>
    <x v="0"/>
    <x v="1"/>
  </r>
  <r>
    <n v="476"/>
    <x v="20"/>
    <x v="0"/>
    <n v="0"/>
    <x v="0"/>
    <x v="20"/>
    <x v="0"/>
    <n v="5"/>
    <x v="1"/>
    <n v="1"/>
    <x v="18"/>
    <n v="7.5800000000000006E-2"/>
    <x v="39"/>
    <x v="12"/>
    <n v="1"/>
    <n v="52"/>
    <n v="53"/>
    <x v="0"/>
    <x v="6"/>
    <x v="0"/>
    <x v="1"/>
  </r>
  <r>
    <n v="477"/>
    <x v="20"/>
    <x v="0"/>
    <n v="0"/>
    <x v="0"/>
    <x v="21"/>
    <x v="0"/>
    <n v="5"/>
    <x v="1"/>
    <n v="1"/>
    <x v="19"/>
    <n v="7.5800000000000006E-2"/>
    <x v="41"/>
    <x v="3"/>
    <n v="0"/>
    <n v="41"/>
    <n v="41"/>
    <x v="0"/>
    <x v="6"/>
    <x v="0"/>
    <x v="1"/>
  </r>
  <r>
    <n v="478"/>
    <x v="20"/>
    <x v="0"/>
    <n v="0"/>
    <x v="0"/>
    <x v="22"/>
    <x v="0"/>
    <n v="5"/>
    <x v="1"/>
    <n v="1"/>
    <x v="20"/>
    <n v="3.0300000000000001E-2"/>
    <x v="48"/>
    <x v="13"/>
    <n v="1"/>
    <n v="33"/>
    <n v="34"/>
    <x v="0"/>
    <x v="6"/>
    <x v="0"/>
    <x v="1"/>
  </r>
  <r>
    <n v="479"/>
    <x v="20"/>
    <x v="0"/>
    <n v="0"/>
    <x v="0"/>
    <x v="23"/>
    <x v="0"/>
    <n v="5"/>
    <x v="1"/>
    <n v="1"/>
    <x v="20"/>
    <n v="4.5499999999999999E-2"/>
    <x v="41"/>
    <x v="9"/>
    <n v="0"/>
    <n v="27"/>
    <n v="27"/>
    <x v="0"/>
    <x v="6"/>
    <x v="0"/>
    <x v="1"/>
  </r>
  <r>
    <n v="480"/>
    <x v="21"/>
    <x v="0"/>
    <n v="0"/>
    <x v="0"/>
    <x v="0"/>
    <x v="0"/>
    <n v="6"/>
    <x v="0"/>
    <n v="1"/>
    <x v="21"/>
    <n v="3.0300000000000001E-2"/>
    <x v="49"/>
    <x v="2"/>
    <n v="0"/>
    <n v="13"/>
    <n v="13"/>
    <x v="0"/>
    <x v="0"/>
    <x v="0"/>
    <x v="0"/>
  </r>
  <r>
    <n v="481"/>
    <x v="21"/>
    <x v="0"/>
    <n v="0"/>
    <x v="0"/>
    <x v="1"/>
    <x v="0"/>
    <n v="6"/>
    <x v="0"/>
    <n v="2"/>
    <x v="21"/>
    <n v="0"/>
    <x v="48"/>
    <x v="13"/>
    <n v="3"/>
    <n v="9"/>
    <n v="12"/>
    <x v="1"/>
    <x v="0"/>
    <x v="0"/>
    <x v="0"/>
  </r>
  <r>
    <n v="482"/>
    <x v="21"/>
    <x v="0"/>
    <n v="0"/>
    <x v="0"/>
    <x v="2"/>
    <x v="0"/>
    <n v="6"/>
    <x v="0"/>
    <n v="2"/>
    <x v="21"/>
    <n v="3.0300000000000001E-2"/>
    <x v="48"/>
    <x v="2"/>
    <n v="0"/>
    <n v="11"/>
    <n v="11"/>
    <x v="1"/>
    <x v="0"/>
    <x v="0"/>
    <x v="0"/>
  </r>
  <r>
    <n v="483"/>
    <x v="21"/>
    <x v="0"/>
    <n v="0"/>
    <x v="0"/>
    <x v="3"/>
    <x v="0"/>
    <n v="6"/>
    <x v="0"/>
    <n v="2"/>
    <x v="21"/>
    <n v="3.0300000000000001E-2"/>
    <x v="48"/>
    <x v="3"/>
    <n v="1"/>
    <n v="6"/>
    <n v="7"/>
    <x v="1"/>
    <x v="0"/>
    <x v="0"/>
    <x v="0"/>
  </r>
  <r>
    <n v="484"/>
    <x v="21"/>
    <x v="0"/>
    <n v="0"/>
    <x v="0"/>
    <x v="4"/>
    <x v="0"/>
    <n v="6"/>
    <x v="0"/>
    <n v="2"/>
    <x v="22"/>
    <n v="1.52E-2"/>
    <x v="37"/>
    <x v="4"/>
    <n v="0"/>
    <n v="3"/>
    <n v="3"/>
    <x v="1"/>
    <x v="0"/>
    <x v="0"/>
    <x v="0"/>
  </r>
  <r>
    <n v="485"/>
    <x v="21"/>
    <x v="0"/>
    <n v="0"/>
    <x v="0"/>
    <x v="6"/>
    <x v="0"/>
    <n v="6"/>
    <x v="0"/>
    <n v="2"/>
    <x v="22"/>
    <n v="3.0300000000000001E-2"/>
    <x v="18"/>
    <x v="6"/>
    <n v="0"/>
    <n v="2"/>
    <n v="2"/>
    <x v="1"/>
    <x v="0"/>
    <x v="0"/>
    <x v="0"/>
  </r>
  <r>
    <n v="486"/>
    <x v="21"/>
    <x v="0"/>
    <n v="0"/>
    <x v="0"/>
    <x v="7"/>
    <x v="0"/>
    <n v="6"/>
    <x v="0"/>
    <n v="1"/>
    <x v="22"/>
    <n v="1.52E-2"/>
    <x v="18"/>
    <x v="3"/>
    <n v="0"/>
    <n v="8"/>
    <n v="8"/>
    <x v="0"/>
    <x v="0"/>
    <x v="0"/>
    <x v="0"/>
  </r>
  <r>
    <n v="487"/>
    <x v="21"/>
    <x v="0"/>
    <n v="0"/>
    <x v="0"/>
    <x v="8"/>
    <x v="0"/>
    <n v="6"/>
    <x v="0"/>
    <n v="1"/>
    <x v="22"/>
    <n v="0"/>
    <x v="18"/>
    <x v="9"/>
    <n v="1"/>
    <n v="26"/>
    <n v="27"/>
    <x v="0"/>
    <x v="0"/>
    <x v="0"/>
    <x v="0"/>
  </r>
  <r>
    <n v="488"/>
    <x v="21"/>
    <x v="0"/>
    <n v="0"/>
    <x v="0"/>
    <x v="9"/>
    <x v="0"/>
    <n v="6"/>
    <x v="0"/>
    <n v="1"/>
    <x v="21"/>
    <n v="3.0300000000000001E-2"/>
    <x v="48"/>
    <x v="2"/>
    <n v="3"/>
    <n v="37"/>
    <n v="40"/>
    <x v="0"/>
    <x v="0"/>
    <x v="0"/>
    <x v="0"/>
  </r>
  <r>
    <n v="489"/>
    <x v="21"/>
    <x v="0"/>
    <n v="0"/>
    <x v="0"/>
    <x v="10"/>
    <x v="0"/>
    <n v="6"/>
    <x v="0"/>
    <n v="2"/>
    <x v="21"/>
    <n v="6.0600000000000001E-2"/>
    <x v="48"/>
    <x v="8"/>
    <n v="3"/>
    <n v="50"/>
    <n v="53"/>
    <x v="1"/>
    <x v="0"/>
    <x v="0"/>
    <x v="0"/>
  </r>
  <r>
    <n v="490"/>
    <x v="21"/>
    <x v="0"/>
    <n v="0"/>
    <x v="0"/>
    <x v="11"/>
    <x v="0"/>
    <n v="6"/>
    <x v="0"/>
    <n v="2"/>
    <x v="20"/>
    <n v="7.5800000000000006E-2"/>
    <x v="41"/>
    <x v="7"/>
    <n v="4"/>
    <n v="59"/>
    <n v="63"/>
    <x v="1"/>
    <x v="0"/>
    <x v="0"/>
    <x v="0"/>
  </r>
  <r>
    <n v="491"/>
    <x v="21"/>
    <x v="0"/>
    <n v="0"/>
    <x v="0"/>
    <x v="12"/>
    <x v="0"/>
    <n v="6"/>
    <x v="0"/>
    <n v="2"/>
    <x v="20"/>
    <n v="0.1061"/>
    <x v="41"/>
    <x v="14"/>
    <n v="10"/>
    <n v="60"/>
    <n v="70"/>
    <x v="1"/>
    <x v="0"/>
    <x v="0"/>
    <x v="0"/>
  </r>
  <r>
    <n v="492"/>
    <x v="21"/>
    <x v="0"/>
    <n v="0"/>
    <x v="0"/>
    <x v="13"/>
    <x v="0"/>
    <n v="6"/>
    <x v="0"/>
    <n v="1"/>
    <x v="19"/>
    <n v="0.16669999999999999"/>
    <x v="23"/>
    <x v="0"/>
    <n v="12"/>
    <n v="72"/>
    <n v="84"/>
    <x v="0"/>
    <x v="0"/>
    <x v="0"/>
    <x v="0"/>
  </r>
  <r>
    <n v="493"/>
    <x v="21"/>
    <x v="0"/>
    <n v="0"/>
    <x v="0"/>
    <x v="14"/>
    <x v="0"/>
    <n v="6"/>
    <x v="0"/>
    <n v="1"/>
    <x v="18"/>
    <n v="0.13639999999999999"/>
    <x v="39"/>
    <x v="14"/>
    <n v="11"/>
    <n v="64"/>
    <n v="75"/>
    <x v="0"/>
    <x v="0"/>
    <x v="0"/>
    <x v="0"/>
  </r>
  <r>
    <n v="494"/>
    <x v="21"/>
    <x v="0"/>
    <n v="0"/>
    <x v="0"/>
    <x v="15"/>
    <x v="0"/>
    <n v="6"/>
    <x v="0"/>
    <n v="1"/>
    <x v="16"/>
    <n v="0.1515"/>
    <x v="40"/>
    <x v="0"/>
    <n v="10"/>
    <n v="93"/>
    <n v="103"/>
    <x v="0"/>
    <x v="0"/>
    <x v="0"/>
    <x v="0"/>
  </r>
  <r>
    <n v="495"/>
    <x v="21"/>
    <x v="0"/>
    <n v="0"/>
    <x v="0"/>
    <x v="16"/>
    <x v="0"/>
    <n v="6"/>
    <x v="0"/>
    <n v="1"/>
    <x v="16"/>
    <n v="0.13639999999999999"/>
    <x v="40"/>
    <x v="5"/>
    <n v="11"/>
    <n v="72"/>
    <n v="83"/>
    <x v="0"/>
    <x v="0"/>
    <x v="0"/>
    <x v="0"/>
  </r>
  <r>
    <n v="496"/>
    <x v="21"/>
    <x v="0"/>
    <n v="0"/>
    <x v="0"/>
    <x v="17"/>
    <x v="0"/>
    <n v="6"/>
    <x v="0"/>
    <n v="1"/>
    <x v="16"/>
    <n v="0.19700000000000001"/>
    <x v="40"/>
    <x v="0"/>
    <n v="8"/>
    <n v="59"/>
    <n v="67"/>
    <x v="0"/>
    <x v="0"/>
    <x v="0"/>
    <x v="0"/>
  </r>
  <r>
    <n v="497"/>
    <x v="21"/>
    <x v="0"/>
    <n v="0"/>
    <x v="0"/>
    <x v="18"/>
    <x v="0"/>
    <n v="6"/>
    <x v="0"/>
    <n v="1"/>
    <x v="19"/>
    <n v="9.0899999999999995E-2"/>
    <x v="23"/>
    <x v="5"/>
    <n v="0"/>
    <n v="54"/>
    <n v="54"/>
    <x v="0"/>
    <x v="0"/>
    <x v="0"/>
    <x v="0"/>
  </r>
  <r>
    <n v="498"/>
    <x v="21"/>
    <x v="0"/>
    <n v="0"/>
    <x v="0"/>
    <x v="19"/>
    <x v="0"/>
    <n v="6"/>
    <x v="0"/>
    <n v="1"/>
    <x v="19"/>
    <n v="0.1061"/>
    <x v="23"/>
    <x v="7"/>
    <n v="6"/>
    <n v="53"/>
    <n v="59"/>
    <x v="0"/>
    <x v="0"/>
    <x v="0"/>
    <x v="0"/>
  </r>
  <r>
    <n v="499"/>
    <x v="21"/>
    <x v="0"/>
    <n v="0"/>
    <x v="0"/>
    <x v="20"/>
    <x v="0"/>
    <n v="6"/>
    <x v="0"/>
    <n v="1"/>
    <x v="20"/>
    <n v="7.5800000000000006E-2"/>
    <x v="49"/>
    <x v="8"/>
    <n v="1"/>
    <n v="44"/>
    <n v="45"/>
    <x v="0"/>
    <x v="0"/>
    <x v="0"/>
    <x v="0"/>
  </r>
  <r>
    <n v="500"/>
    <x v="21"/>
    <x v="0"/>
    <n v="0"/>
    <x v="0"/>
    <x v="21"/>
    <x v="0"/>
    <n v="6"/>
    <x v="0"/>
    <n v="1"/>
    <x v="20"/>
    <n v="0.1061"/>
    <x v="48"/>
    <x v="1"/>
    <n v="0"/>
    <n v="39"/>
    <n v="39"/>
    <x v="0"/>
    <x v="0"/>
    <x v="0"/>
    <x v="0"/>
  </r>
  <r>
    <n v="501"/>
    <x v="21"/>
    <x v="0"/>
    <n v="0"/>
    <x v="0"/>
    <x v="22"/>
    <x v="0"/>
    <n v="6"/>
    <x v="0"/>
    <n v="1"/>
    <x v="20"/>
    <n v="0.1515"/>
    <x v="36"/>
    <x v="0"/>
    <n v="7"/>
    <n v="23"/>
    <n v="30"/>
    <x v="0"/>
    <x v="0"/>
    <x v="0"/>
    <x v="0"/>
  </r>
  <r>
    <n v="502"/>
    <x v="21"/>
    <x v="0"/>
    <n v="0"/>
    <x v="0"/>
    <x v="23"/>
    <x v="0"/>
    <n v="6"/>
    <x v="0"/>
    <n v="1"/>
    <x v="21"/>
    <n v="7.5800000000000006E-2"/>
    <x v="14"/>
    <x v="14"/>
    <n v="2"/>
    <n v="31"/>
    <n v="33"/>
    <x v="0"/>
    <x v="0"/>
    <x v="0"/>
    <x v="0"/>
  </r>
  <r>
    <n v="503"/>
    <x v="22"/>
    <x v="0"/>
    <n v="0"/>
    <x v="0"/>
    <x v="0"/>
    <x v="0"/>
    <n v="0"/>
    <x v="0"/>
    <n v="1"/>
    <x v="21"/>
    <n v="7.5800000000000006E-2"/>
    <x v="14"/>
    <x v="14"/>
    <n v="2"/>
    <n v="20"/>
    <n v="22"/>
    <x v="0"/>
    <x v="1"/>
    <x v="0"/>
    <x v="0"/>
  </r>
  <r>
    <n v="504"/>
    <x v="22"/>
    <x v="0"/>
    <n v="0"/>
    <x v="0"/>
    <x v="1"/>
    <x v="0"/>
    <n v="0"/>
    <x v="0"/>
    <n v="1"/>
    <x v="21"/>
    <n v="7.5800000000000006E-2"/>
    <x v="14"/>
    <x v="14"/>
    <n v="1"/>
    <n v="12"/>
    <n v="13"/>
    <x v="0"/>
    <x v="1"/>
    <x v="0"/>
    <x v="0"/>
  </r>
  <r>
    <n v="505"/>
    <x v="22"/>
    <x v="0"/>
    <n v="0"/>
    <x v="0"/>
    <x v="2"/>
    <x v="0"/>
    <n v="0"/>
    <x v="0"/>
    <n v="1"/>
    <x v="22"/>
    <n v="6.0600000000000001E-2"/>
    <x v="51"/>
    <x v="7"/>
    <n v="3"/>
    <n v="15"/>
    <n v="18"/>
    <x v="0"/>
    <x v="1"/>
    <x v="0"/>
    <x v="0"/>
  </r>
  <r>
    <n v="506"/>
    <x v="22"/>
    <x v="0"/>
    <n v="0"/>
    <x v="0"/>
    <x v="3"/>
    <x v="0"/>
    <n v="0"/>
    <x v="0"/>
    <n v="1"/>
    <x v="22"/>
    <n v="6.0600000000000001E-2"/>
    <x v="51"/>
    <x v="7"/>
    <n v="1"/>
    <n v="4"/>
    <n v="5"/>
    <x v="0"/>
    <x v="1"/>
    <x v="0"/>
    <x v="0"/>
  </r>
  <r>
    <n v="507"/>
    <x v="22"/>
    <x v="0"/>
    <n v="0"/>
    <x v="0"/>
    <x v="5"/>
    <x v="0"/>
    <n v="0"/>
    <x v="0"/>
    <n v="2"/>
    <x v="21"/>
    <n v="7.5800000000000006E-2"/>
    <x v="14"/>
    <x v="14"/>
    <n v="0"/>
    <n v="3"/>
    <n v="3"/>
    <x v="1"/>
    <x v="1"/>
    <x v="0"/>
    <x v="0"/>
  </r>
  <r>
    <n v="508"/>
    <x v="22"/>
    <x v="0"/>
    <n v="0"/>
    <x v="0"/>
    <x v="6"/>
    <x v="0"/>
    <n v="0"/>
    <x v="0"/>
    <n v="2"/>
    <x v="21"/>
    <n v="7.5800000000000006E-2"/>
    <x v="14"/>
    <x v="14"/>
    <n v="0"/>
    <n v="1"/>
    <n v="1"/>
    <x v="1"/>
    <x v="1"/>
    <x v="0"/>
    <x v="0"/>
  </r>
  <r>
    <n v="509"/>
    <x v="22"/>
    <x v="0"/>
    <n v="0"/>
    <x v="0"/>
    <x v="7"/>
    <x v="0"/>
    <n v="0"/>
    <x v="0"/>
    <n v="1"/>
    <x v="19"/>
    <n v="0.1061"/>
    <x v="52"/>
    <x v="8"/>
    <n v="1"/>
    <n v="1"/>
    <n v="2"/>
    <x v="0"/>
    <x v="1"/>
    <x v="0"/>
    <x v="0"/>
  </r>
  <r>
    <n v="510"/>
    <x v="22"/>
    <x v="0"/>
    <n v="0"/>
    <x v="0"/>
    <x v="8"/>
    <x v="0"/>
    <n v="0"/>
    <x v="0"/>
    <n v="1"/>
    <x v="20"/>
    <n v="7.5800000000000006E-2"/>
    <x v="51"/>
    <x v="8"/>
    <n v="2"/>
    <n v="17"/>
    <n v="19"/>
    <x v="0"/>
    <x v="1"/>
    <x v="0"/>
    <x v="0"/>
  </r>
  <r>
    <n v="511"/>
    <x v="22"/>
    <x v="0"/>
    <n v="0"/>
    <x v="0"/>
    <x v="9"/>
    <x v="0"/>
    <n v="0"/>
    <x v="0"/>
    <n v="1"/>
    <x v="18"/>
    <n v="7.5800000000000006E-2"/>
    <x v="47"/>
    <x v="11"/>
    <n v="3"/>
    <n v="25"/>
    <n v="28"/>
    <x v="0"/>
    <x v="1"/>
    <x v="0"/>
    <x v="0"/>
  </r>
  <r>
    <n v="512"/>
    <x v="22"/>
    <x v="0"/>
    <n v="0"/>
    <x v="0"/>
    <x v="10"/>
    <x v="0"/>
    <n v="0"/>
    <x v="0"/>
    <n v="1"/>
    <x v="14"/>
    <n v="0.1061"/>
    <x v="15"/>
    <x v="13"/>
    <n v="7"/>
    <n v="51"/>
    <n v="58"/>
    <x v="0"/>
    <x v="1"/>
    <x v="0"/>
    <x v="0"/>
  </r>
  <r>
    <n v="513"/>
    <x v="22"/>
    <x v="0"/>
    <n v="0"/>
    <x v="0"/>
    <x v="11"/>
    <x v="0"/>
    <n v="0"/>
    <x v="0"/>
    <n v="1"/>
    <x v="14"/>
    <n v="0.13639999999999999"/>
    <x v="21"/>
    <x v="6"/>
    <n v="22"/>
    <n v="77"/>
    <n v="99"/>
    <x v="0"/>
    <x v="1"/>
    <x v="0"/>
    <x v="0"/>
  </r>
  <r>
    <n v="514"/>
    <x v="22"/>
    <x v="0"/>
    <n v="0"/>
    <x v="0"/>
    <x v="12"/>
    <x v="0"/>
    <n v="0"/>
    <x v="0"/>
    <n v="1"/>
    <x v="13"/>
    <n v="0.1212"/>
    <x v="38"/>
    <x v="17"/>
    <n v="24"/>
    <n v="92"/>
    <n v="116"/>
    <x v="0"/>
    <x v="1"/>
    <x v="0"/>
    <x v="0"/>
  </r>
  <r>
    <n v="515"/>
    <x v="22"/>
    <x v="0"/>
    <n v="0"/>
    <x v="0"/>
    <x v="13"/>
    <x v="0"/>
    <n v="0"/>
    <x v="0"/>
    <n v="1"/>
    <x v="14"/>
    <n v="0.1061"/>
    <x v="39"/>
    <x v="13"/>
    <n v="12"/>
    <n v="75"/>
    <n v="87"/>
    <x v="0"/>
    <x v="1"/>
    <x v="0"/>
    <x v="0"/>
  </r>
  <r>
    <n v="516"/>
    <x v="22"/>
    <x v="0"/>
    <n v="0"/>
    <x v="0"/>
    <x v="14"/>
    <x v="0"/>
    <n v="0"/>
    <x v="0"/>
    <n v="1"/>
    <x v="13"/>
    <n v="0.13639999999999999"/>
    <x v="40"/>
    <x v="11"/>
    <n v="17"/>
    <n v="93"/>
    <n v="110"/>
    <x v="0"/>
    <x v="1"/>
    <x v="0"/>
    <x v="0"/>
  </r>
  <r>
    <n v="517"/>
    <x v="22"/>
    <x v="0"/>
    <n v="0"/>
    <x v="0"/>
    <x v="15"/>
    <x v="0"/>
    <n v="0"/>
    <x v="0"/>
    <n v="1"/>
    <x v="13"/>
    <n v="0.13639999999999999"/>
    <x v="40"/>
    <x v="11"/>
    <n v="13"/>
    <n v="64"/>
    <n v="77"/>
    <x v="0"/>
    <x v="1"/>
    <x v="0"/>
    <x v="0"/>
  </r>
  <r>
    <n v="518"/>
    <x v="22"/>
    <x v="0"/>
    <n v="0"/>
    <x v="0"/>
    <x v="16"/>
    <x v="0"/>
    <n v="0"/>
    <x v="0"/>
    <n v="1"/>
    <x v="13"/>
    <n v="0.13639999999999999"/>
    <x v="60"/>
    <x v="9"/>
    <n v="9"/>
    <n v="56"/>
    <n v="65"/>
    <x v="0"/>
    <x v="1"/>
    <x v="0"/>
    <x v="0"/>
  </r>
  <r>
    <n v="519"/>
    <x v="22"/>
    <x v="0"/>
    <n v="0"/>
    <x v="0"/>
    <x v="17"/>
    <x v="0"/>
    <n v="0"/>
    <x v="0"/>
    <n v="1"/>
    <x v="14"/>
    <n v="0.1061"/>
    <x v="60"/>
    <x v="13"/>
    <n v="5"/>
    <n v="50"/>
    <n v="55"/>
    <x v="0"/>
    <x v="1"/>
    <x v="0"/>
    <x v="0"/>
  </r>
  <r>
    <n v="520"/>
    <x v="22"/>
    <x v="0"/>
    <n v="0"/>
    <x v="0"/>
    <x v="18"/>
    <x v="0"/>
    <n v="0"/>
    <x v="0"/>
    <n v="1"/>
    <x v="16"/>
    <n v="0.1212"/>
    <x v="24"/>
    <x v="2"/>
    <n v="5"/>
    <n v="44"/>
    <n v="49"/>
    <x v="0"/>
    <x v="1"/>
    <x v="0"/>
    <x v="0"/>
  </r>
  <r>
    <n v="521"/>
    <x v="22"/>
    <x v="0"/>
    <n v="0"/>
    <x v="0"/>
    <x v="19"/>
    <x v="0"/>
    <n v="0"/>
    <x v="0"/>
    <n v="1"/>
    <x v="16"/>
    <n v="0.1212"/>
    <x v="24"/>
    <x v="3"/>
    <n v="5"/>
    <n v="45"/>
    <n v="50"/>
    <x v="0"/>
    <x v="1"/>
    <x v="0"/>
    <x v="0"/>
  </r>
  <r>
    <n v="522"/>
    <x v="22"/>
    <x v="0"/>
    <n v="0"/>
    <x v="0"/>
    <x v="20"/>
    <x v="0"/>
    <n v="0"/>
    <x v="0"/>
    <n v="1"/>
    <x v="18"/>
    <n v="0.1061"/>
    <x v="42"/>
    <x v="2"/>
    <n v="4"/>
    <n v="31"/>
    <n v="35"/>
    <x v="0"/>
    <x v="1"/>
    <x v="0"/>
    <x v="0"/>
  </r>
  <r>
    <n v="523"/>
    <x v="22"/>
    <x v="0"/>
    <n v="0"/>
    <x v="0"/>
    <x v="21"/>
    <x v="0"/>
    <n v="0"/>
    <x v="0"/>
    <n v="1"/>
    <x v="18"/>
    <n v="0.1061"/>
    <x v="42"/>
    <x v="5"/>
    <n v="5"/>
    <n v="20"/>
    <n v="25"/>
    <x v="0"/>
    <x v="1"/>
    <x v="0"/>
    <x v="0"/>
  </r>
  <r>
    <n v="524"/>
    <x v="22"/>
    <x v="0"/>
    <n v="0"/>
    <x v="0"/>
    <x v="22"/>
    <x v="0"/>
    <n v="0"/>
    <x v="0"/>
    <n v="1"/>
    <x v="19"/>
    <n v="9.0899999999999995E-2"/>
    <x v="41"/>
    <x v="5"/>
    <n v="5"/>
    <n v="23"/>
    <n v="28"/>
    <x v="0"/>
    <x v="1"/>
    <x v="0"/>
    <x v="0"/>
  </r>
  <r>
    <n v="525"/>
    <x v="22"/>
    <x v="0"/>
    <n v="0"/>
    <x v="0"/>
    <x v="23"/>
    <x v="0"/>
    <n v="0"/>
    <x v="0"/>
    <n v="1"/>
    <x v="20"/>
    <n v="6.0600000000000001E-2"/>
    <x v="48"/>
    <x v="6"/>
    <n v="4"/>
    <n v="17"/>
    <n v="21"/>
    <x v="0"/>
    <x v="1"/>
    <x v="0"/>
    <x v="0"/>
  </r>
  <r>
    <n v="526"/>
    <x v="23"/>
    <x v="0"/>
    <n v="0"/>
    <x v="0"/>
    <x v="0"/>
    <x v="0"/>
    <n v="1"/>
    <x v="1"/>
    <n v="1"/>
    <x v="20"/>
    <n v="6.0600000000000001E-2"/>
    <x v="48"/>
    <x v="5"/>
    <n v="0"/>
    <n v="7"/>
    <n v="7"/>
    <x v="0"/>
    <x v="2"/>
    <x v="0"/>
    <x v="1"/>
  </r>
  <r>
    <n v="527"/>
    <x v="23"/>
    <x v="0"/>
    <n v="0"/>
    <x v="0"/>
    <x v="1"/>
    <x v="0"/>
    <n v="1"/>
    <x v="1"/>
    <n v="1"/>
    <x v="21"/>
    <n v="4.5499999999999999E-2"/>
    <x v="49"/>
    <x v="5"/>
    <n v="0"/>
    <n v="1"/>
    <n v="1"/>
    <x v="0"/>
    <x v="2"/>
    <x v="0"/>
    <x v="1"/>
  </r>
  <r>
    <n v="528"/>
    <x v="23"/>
    <x v="0"/>
    <n v="0"/>
    <x v="0"/>
    <x v="3"/>
    <x v="0"/>
    <n v="1"/>
    <x v="1"/>
    <n v="1"/>
    <x v="21"/>
    <n v="3.0300000000000001E-2"/>
    <x v="49"/>
    <x v="2"/>
    <n v="0"/>
    <n v="1"/>
    <n v="1"/>
    <x v="0"/>
    <x v="2"/>
    <x v="0"/>
    <x v="1"/>
  </r>
  <r>
    <n v="529"/>
    <x v="23"/>
    <x v="0"/>
    <n v="0"/>
    <x v="0"/>
    <x v="4"/>
    <x v="0"/>
    <n v="1"/>
    <x v="1"/>
    <n v="1"/>
    <x v="22"/>
    <n v="6.0600000000000001E-2"/>
    <x v="37"/>
    <x v="7"/>
    <n v="0"/>
    <n v="1"/>
    <n v="1"/>
    <x v="0"/>
    <x v="2"/>
    <x v="0"/>
    <x v="1"/>
  </r>
  <r>
    <n v="530"/>
    <x v="23"/>
    <x v="0"/>
    <n v="0"/>
    <x v="0"/>
    <x v="5"/>
    <x v="0"/>
    <n v="1"/>
    <x v="1"/>
    <n v="1"/>
    <x v="22"/>
    <n v="6.0600000000000001E-2"/>
    <x v="37"/>
    <x v="7"/>
    <n v="0"/>
    <n v="5"/>
    <n v="5"/>
    <x v="0"/>
    <x v="2"/>
    <x v="0"/>
    <x v="1"/>
  </r>
  <r>
    <n v="531"/>
    <x v="23"/>
    <x v="0"/>
    <n v="0"/>
    <x v="0"/>
    <x v="6"/>
    <x v="0"/>
    <n v="1"/>
    <x v="1"/>
    <n v="1"/>
    <x v="22"/>
    <n v="7.5800000000000006E-2"/>
    <x v="37"/>
    <x v="1"/>
    <n v="0"/>
    <n v="15"/>
    <n v="15"/>
    <x v="0"/>
    <x v="2"/>
    <x v="0"/>
    <x v="1"/>
  </r>
  <r>
    <n v="532"/>
    <x v="23"/>
    <x v="0"/>
    <n v="0"/>
    <x v="0"/>
    <x v="7"/>
    <x v="0"/>
    <n v="1"/>
    <x v="1"/>
    <n v="1"/>
    <x v="22"/>
    <n v="0.1212"/>
    <x v="37"/>
    <x v="0"/>
    <n v="5"/>
    <n v="79"/>
    <n v="84"/>
    <x v="0"/>
    <x v="2"/>
    <x v="0"/>
    <x v="1"/>
  </r>
  <r>
    <n v="533"/>
    <x v="23"/>
    <x v="0"/>
    <n v="0"/>
    <x v="0"/>
    <x v="8"/>
    <x v="0"/>
    <n v="1"/>
    <x v="1"/>
    <n v="1"/>
    <x v="21"/>
    <n v="0.13639999999999999"/>
    <x v="36"/>
    <x v="0"/>
    <n v="6"/>
    <n v="171"/>
    <n v="177"/>
    <x v="0"/>
    <x v="2"/>
    <x v="0"/>
    <x v="1"/>
  </r>
  <r>
    <n v="534"/>
    <x v="23"/>
    <x v="0"/>
    <n v="0"/>
    <x v="0"/>
    <x v="9"/>
    <x v="0"/>
    <n v="1"/>
    <x v="1"/>
    <n v="1"/>
    <x v="20"/>
    <n v="0.1515"/>
    <x v="48"/>
    <x v="0"/>
    <n v="4"/>
    <n v="98"/>
    <n v="102"/>
    <x v="0"/>
    <x v="2"/>
    <x v="0"/>
    <x v="1"/>
  </r>
  <r>
    <n v="535"/>
    <x v="23"/>
    <x v="0"/>
    <n v="0"/>
    <x v="0"/>
    <x v="10"/>
    <x v="0"/>
    <n v="1"/>
    <x v="1"/>
    <n v="1"/>
    <x v="18"/>
    <n v="0.13639999999999999"/>
    <x v="16"/>
    <x v="0"/>
    <n v="6"/>
    <n v="34"/>
    <n v="40"/>
    <x v="0"/>
    <x v="2"/>
    <x v="0"/>
    <x v="1"/>
  </r>
  <r>
    <n v="536"/>
    <x v="23"/>
    <x v="0"/>
    <n v="0"/>
    <x v="0"/>
    <x v="11"/>
    <x v="0"/>
    <n v="1"/>
    <x v="1"/>
    <n v="1"/>
    <x v="18"/>
    <n v="0.1212"/>
    <x v="15"/>
    <x v="7"/>
    <n v="3"/>
    <n v="43"/>
    <n v="46"/>
    <x v="0"/>
    <x v="2"/>
    <x v="0"/>
    <x v="1"/>
  </r>
  <r>
    <n v="537"/>
    <x v="23"/>
    <x v="0"/>
    <n v="0"/>
    <x v="0"/>
    <x v="12"/>
    <x v="0"/>
    <n v="1"/>
    <x v="1"/>
    <n v="2"/>
    <x v="16"/>
    <n v="0.13639999999999999"/>
    <x v="16"/>
    <x v="5"/>
    <n v="11"/>
    <n v="52"/>
    <n v="63"/>
    <x v="1"/>
    <x v="2"/>
    <x v="0"/>
    <x v="1"/>
  </r>
  <r>
    <n v="538"/>
    <x v="23"/>
    <x v="0"/>
    <n v="0"/>
    <x v="0"/>
    <x v="13"/>
    <x v="0"/>
    <n v="1"/>
    <x v="1"/>
    <n v="2"/>
    <x v="14"/>
    <n v="0.13639999999999999"/>
    <x v="21"/>
    <x v="6"/>
    <n v="6"/>
    <n v="54"/>
    <n v="60"/>
    <x v="1"/>
    <x v="2"/>
    <x v="0"/>
    <x v="1"/>
  </r>
  <r>
    <n v="539"/>
    <x v="23"/>
    <x v="0"/>
    <n v="0"/>
    <x v="0"/>
    <x v="14"/>
    <x v="0"/>
    <n v="1"/>
    <x v="1"/>
    <n v="2"/>
    <x v="14"/>
    <n v="0.13639999999999999"/>
    <x v="15"/>
    <x v="6"/>
    <n v="2"/>
    <n v="43"/>
    <n v="45"/>
    <x v="1"/>
    <x v="2"/>
    <x v="0"/>
    <x v="1"/>
  </r>
  <r>
    <n v="540"/>
    <x v="23"/>
    <x v="0"/>
    <n v="0"/>
    <x v="0"/>
    <x v="15"/>
    <x v="0"/>
    <n v="1"/>
    <x v="1"/>
    <n v="1"/>
    <x v="13"/>
    <n v="0.16669999999999999"/>
    <x v="22"/>
    <x v="8"/>
    <n v="7"/>
    <n v="50"/>
    <n v="57"/>
    <x v="0"/>
    <x v="2"/>
    <x v="0"/>
    <x v="1"/>
  </r>
  <r>
    <n v="541"/>
    <x v="23"/>
    <x v="0"/>
    <n v="0"/>
    <x v="0"/>
    <x v="16"/>
    <x v="0"/>
    <n v="1"/>
    <x v="1"/>
    <n v="1"/>
    <x v="13"/>
    <n v="0.1515"/>
    <x v="19"/>
    <x v="2"/>
    <n v="4"/>
    <n v="66"/>
    <n v="70"/>
    <x v="0"/>
    <x v="2"/>
    <x v="0"/>
    <x v="1"/>
  </r>
  <r>
    <n v="542"/>
    <x v="23"/>
    <x v="0"/>
    <n v="0"/>
    <x v="0"/>
    <x v="17"/>
    <x v="0"/>
    <n v="1"/>
    <x v="1"/>
    <n v="1"/>
    <x v="14"/>
    <n v="0.1212"/>
    <x v="20"/>
    <x v="2"/>
    <n v="6"/>
    <n v="178"/>
    <n v="184"/>
    <x v="0"/>
    <x v="2"/>
    <x v="0"/>
    <x v="1"/>
  </r>
  <r>
    <n v="543"/>
    <x v="23"/>
    <x v="0"/>
    <n v="0"/>
    <x v="0"/>
    <x v="18"/>
    <x v="0"/>
    <n v="1"/>
    <x v="1"/>
    <n v="1"/>
    <x v="14"/>
    <n v="0.13639999999999999"/>
    <x v="29"/>
    <x v="5"/>
    <n v="8"/>
    <n v="145"/>
    <n v="153"/>
    <x v="0"/>
    <x v="2"/>
    <x v="0"/>
    <x v="1"/>
  </r>
  <r>
    <n v="544"/>
    <x v="23"/>
    <x v="0"/>
    <n v="0"/>
    <x v="0"/>
    <x v="19"/>
    <x v="0"/>
    <n v="1"/>
    <x v="1"/>
    <n v="1"/>
    <x v="14"/>
    <n v="0.1515"/>
    <x v="47"/>
    <x v="8"/>
    <n v="5"/>
    <n v="101"/>
    <n v="106"/>
    <x v="0"/>
    <x v="2"/>
    <x v="0"/>
    <x v="1"/>
  </r>
  <r>
    <n v="545"/>
    <x v="23"/>
    <x v="0"/>
    <n v="0"/>
    <x v="0"/>
    <x v="20"/>
    <x v="0"/>
    <n v="1"/>
    <x v="1"/>
    <n v="1"/>
    <x v="14"/>
    <n v="0.13639999999999999"/>
    <x v="29"/>
    <x v="5"/>
    <n v="1"/>
    <n v="80"/>
    <n v="81"/>
    <x v="0"/>
    <x v="2"/>
    <x v="0"/>
    <x v="1"/>
  </r>
  <r>
    <n v="546"/>
    <x v="23"/>
    <x v="0"/>
    <n v="0"/>
    <x v="0"/>
    <x v="21"/>
    <x v="0"/>
    <n v="1"/>
    <x v="1"/>
    <n v="1"/>
    <x v="14"/>
    <n v="0.1515"/>
    <x v="30"/>
    <x v="8"/>
    <n v="6"/>
    <n v="53"/>
    <n v="59"/>
    <x v="0"/>
    <x v="2"/>
    <x v="0"/>
    <x v="1"/>
  </r>
  <r>
    <n v="547"/>
    <x v="23"/>
    <x v="0"/>
    <n v="0"/>
    <x v="0"/>
    <x v="22"/>
    <x v="0"/>
    <n v="1"/>
    <x v="1"/>
    <n v="2"/>
    <x v="14"/>
    <n v="0.13639999999999999"/>
    <x v="30"/>
    <x v="6"/>
    <n v="3"/>
    <n v="32"/>
    <n v="35"/>
    <x v="1"/>
    <x v="2"/>
    <x v="0"/>
    <x v="1"/>
  </r>
  <r>
    <n v="548"/>
    <x v="23"/>
    <x v="0"/>
    <n v="0"/>
    <x v="0"/>
    <x v="23"/>
    <x v="0"/>
    <n v="1"/>
    <x v="1"/>
    <n v="2"/>
    <x v="13"/>
    <n v="0.1515"/>
    <x v="26"/>
    <x v="2"/>
    <n v="3"/>
    <n v="21"/>
    <n v="24"/>
    <x v="1"/>
    <x v="2"/>
    <x v="0"/>
    <x v="1"/>
  </r>
  <r>
    <n v="549"/>
    <x v="24"/>
    <x v="0"/>
    <n v="0"/>
    <x v="0"/>
    <x v="0"/>
    <x v="0"/>
    <n v="2"/>
    <x v="1"/>
    <n v="2"/>
    <x v="13"/>
    <n v="0.13639999999999999"/>
    <x v="27"/>
    <x v="3"/>
    <n v="3"/>
    <n v="6"/>
    <n v="9"/>
    <x v="1"/>
    <x v="3"/>
    <x v="0"/>
    <x v="1"/>
  </r>
  <r>
    <n v="550"/>
    <x v="24"/>
    <x v="0"/>
    <n v="0"/>
    <x v="0"/>
    <x v="1"/>
    <x v="0"/>
    <n v="2"/>
    <x v="1"/>
    <n v="2"/>
    <x v="13"/>
    <n v="0.16669999999999999"/>
    <x v="27"/>
    <x v="8"/>
    <n v="0"/>
    <n v="5"/>
    <n v="5"/>
    <x v="1"/>
    <x v="3"/>
    <x v="0"/>
    <x v="1"/>
  </r>
  <r>
    <n v="551"/>
    <x v="24"/>
    <x v="0"/>
    <n v="0"/>
    <x v="0"/>
    <x v="2"/>
    <x v="0"/>
    <n v="2"/>
    <x v="1"/>
    <n v="1"/>
    <x v="13"/>
    <n v="0.1515"/>
    <x v="27"/>
    <x v="6"/>
    <n v="0"/>
    <n v="2"/>
    <n v="2"/>
    <x v="0"/>
    <x v="3"/>
    <x v="0"/>
    <x v="1"/>
  </r>
  <r>
    <n v="552"/>
    <x v="24"/>
    <x v="0"/>
    <n v="0"/>
    <x v="0"/>
    <x v="4"/>
    <x v="0"/>
    <n v="2"/>
    <x v="1"/>
    <n v="1"/>
    <x v="14"/>
    <n v="0.16669999999999999"/>
    <x v="32"/>
    <x v="14"/>
    <n v="0"/>
    <n v="1"/>
    <n v="1"/>
    <x v="0"/>
    <x v="3"/>
    <x v="0"/>
    <x v="1"/>
  </r>
  <r>
    <n v="553"/>
    <x v="24"/>
    <x v="0"/>
    <n v="0"/>
    <x v="0"/>
    <x v="5"/>
    <x v="0"/>
    <n v="2"/>
    <x v="1"/>
    <n v="1"/>
    <x v="14"/>
    <n v="0.13639999999999999"/>
    <x v="32"/>
    <x v="6"/>
    <n v="0"/>
    <n v="9"/>
    <n v="9"/>
    <x v="0"/>
    <x v="3"/>
    <x v="0"/>
    <x v="1"/>
  </r>
  <r>
    <n v="554"/>
    <x v="24"/>
    <x v="0"/>
    <n v="0"/>
    <x v="0"/>
    <x v="6"/>
    <x v="0"/>
    <n v="2"/>
    <x v="1"/>
    <n v="1"/>
    <x v="13"/>
    <n v="0.18179999999999999"/>
    <x v="32"/>
    <x v="14"/>
    <n v="1"/>
    <n v="35"/>
    <n v="36"/>
    <x v="0"/>
    <x v="3"/>
    <x v="0"/>
    <x v="1"/>
  </r>
  <r>
    <n v="555"/>
    <x v="24"/>
    <x v="0"/>
    <n v="0"/>
    <x v="0"/>
    <x v="7"/>
    <x v="0"/>
    <n v="2"/>
    <x v="1"/>
    <n v="1"/>
    <x v="13"/>
    <n v="0.1515"/>
    <x v="32"/>
    <x v="6"/>
    <n v="5"/>
    <n v="103"/>
    <n v="108"/>
    <x v="0"/>
    <x v="3"/>
    <x v="0"/>
    <x v="1"/>
  </r>
  <r>
    <n v="556"/>
    <x v="24"/>
    <x v="0"/>
    <n v="0"/>
    <x v="0"/>
    <x v="8"/>
    <x v="0"/>
    <n v="2"/>
    <x v="1"/>
    <n v="2"/>
    <x v="13"/>
    <n v="0.18179999999999999"/>
    <x v="32"/>
    <x v="7"/>
    <n v="5"/>
    <n v="233"/>
    <n v="238"/>
    <x v="1"/>
    <x v="3"/>
    <x v="0"/>
    <x v="1"/>
  </r>
  <r>
    <n v="557"/>
    <x v="24"/>
    <x v="0"/>
    <n v="0"/>
    <x v="0"/>
    <x v="9"/>
    <x v="0"/>
    <n v="2"/>
    <x v="1"/>
    <n v="2"/>
    <x v="2"/>
    <n v="0.2273"/>
    <x v="26"/>
    <x v="1"/>
    <n v="10"/>
    <n v="134"/>
    <n v="144"/>
    <x v="1"/>
    <x v="3"/>
    <x v="0"/>
    <x v="1"/>
  </r>
  <r>
    <n v="558"/>
    <x v="24"/>
    <x v="0"/>
    <n v="0"/>
    <x v="0"/>
    <x v="10"/>
    <x v="0"/>
    <n v="2"/>
    <x v="1"/>
    <n v="2"/>
    <x v="1"/>
    <n v="0.2424"/>
    <x v="54"/>
    <x v="14"/>
    <n v="6"/>
    <n v="49"/>
    <n v="55"/>
    <x v="1"/>
    <x v="3"/>
    <x v="0"/>
    <x v="1"/>
  </r>
  <r>
    <n v="559"/>
    <x v="24"/>
    <x v="0"/>
    <n v="0"/>
    <x v="0"/>
    <x v="11"/>
    <x v="0"/>
    <n v="2"/>
    <x v="1"/>
    <n v="2"/>
    <x v="0"/>
    <n v="0.2424"/>
    <x v="54"/>
    <x v="7"/>
    <n v="6"/>
    <n v="55"/>
    <n v="61"/>
    <x v="1"/>
    <x v="3"/>
    <x v="0"/>
    <x v="1"/>
  </r>
  <r>
    <n v="560"/>
    <x v="24"/>
    <x v="0"/>
    <n v="0"/>
    <x v="0"/>
    <x v="12"/>
    <x v="0"/>
    <n v="2"/>
    <x v="1"/>
    <n v="2"/>
    <x v="12"/>
    <n v="0.28789999999999999"/>
    <x v="34"/>
    <x v="1"/>
    <n v="21"/>
    <n v="85"/>
    <n v="106"/>
    <x v="1"/>
    <x v="3"/>
    <x v="0"/>
    <x v="1"/>
  </r>
  <r>
    <n v="561"/>
    <x v="24"/>
    <x v="0"/>
    <n v="0"/>
    <x v="0"/>
    <x v="13"/>
    <x v="0"/>
    <n v="2"/>
    <x v="1"/>
    <n v="2"/>
    <x v="12"/>
    <n v="0.2727"/>
    <x v="34"/>
    <x v="7"/>
    <n v="21"/>
    <n v="72"/>
    <n v="93"/>
    <x v="1"/>
    <x v="3"/>
    <x v="0"/>
    <x v="1"/>
  </r>
  <r>
    <n v="562"/>
    <x v="24"/>
    <x v="0"/>
    <n v="0"/>
    <x v="0"/>
    <x v="14"/>
    <x v="0"/>
    <n v="2"/>
    <x v="1"/>
    <n v="2"/>
    <x v="11"/>
    <n v="0.33329999999999999"/>
    <x v="49"/>
    <x v="0"/>
    <n v="11"/>
    <n v="57"/>
    <n v="68"/>
    <x v="1"/>
    <x v="3"/>
    <x v="0"/>
    <x v="1"/>
  </r>
  <r>
    <n v="563"/>
    <x v="24"/>
    <x v="0"/>
    <n v="0"/>
    <x v="0"/>
    <x v="15"/>
    <x v="0"/>
    <n v="2"/>
    <x v="1"/>
    <n v="2"/>
    <x v="3"/>
    <n v="0.34849999999999998"/>
    <x v="16"/>
    <x v="0"/>
    <n v="21"/>
    <n v="63"/>
    <n v="84"/>
    <x v="1"/>
    <x v="3"/>
    <x v="0"/>
    <x v="1"/>
  </r>
  <r>
    <n v="564"/>
    <x v="24"/>
    <x v="0"/>
    <n v="0"/>
    <x v="0"/>
    <x v="16"/>
    <x v="0"/>
    <n v="2"/>
    <x v="1"/>
    <n v="2"/>
    <x v="3"/>
    <n v="0.34849999999999998"/>
    <x v="16"/>
    <x v="0"/>
    <n v="14"/>
    <n v="102"/>
    <n v="116"/>
    <x v="1"/>
    <x v="3"/>
    <x v="0"/>
    <x v="1"/>
  </r>
  <r>
    <n v="565"/>
    <x v="24"/>
    <x v="0"/>
    <n v="0"/>
    <x v="0"/>
    <x v="17"/>
    <x v="0"/>
    <n v="2"/>
    <x v="1"/>
    <n v="1"/>
    <x v="11"/>
    <n v="0.33329999999999999"/>
    <x v="49"/>
    <x v="0"/>
    <n v="14"/>
    <n v="208"/>
    <n v="222"/>
    <x v="0"/>
    <x v="3"/>
    <x v="0"/>
    <x v="1"/>
  </r>
  <r>
    <n v="566"/>
    <x v="24"/>
    <x v="0"/>
    <n v="0"/>
    <x v="0"/>
    <x v="18"/>
    <x v="0"/>
    <n v="2"/>
    <x v="1"/>
    <n v="2"/>
    <x v="11"/>
    <n v="0.31819999999999998"/>
    <x v="36"/>
    <x v="1"/>
    <n v="7"/>
    <n v="218"/>
    <n v="225"/>
    <x v="1"/>
    <x v="3"/>
    <x v="0"/>
    <x v="1"/>
  </r>
  <r>
    <n v="567"/>
    <x v="24"/>
    <x v="0"/>
    <n v="0"/>
    <x v="0"/>
    <x v="19"/>
    <x v="0"/>
    <n v="2"/>
    <x v="1"/>
    <n v="2"/>
    <x v="12"/>
    <n v="0.2576"/>
    <x v="55"/>
    <x v="8"/>
    <n v="13"/>
    <n v="133"/>
    <n v="146"/>
    <x v="1"/>
    <x v="3"/>
    <x v="0"/>
    <x v="1"/>
  </r>
  <r>
    <n v="568"/>
    <x v="24"/>
    <x v="0"/>
    <n v="0"/>
    <x v="0"/>
    <x v="20"/>
    <x v="0"/>
    <n v="2"/>
    <x v="1"/>
    <n v="1"/>
    <x v="0"/>
    <n v="0.2273"/>
    <x v="55"/>
    <x v="5"/>
    <n v="16"/>
    <n v="103"/>
    <n v="119"/>
    <x v="0"/>
    <x v="3"/>
    <x v="0"/>
    <x v="1"/>
  </r>
  <r>
    <n v="569"/>
    <x v="24"/>
    <x v="0"/>
    <n v="0"/>
    <x v="0"/>
    <x v="21"/>
    <x v="0"/>
    <n v="2"/>
    <x v="1"/>
    <n v="1"/>
    <x v="0"/>
    <n v="0.2273"/>
    <x v="55"/>
    <x v="5"/>
    <n v="5"/>
    <n v="40"/>
    <n v="45"/>
    <x v="0"/>
    <x v="3"/>
    <x v="0"/>
    <x v="1"/>
  </r>
  <r>
    <n v="570"/>
    <x v="24"/>
    <x v="0"/>
    <n v="0"/>
    <x v="0"/>
    <x v="22"/>
    <x v="0"/>
    <n v="2"/>
    <x v="1"/>
    <n v="1"/>
    <x v="1"/>
    <n v="0.2273"/>
    <x v="26"/>
    <x v="8"/>
    <n v="4"/>
    <n v="49"/>
    <n v="53"/>
    <x v="0"/>
    <x v="3"/>
    <x v="0"/>
    <x v="1"/>
  </r>
  <r>
    <n v="571"/>
    <x v="24"/>
    <x v="0"/>
    <n v="0"/>
    <x v="0"/>
    <x v="23"/>
    <x v="0"/>
    <n v="2"/>
    <x v="1"/>
    <n v="2"/>
    <x v="1"/>
    <n v="0.2273"/>
    <x v="26"/>
    <x v="8"/>
    <n v="3"/>
    <n v="37"/>
    <n v="40"/>
    <x v="1"/>
    <x v="3"/>
    <x v="0"/>
    <x v="1"/>
  </r>
  <r>
    <n v="572"/>
    <x v="25"/>
    <x v="0"/>
    <n v="0"/>
    <x v="0"/>
    <x v="0"/>
    <x v="0"/>
    <n v="3"/>
    <x v="1"/>
    <n v="2"/>
    <x v="1"/>
    <n v="0.2273"/>
    <x v="27"/>
    <x v="7"/>
    <n v="3"/>
    <n v="14"/>
    <n v="17"/>
    <x v="1"/>
    <x v="4"/>
    <x v="0"/>
    <x v="1"/>
  </r>
  <r>
    <n v="573"/>
    <x v="25"/>
    <x v="0"/>
    <n v="0"/>
    <x v="0"/>
    <x v="1"/>
    <x v="0"/>
    <n v="3"/>
    <x v="1"/>
    <n v="2"/>
    <x v="0"/>
    <n v="0.2424"/>
    <x v="55"/>
    <x v="7"/>
    <n v="0"/>
    <n v="5"/>
    <n v="5"/>
    <x v="1"/>
    <x v="4"/>
    <x v="0"/>
    <x v="1"/>
  </r>
  <r>
    <n v="574"/>
    <x v="25"/>
    <x v="0"/>
    <n v="0"/>
    <x v="0"/>
    <x v="2"/>
    <x v="0"/>
    <n v="3"/>
    <x v="1"/>
    <n v="3"/>
    <x v="1"/>
    <n v="0.2273"/>
    <x v="27"/>
    <x v="5"/>
    <n v="3"/>
    <n v="7"/>
    <n v="10"/>
    <x v="2"/>
    <x v="4"/>
    <x v="0"/>
    <x v="1"/>
  </r>
  <r>
    <n v="575"/>
    <x v="25"/>
    <x v="0"/>
    <n v="0"/>
    <x v="0"/>
    <x v="5"/>
    <x v="0"/>
    <n v="3"/>
    <x v="1"/>
    <n v="3"/>
    <x v="2"/>
    <n v="0.18179999999999999"/>
    <x v="3"/>
    <x v="3"/>
    <n v="0"/>
    <n v="1"/>
    <n v="1"/>
    <x v="2"/>
    <x v="4"/>
    <x v="0"/>
    <x v="1"/>
  </r>
  <r>
    <n v="576"/>
    <x v="25"/>
    <x v="0"/>
    <n v="0"/>
    <x v="0"/>
    <x v="6"/>
    <x v="0"/>
    <n v="3"/>
    <x v="1"/>
    <n v="3"/>
    <x v="2"/>
    <n v="0.18179999999999999"/>
    <x v="3"/>
    <x v="3"/>
    <n v="0"/>
    <n v="8"/>
    <n v="8"/>
    <x v="2"/>
    <x v="4"/>
    <x v="0"/>
    <x v="1"/>
  </r>
  <r>
    <n v="577"/>
    <x v="25"/>
    <x v="0"/>
    <n v="0"/>
    <x v="0"/>
    <x v="7"/>
    <x v="0"/>
    <n v="3"/>
    <x v="1"/>
    <n v="3"/>
    <x v="1"/>
    <n v="0.21210000000000001"/>
    <x v="9"/>
    <x v="4"/>
    <n v="1"/>
    <n v="29"/>
    <n v="30"/>
    <x v="2"/>
    <x v="4"/>
    <x v="0"/>
    <x v="1"/>
  </r>
  <r>
    <n v="578"/>
    <x v="25"/>
    <x v="0"/>
    <n v="0"/>
    <x v="0"/>
    <x v="8"/>
    <x v="0"/>
    <n v="3"/>
    <x v="1"/>
    <n v="3"/>
    <x v="1"/>
    <n v="0.21210000000000001"/>
    <x v="9"/>
    <x v="4"/>
    <n v="3"/>
    <n v="69"/>
    <n v="72"/>
    <x v="2"/>
    <x v="4"/>
    <x v="0"/>
    <x v="1"/>
  </r>
  <r>
    <n v="579"/>
    <x v="25"/>
    <x v="0"/>
    <n v="0"/>
    <x v="0"/>
    <x v="9"/>
    <x v="0"/>
    <n v="3"/>
    <x v="1"/>
    <n v="3"/>
    <x v="1"/>
    <n v="0.21210000000000001"/>
    <x v="9"/>
    <x v="4"/>
    <n v="3"/>
    <n v="55"/>
    <n v="58"/>
    <x v="2"/>
    <x v="4"/>
    <x v="0"/>
    <x v="1"/>
  </r>
  <r>
    <n v="580"/>
    <x v="25"/>
    <x v="0"/>
    <n v="0"/>
    <x v="0"/>
    <x v="10"/>
    <x v="0"/>
    <n v="3"/>
    <x v="1"/>
    <n v="3"/>
    <x v="1"/>
    <n v="0.21210000000000001"/>
    <x v="43"/>
    <x v="3"/>
    <n v="2"/>
    <n v="26"/>
    <n v="28"/>
    <x v="2"/>
    <x v="4"/>
    <x v="0"/>
    <x v="1"/>
  </r>
  <r>
    <n v="581"/>
    <x v="25"/>
    <x v="0"/>
    <n v="0"/>
    <x v="0"/>
    <x v="11"/>
    <x v="0"/>
    <n v="3"/>
    <x v="1"/>
    <n v="3"/>
    <x v="1"/>
    <n v="0.19700000000000001"/>
    <x v="43"/>
    <x v="9"/>
    <n v="6"/>
    <n v="35"/>
    <n v="41"/>
    <x v="2"/>
    <x v="4"/>
    <x v="0"/>
    <x v="1"/>
  </r>
  <r>
    <n v="582"/>
    <x v="25"/>
    <x v="0"/>
    <n v="0"/>
    <x v="0"/>
    <x v="12"/>
    <x v="0"/>
    <n v="3"/>
    <x v="1"/>
    <n v="3"/>
    <x v="1"/>
    <n v="0.19700000000000001"/>
    <x v="43"/>
    <x v="9"/>
    <n v="7"/>
    <n v="41"/>
    <n v="48"/>
    <x v="2"/>
    <x v="4"/>
    <x v="0"/>
    <x v="1"/>
  </r>
  <r>
    <n v="583"/>
    <x v="25"/>
    <x v="0"/>
    <n v="0"/>
    <x v="0"/>
    <x v="13"/>
    <x v="0"/>
    <n v="3"/>
    <x v="1"/>
    <n v="3"/>
    <x v="1"/>
    <n v="0.19700000000000001"/>
    <x v="43"/>
    <x v="9"/>
    <n v="4"/>
    <n v="43"/>
    <n v="47"/>
    <x v="2"/>
    <x v="4"/>
    <x v="0"/>
    <x v="1"/>
  </r>
  <r>
    <n v="584"/>
    <x v="25"/>
    <x v="0"/>
    <n v="0"/>
    <x v="0"/>
    <x v="14"/>
    <x v="0"/>
    <n v="3"/>
    <x v="1"/>
    <n v="3"/>
    <x v="1"/>
    <n v="0.19700000000000001"/>
    <x v="43"/>
    <x v="11"/>
    <n v="0"/>
    <n v="36"/>
    <n v="36"/>
    <x v="2"/>
    <x v="4"/>
    <x v="0"/>
    <x v="1"/>
  </r>
  <r>
    <n v="585"/>
    <x v="25"/>
    <x v="0"/>
    <n v="0"/>
    <x v="0"/>
    <x v="15"/>
    <x v="0"/>
    <n v="3"/>
    <x v="1"/>
    <n v="3"/>
    <x v="1"/>
    <n v="0.18179999999999999"/>
    <x v="43"/>
    <x v="17"/>
    <n v="1"/>
    <n v="42"/>
    <n v="43"/>
    <x v="2"/>
    <x v="4"/>
    <x v="0"/>
    <x v="1"/>
  </r>
  <r>
    <n v="586"/>
    <x v="25"/>
    <x v="0"/>
    <n v="0"/>
    <x v="0"/>
    <x v="16"/>
    <x v="0"/>
    <n v="3"/>
    <x v="1"/>
    <n v="4"/>
    <x v="1"/>
    <n v="0.19700000000000001"/>
    <x v="43"/>
    <x v="9"/>
    <n v="1"/>
    <n v="35"/>
    <n v="36"/>
    <x v="3"/>
    <x v="4"/>
    <x v="0"/>
    <x v="1"/>
  </r>
  <r>
    <n v="587"/>
    <x v="25"/>
    <x v="0"/>
    <n v="0"/>
    <x v="0"/>
    <x v="17"/>
    <x v="0"/>
    <n v="3"/>
    <x v="1"/>
    <n v="3"/>
    <x v="2"/>
    <n v="0.18179999999999999"/>
    <x v="43"/>
    <x v="11"/>
    <n v="0"/>
    <n v="26"/>
    <n v="26"/>
    <x v="2"/>
    <x v="4"/>
    <x v="0"/>
    <x v="1"/>
  </r>
  <r>
    <n v="588"/>
    <x v="26"/>
    <x v="0"/>
    <n v="0"/>
    <x v="0"/>
    <x v="16"/>
    <x v="0"/>
    <n v="4"/>
    <x v="1"/>
    <n v="1"/>
    <x v="1"/>
    <n v="0.2273"/>
    <x v="28"/>
    <x v="5"/>
    <n v="1"/>
    <n v="23"/>
    <n v="24"/>
    <x v="0"/>
    <x v="5"/>
    <x v="0"/>
    <x v="1"/>
  </r>
  <r>
    <n v="589"/>
    <x v="26"/>
    <x v="0"/>
    <n v="0"/>
    <x v="0"/>
    <x v="17"/>
    <x v="0"/>
    <n v="4"/>
    <x v="1"/>
    <n v="1"/>
    <x v="1"/>
    <n v="0.2424"/>
    <x v="28"/>
    <x v="14"/>
    <n v="2"/>
    <n v="82"/>
    <n v="84"/>
    <x v="0"/>
    <x v="5"/>
    <x v="0"/>
    <x v="1"/>
  </r>
  <r>
    <n v="590"/>
    <x v="26"/>
    <x v="0"/>
    <n v="0"/>
    <x v="0"/>
    <x v="18"/>
    <x v="0"/>
    <n v="4"/>
    <x v="1"/>
    <n v="1"/>
    <x v="2"/>
    <n v="0.2273"/>
    <x v="27"/>
    <x v="1"/>
    <n v="3"/>
    <n v="101"/>
    <n v="104"/>
    <x v="0"/>
    <x v="5"/>
    <x v="0"/>
    <x v="1"/>
  </r>
  <r>
    <n v="591"/>
    <x v="26"/>
    <x v="0"/>
    <n v="0"/>
    <x v="0"/>
    <x v="19"/>
    <x v="0"/>
    <n v="4"/>
    <x v="1"/>
    <n v="1"/>
    <x v="2"/>
    <n v="0.2273"/>
    <x v="27"/>
    <x v="1"/>
    <n v="3"/>
    <n v="76"/>
    <n v="79"/>
    <x v="0"/>
    <x v="5"/>
    <x v="0"/>
    <x v="1"/>
  </r>
  <r>
    <n v="592"/>
    <x v="26"/>
    <x v="0"/>
    <n v="0"/>
    <x v="0"/>
    <x v="20"/>
    <x v="0"/>
    <n v="4"/>
    <x v="1"/>
    <n v="1"/>
    <x v="15"/>
    <n v="0.21210000000000001"/>
    <x v="32"/>
    <x v="1"/>
    <n v="4"/>
    <n v="55"/>
    <n v="59"/>
    <x v="0"/>
    <x v="5"/>
    <x v="0"/>
    <x v="1"/>
  </r>
  <r>
    <n v="593"/>
    <x v="26"/>
    <x v="0"/>
    <n v="0"/>
    <x v="0"/>
    <x v="21"/>
    <x v="0"/>
    <n v="4"/>
    <x v="1"/>
    <n v="1"/>
    <x v="15"/>
    <n v="0.21210000000000001"/>
    <x v="32"/>
    <x v="1"/>
    <n v="2"/>
    <n v="36"/>
    <n v="38"/>
    <x v="0"/>
    <x v="5"/>
    <x v="0"/>
    <x v="1"/>
  </r>
  <r>
    <n v="594"/>
    <x v="26"/>
    <x v="0"/>
    <n v="0"/>
    <x v="0"/>
    <x v="22"/>
    <x v="0"/>
    <n v="4"/>
    <x v="1"/>
    <n v="1"/>
    <x v="15"/>
    <n v="0.21210000000000001"/>
    <x v="32"/>
    <x v="1"/>
    <n v="0"/>
    <n v="27"/>
    <n v="27"/>
    <x v="0"/>
    <x v="5"/>
    <x v="0"/>
    <x v="1"/>
  </r>
  <r>
    <n v="595"/>
    <x v="26"/>
    <x v="0"/>
    <n v="0"/>
    <x v="0"/>
    <x v="23"/>
    <x v="0"/>
    <n v="4"/>
    <x v="1"/>
    <n v="1"/>
    <x v="15"/>
    <n v="0.19700000000000001"/>
    <x v="1"/>
    <x v="8"/>
    <n v="0"/>
    <n v="16"/>
    <n v="16"/>
    <x v="0"/>
    <x v="5"/>
    <x v="0"/>
    <x v="1"/>
  </r>
  <r>
    <n v="596"/>
    <x v="27"/>
    <x v="0"/>
    <n v="0"/>
    <x v="0"/>
    <x v="0"/>
    <x v="0"/>
    <n v="5"/>
    <x v="1"/>
    <n v="2"/>
    <x v="2"/>
    <n v="0.21210000000000001"/>
    <x v="2"/>
    <x v="7"/>
    <n v="0"/>
    <n v="9"/>
    <n v="9"/>
    <x v="1"/>
    <x v="6"/>
    <x v="0"/>
    <x v="1"/>
  </r>
  <r>
    <n v="597"/>
    <x v="27"/>
    <x v="0"/>
    <n v="0"/>
    <x v="0"/>
    <x v="1"/>
    <x v="0"/>
    <n v="5"/>
    <x v="1"/>
    <n v="2"/>
    <x v="2"/>
    <n v="0.21210000000000001"/>
    <x v="2"/>
    <x v="7"/>
    <n v="1"/>
    <n v="2"/>
    <n v="3"/>
    <x v="1"/>
    <x v="6"/>
    <x v="0"/>
    <x v="1"/>
  </r>
  <r>
    <n v="598"/>
    <x v="27"/>
    <x v="0"/>
    <n v="0"/>
    <x v="0"/>
    <x v="2"/>
    <x v="0"/>
    <n v="5"/>
    <x v="1"/>
    <n v="2"/>
    <x v="2"/>
    <n v="0.21210000000000001"/>
    <x v="2"/>
    <x v="8"/>
    <n v="0"/>
    <n v="2"/>
    <n v="2"/>
    <x v="1"/>
    <x v="6"/>
    <x v="0"/>
    <x v="1"/>
  </r>
  <r>
    <n v="599"/>
    <x v="27"/>
    <x v="0"/>
    <n v="0"/>
    <x v="0"/>
    <x v="3"/>
    <x v="0"/>
    <n v="5"/>
    <x v="1"/>
    <n v="2"/>
    <x v="2"/>
    <n v="0.2273"/>
    <x v="2"/>
    <x v="14"/>
    <n v="1"/>
    <n v="0"/>
    <n v="1"/>
    <x v="1"/>
    <x v="6"/>
    <x v="0"/>
    <x v="1"/>
  </r>
  <r>
    <n v="600"/>
    <x v="27"/>
    <x v="0"/>
    <n v="0"/>
    <x v="0"/>
    <x v="5"/>
    <x v="0"/>
    <n v="5"/>
    <x v="1"/>
    <n v="2"/>
    <x v="15"/>
    <n v="0.21210000000000001"/>
    <x v="1"/>
    <x v="14"/>
    <n v="0"/>
    <n v="4"/>
    <n v="4"/>
    <x v="1"/>
    <x v="6"/>
    <x v="0"/>
    <x v="1"/>
  </r>
  <r>
    <n v="601"/>
    <x v="27"/>
    <x v="0"/>
    <n v="0"/>
    <x v="0"/>
    <x v="6"/>
    <x v="0"/>
    <n v="5"/>
    <x v="1"/>
    <n v="2"/>
    <x v="15"/>
    <n v="0.19700000000000001"/>
    <x v="1"/>
    <x v="7"/>
    <n v="0"/>
    <n v="16"/>
    <n v="16"/>
    <x v="1"/>
    <x v="6"/>
    <x v="0"/>
    <x v="1"/>
  </r>
  <r>
    <n v="602"/>
    <x v="27"/>
    <x v="0"/>
    <n v="0"/>
    <x v="0"/>
    <x v="7"/>
    <x v="0"/>
    <n v="5"/>
    <x v="1"/>
    <n v="2"/>
    <x v="13"/>
    <n v="0.19700000000000001"/>
    <x v="3"/>
    <x v="1"/>
    <n v="2"/>
    <n v="58"/>
    <n v="60"/>
    <x v="1"/>
    <x v="6"/>
    <x v="0"/>
    <x v="1"/>
  </r>
  <r>
    <n v="603"/>
    <x v="27"/>
    <x v="0"/>
    <n v="0"/>
    <x v="0"/>
    <x v="8"/>
    <x v="0"/>
    <n v="5"/>
    <x v="1"/>
    <n v="2"/>
    <x v="13"/>
    <n v="0.19700000000000001"/>
    <x v="3"/>
    <x v="1"/>
    <n v="2"/>
    <n v="155"/>
    <n v="157"/>
    <x v="1"/>
    <x v="6"/>
    <x v="0"/>
    <x v="1"/>
  </r>
  <r>
    <n v="604"/>
    <x v="27"/>
    <x v="0"/>
    <n v="0"/>
    <x v="0"/>
    <x v="9"/>
    <x v="0"/>
    <n v="5"/>
    <x v="1"/>
    <n v="3"/>
    <x v="15"/>
    <n v="0.21210000000000001"/>
    <x v="3"/>
    <x v="1"/>
    <n v="6"/>
    <n v="95"/>
    <n v="101"/>
    <x v="2"/>
    <x v="6"/>
    <x v="0"/>
    <x v="1"/>
  </r>
  <r>
    <n v="605"/>
    <x v="27"/>
    <x v="0"/>
    <n v="0"/>
    <x v="0"/>
    <x v="10"/>
    <x v="0"/>
    <n v="5"/>
    <x v="1"/>
    <n v="3"/>
    <x v="15"/>
    <n v="0.21210000000000001"/>
    <x v="3"/>
    <x v="14"/>
    <n v="0"/>
    <n v="49"/>
    <n v="49"/>
    <x v="2"/>
    <x v="6"/>
    <x v="0"/>
    <x v="1"/>
  </r>
  <r>
    <n v="606"/>
    <x v="27"/>
    <x v="0"/>
    <n v="0"/>
    <x v="0"/>
    <x v="11"/>
    <x v="0"/>
    <n v="5"/>
    <x v="1"/>
    <n v="3"/>
    <x v="15"/>
    <n v="0.21210000000000001"/>
    <x v="43"/>
    <x v="14"/>
    <n v="0"/>
    <n v="30"/>
    <n v="30"/>
    <x v="2"/>
    <x v="6"/>
    <x v="0"/>
    <x v="1"/>
  </r>
  <r>
    <n v="607"/>
    <x v="27"/>
    <x v="0"/>
    <n v="0"/>
    <x v="0"/>
    <x v="12"/>
    <x v="0"/>
    <n v="5"/>
    <x v="1"/>
    <n v="3"/>
    <x v="15"/>
    <n v="0.21210000000000001"/>
    <x v="43"/>
    <x v="14"/>
    <n v="1"/>
    <n v="28"/>
    <n v="29"/>
    <x v="2"/>
    <x v="6"/>
    <x v="0"/>
    <x v="1"/>
  </r>
  <r>
    <n v="608"/>
    <x v="27"/>
    <x v="0"/>
    <n v="0"/>
    <x v="0"/>
    <x v="13"/>
    <x v="0"/>
    <n v="5"/>
    <x v="1"/>
    <n v="3"/>
    <x v="15"/>
    <n v="0.21210000000000001"/>
    <x v="43"/>
    <x v="14"/>
    <n v="0"/>
    <n v="31"/>
    <n v="31"/>
    <x v="2"/>
    <x v="6"/>
    <x v="0"/>
    <x v="1"/>
  </r>
  <r>
    <n v="609"/>
    <x v="27"/>
    <x v="0"/>
    <n v="0"/>
    <x v="0"/>
    <x v="14"/>
    <x v="0"/>
    <n v="5"/>
    <x v="1"/>
    <n v="3"/>
    <x v="1"/>
    <n v="0.2727"/>
    <x v="1"/>
    <x v="0"/>
    <n v="2"/>
    <n v="36"/>
    <n v="38"/>
    <x v="2"/>
    <x v="6"/>
    <x v="0"/>
    <x v="1"/>
  </r>
  <r>
    <n v="610"/>
    <x v="27"/>
    <x v="0"/>
    <n v="0"/>
    <x v="0"/>
    <x v="15"/>
    <x v="0"/>
    <n v="5"/>
    <x v="1"/>
    <n v="2"/>
    <x v="2"/>
    <n v="0.2576"/>
    <x v="3"/>
    <x v="0"/>
    <n v="1"/>
    <n v="40"/>
    <n v="41"/>
    <x v="1"/>
    <x v="6"/>
    <x v="0"/>
    <x v="1"/>
  </r>
  <r>
    <n v="611"/>
    <x v="27"/>
    <x v="0"/>
    <n v="0"/>
    <x v="0"/>
    <x v="16"/>
    <x v="0"/>
    <n v="5"/>
    <x v="1"/>
    <n v="1"/>
    <x v="1"/>
    <n v="0.2727"/>
    <x v="1"/>
    <x v="0"/>
    <n v="10"/>
    <n v="70"/>
    <n v="80"/>
    <x v="0"/>
    <x v="6"/>
    <x v="0"/>
    <x v="1"/>
  </r>
  <r>
    <n v="612"/>
    <x v="27"/>
    <x v="0"/>
    <n v="0"/>
    <x v="0"/>
    <x v="17"/>
    <x v="0"/>
    <n v="5"/>
    <x v="1"/>
    <n v="1"/>
    <x v="0"/>
    <n v="0.2424"/>
    <x v="2"/>
    <x v="7"/>
    <n v="2"/>
    <n v="147"/>
    <n v="149"/>
    <x v="0"/>
    <x v="6"/>
    <x v="0"/>
    <x v="1"/>
  </r>
  <r>
    <n v="613"/>
    <x v="27"/>
    <x v="0"/>
    <n v="0"/>
    <x v="0"/>
    <x v="18"/>
    <x v="0"/>
    <n v="5"/>
    <x v="1"/>
    <n v="1"/>
    <x v="0"/>
    <n v="0.2273"/>
    <x v="2"/>
    <x v="5"/>
    <n v="2"/>
    <n v="107"/>
    <n v="109"/>
    <x v="0"/>
    <x v="6"/>
    <x v="0"/>
    <x v="1"/>
  </r>
  <r>
    <n v="614"/>
    <x v="27"/>
    <x v="0"/>
    <n v="0"/>
    <x v="0"/>
    <x v="19"/>
    <x v="0"/>
    <n v="5"/>
    <x v="1"/>
    <n v="2"/>
    <x v="0"/>
    <n v="0.2424"/>
    <x v="2"/>
    <x v="7"/>
    <n v="5"/>
    <n v="84"/>
    <n v="89"/>
    <x v="1"/>
    <x v="6"/>
    <x v="0"/>
    <x v="1"/>
  </r>
  <r>
    <n v="615"/>
    <x v="27"/>
    <x v="0"/>
    <n v="0"/>
    <x v="0"/>
    <x v="20"/>
    <x v="0"/>
    <n v="5"/>
    <x v="1"/>
    <n v="2"/>
    <x v="0"/>
    <n v="0.2273"/>
    <x v="56"/>
    <x v="5"/>
    <n v="1"/>
    <n v="61"/>
    <n v="62"/>
    <x v="1"/>
    <x v="6"/>
    <x v="0"/>
    <x v="1"/>
  </r>
  <r>
    <n v="616"/>
    <x v="27"/>
    <x v="0"/>
    <n v="0"/>
    <x v="0"/>
    <x v="21"/>
    <x v="0"/>
    <n v="5"/>
    <x v="1"/>
    <n v="2"/>
    <x v="1"/>
    <n v="0.2273"/>
    <x v="2"/>
    <x v="7"/>
    <n v="1"/>
    <n v="57"/>
    <n v="58"/>
    <x v="1"/>
    <x v="6"/>
    <x v="0"/>
    <x v="1"/>
  </r>
  <r>
    <n v="617"/>
    <x v="27"/>
    <x v="0"/>
    <n v="0"/>
    <x v="0"/>
    <x v="22"/>
    <x v="0"/>
    <n v="5"/>
    <x v="1"/>
    <n v="1"/>
    <x v="0"/>
    <n v="0.21210000000000001"/>
    <x v="55"/>
    <x v="11"/>
    <n v="0"/>
    <n v="26"/>
    <n v="26"/>
    <x v="0"/>
    <x v="6"/>
    <x v="0"/>
    <x v="1"/>
  </r>
  <r>
    <n v="618"/>
    <x v="27"/>
    <x v="0"/>
    <n v="0"/>
    <x v="0"/>
    <x v="23"/>
    <x v="0"/>
    <n v="5"/>
    <x v="1"/>
    <n v="1"/>
    <x v="0"/>
    <n v="0.2273"/>
    <x v="54"/>
    <x v="6"/>
    <n v="1"/>
    <n v="22"/>
    <n v="23"/>
    <x v="0"/>
    <x v="6"/>
    <x v="0"/>
    <x v="1"/>
  </r>
  <r>
    <n v="619"/>
    <x v="28"/>
    <x v="0"/>
    <n v="0"/>
    <x v="0"/>
    <x v="0"/>
    <x v="0"/>
    <n v="6"/>
    <x v="0"/>
    <n v="1"/>
    <x v="1"/>
    <n v="0.19700000000000001"/>
    <x v="26"/>
    <x v="11"/>
    <n v="2"/>
    <n v="26"/>
    <n v="28"/>
    <x v="0"/>
    <x v="0"/>
    <x v="0"/>
    <x v="0"/>
  </r>
  <r>
    <n v="620"/>
    <x v="28"/>
    <x v="0"/>
    <n v="0"/>
    <x v="0"/>
    <x v="1"/>
    <x v="0"/>
    <n v="6"/>
    <x v="0"/>
    <n v="1"/>
    <x v="1"/>
    <n v="0.2273"/>
    <x v="26"/>
    <x v="5"/>
    <n v="0"/>
    <n v="20"/>
    <n v="20"/>
    <x v="0"/>
    <x v="0"/>
    <x v="0"/>
    <x v="0"/>
  </r>
  <r>
    <n v="621"/>
    <x v="28"/>
    <x v="0"/>
    <n v="0"/>
    <x v="0"/>
    <x v="2"/>
    <x v="0"/>
    <n v="6"/>
    <x v="0"/>
    <n v="1"/>
    <x v="1"/>
    <n v="0.2273"/>
    <x v="26"/>
    <x v="8"/>
    <n v="0"/>
    <n v="15"/>
    <n v="15"/>
    <x v="0"/>
    <x v="0"/>
    <x v="0"/>
    <x v="0"/>
  </r>
  <r>
    <n v="622"/>
    <x v="28"/>
    <x v="0"/>
    <n v="0"/>
    <x v="0"/>
    <x v="3"/>
    <x v="0"/>
    <n v="6"/>
    <x v="0"/>
    <n v="1"/>
    <x v="2"/>
    <n v="0.21210000000000001"/>
    <x v="26"/>
    <x v="7"/>
    <n v="3"/>
    <n v="5"/>
    <n v="8"/>
    <x v="0"/>
    <x v="0"/>
    <x v="0"/>
    <x v="0"/>
  </r>
  <r>
    <n v="623"/>
    <x v="28"/>
    <x v="0"/>
    <n v="0"/>
    <x v="0"/>
    <x v="4"/>
    <x v="0"/>
    <n v="6"/>
    <x v="0"/>
    <n v="1"/>
    <x v="13"/>
    <n v="0.18179999999999999"/>
    <x v="27"/>
    <x v="14"/>
    <n v="1"/>
    <n v="2"/>
    <n v="3"/>
    <x v="0"/>
    <x v="0"/>
    <x v="0"/>
    <x v="0"/>
  </r>
  <r>
    <n v="624"/>
    <x v="28"/>
    <x v="0"/>
    <n v="0"/>
    <x v="0"/>
    <x v="6"/>
    <x v="0"/>
    <n v="6"/>
    <x v="0"/>
    <n v="1"/>
    <x v="13"/>
    <n v="0.18179999999999999"/>
    <x v="26"/>
    <x v="7"/>
    <n v="0"/>
    <n v="2"/>
    <n v="2"/>
    <x v="0"/>
    <x v="0"/>
    <x v="0"/>
    <x v="0"/>
  </r>
  <r>
    <n v="625"/>
    <x v="28"/>
    <x v="0"/>
    <n v="0"/>
    <x v="0"/>
    <x v="7"/>
    <x v="0"/>
    <n v="6"/>
    <x v="0"/>
    <n v="1"/>
    <x v="13"/>
    <n v="0.18179999999999999"/>
    <x v="29"/>
    <x v="14"/>
    <n v="1"/>
    <n v="4"/>
    <n v="5"/>
    <x v="0"/>
    <x v="0"/>
    <x v="0"/>
    <x v="0"/>
  </r>
  <r>
    <n v="626"/>
    <x v="28"/>
    <x v="0"/>
    <n v="0"/>
    <x v="0"/>
    <x v="8"/>
    <x v="0"/>
    <n v="6"/>
    <x v="0"/>
    <n v="1"/>
    <x v="15"/>
    <n v="0.19700000000000001"/>
    <x v="28"/>
    <x v="8"/>
    <n v="3"/>
    <n v="31"/>
    <n v="34"/>
    <x v="0"/>
    <x v="0"/>
    <x v="0"/>
    <x v="0"/>
  </r>
  <r>
    <n v="627"/>
    <x v="28"/>
    <x v="0"/>
    <n v="0"/>
    <x v="0"/>
    <x v="9"/>
    <x v="0"/>
    <n v="6"/>
    <x v="0"/>
    <n v="1"/>
    <x v="15"/>
    <n v="0.21210000000000001"/>
    <x v="29"/>
    <x v="1"/>
    <n v="0"/>
    <n v="34"/>
    <n v="34"/>
    <x v="0"/>
    <x v="0"/>
    <x v="0"/>
    <x v="0"/>
  </r>
  <r>
    <n v="628"/>
    <x v="28"/>
    <x v="0"/>
    <n v="0"/>
    <x v="0"/>
    <x v="10"/>
    <x v="0"/>
    <n v="6"/>
    <x v="0"/>
    <n v="2"/>
    <x v="15"/>
    <n v="0.21210000000000001"/>
    <x v="26"/>
    <x v="14"/>
    <n v="4"/>
    <n v="51"/>
    <n v="55"/>
    <x v="1"/>
    <x v="0"/>
    <x v="0"/>
    <x v="0"/>
  </r>
  <r>
    <n v="629"/>
    <x v="28"/>
    <x v="0"/>
    <n v="0"/>
    <x v="0"/>
    <x v="11"/>
    <x v="0"/>
    <n v="6"/>
    <x v="0"/>
    <n v="2"/>
    <x v="15"/>
    <n v="0.19700000000000001"/>
    <x v="26"/>
    <x v="7"/>
    <n v="4"/>
    <n v="60"/>
    <n v="64"/>
    <x v="1"/>
    <x v="0"/>
    <x v="0"/>
    <x v="0"/>
  </r>
  <r>
    <n v="630"/>
    <x v="28"/>
    <x v="0"/>
    <n v="0"/>
    <x v="0"/>
    <x v="12"/>
    <x v="0"/>
    <n v="6"/>
    <x v="0"/>
    <n v="2"/>
    <x v="2"/>
    <n v="0.19700000000000001"/>
    <x v="29"/>
    <x v="5"/>
    <n v="12"/>
    <n v="66"/>
    <n v="78"/>
    <x v="1"/>
    <x v="0"/>
    <x v="0"/>
    <x v="0"/>
  </r>
  <r>
    <n v="631"/>
    <x v="28"/>
    <x v="0"/>
    <n v="0"/>
    <x v="0"/>
    <x v="13"/>
    <x v="0"/>
    <n v="6"/>
    <x v="0"/>
    <n v="2"/>
    <x v="1"/>
    <n v="0.2273"/>
    <x v="28"/>
    <x v="8"/>
    <n v="9"/>
    <n v="56"/>
    <n v="65"/>
    <x v="1"/>
    <x v="0"/>
    <x v="0"/>
    <x v="0"/>
  </r>
  <r>
    <n v="632"/>
    <x v="28"/>
    <x v="0"/>
    <n v="0"/>
    <x v="0"/>
    <x v="14"/>
    <x v="0"/>
    <n v="6"/>
    <x v="0"/>
    <n v="2"/>
    <x v="1"/>
    <n v="0.2273"/>
    <x v="54"/>
    <x v="7"/>
    <n v="10"/>
    <n v="89"/>
    <n v="99"/>
    <x v="1"/>
    <x v="0"/>
    <x v="0"/>
    <x v="0"/>
  </r>
  <r>
    <n v="633"/>
    <x v="28"/>
    <x v="0"/>
    <n v="0"/>
    <x v="0"/>
    <x v="15"/>
    <x v="0"/>
    <n v="6"/>
    <x v="0"/>
    <n v="1"/>
    <x v="1"/>
    <n v="0.21210000000000001"/>
    <x v="27"/>
    <x v="2"/>
    <n v="22"/>
    <n v="98"/>
    <n v="120"/>
    <x v="0"/>
    <x v="0"/>
    <x v="0"/>
    <x v="0"/>
  </r>
  <r>
    <n v="634"/>
    <x v="28"/>
    <x v="0"/>
    <n v="0"/>
    <x v="0"/>
    <x v="16"/>
    <x v="0"/>
    <n v="6"/>
    <x v="0"/>
    <n v="1"/>
    <x v="0"/>
    <n v="0.2424"/>
    <x v="54"/>
    <x v="8"/>
    <n v="19"/>
    <n v="88"/>
    <n v="107"/>
    <x v="0"/>
    <x v="0"/>
    <x v="0"/>
    <x v="0"/>
  </r>
  <r>
    <n v="635"/>
    <x v="28"/>
    <x v="0"/>
    <n v="0"/>
    <x v="0"/>
    <x v="17"/>
    <x v="0"/>
    <n v="6"/>
    <x v="0"/>
    <n v="1"/>
    <x v="0"/>
    <n v="0.28789999999999999"/>
    <x v="54"/>
    <x v="0"/>
    <n v="9"/>
    <n v="82"/>
    <n v="91"/>
    <x v="0"/>
    <x v="0"/>
    <x v="0"/>
    <x v="0"/>
  </r>
  <r>
    <n v="636"/>
    <x v="28"/>
    <x v="0"/>
    <n v="0"/>
    <x v="0"/>
    <x v="18"/>
    <x v="0"/>
    <n v="6"/>
    <x v="0"/>
    <n v="1"/>
    <x v="1"/>
    <n v="0.2273"/>
    <x v="27"/>
    <x v="7"/>
    <n v="9"/>
    <n v="59"/>
    <n v="68"/>
    <x v="0"/>
    <x v="0"/>
    <x v="0"/>
    <x v="0"/>
  </r>
  <r>
    <n v="637"/>
    <x v="28"/>
    <x v="0"/>
    <n v="0"/>
    <x v="0"/>
    <x v="19"/>
    <x v="0"/>
    <n v="6"/>
    <x v="0"/>
    <n v="2"/>
    <x v="1"/>
    <n v="0.21210000000000001"/>
    <x v="27"/>
    <x v="2"/>
    <n v="6"/>
    <n v="52"/>
    <n v="58"/>
    <x v="1"/>
    <x v="0"/>
    <x v="0"/>
    <x v="0"/>
  </r>
  <r>
    <n v="638"/>
    <x v="28"/>
    <x v="0"/>
    <n v="0"/>
    <x v="0"/>
    <x v="20"/>
    <x v="0"/>
    <n v="6"/>
    <x v="0"/>
    <n v="1"/>
    <x v="15"/>
    <n v="0.21210000000000001"/>
    <x v="32"/>
    <x v="1"/>
    <n v="1"/>
    <n v="42"/>
    <n v="43"/>
    <x v="0"/>
    <x v="0"/>
    <x v="0"/>
    <x v="0"/>
  </r>
  <r>
    <n v="639"/>
    <x v="28"/>
    <x v="0"/>
    <n v="0"/>
    <x v="0"/>
    <x v="21"/>
    <x v="0"/>
    <n v="6"/>
    <x v="0"/>
    <n v="1"/>
    <x v="15"/>
    <n v="0.21210000000000001"/>
    <x v="32"/>
    <x v="1"/>
    <n v="1"/>
    <n v="35"/>
    <n v="36"/>
    <x v="0"/>
    <x v="0"/>
    <x v="0"/>
    <x v="0"/>
  </r>
  <r>
    <n v="640"/>
    <x v="28"/>
    <x v="0"/>
    <n v="0"/>
    <x v="0"/>
    <x v="22"/>
    <x v="0"/>
    <n v="6"/>
    <x v="0"/>
    <n v="1"/>
    <x v="13"/>
    <n v="0.19700000000000001"/>
    <x v="1"/>
    <x v="1"/>
    <n v="4"/>
    <n v="28"/>
    <n v="32"/>
    <x v="0"/>
    <x v="0"/>
    <x v="0"/>
    <x v="0"/>
  </r>
  <r>
    <n v="641"/>
    <x v="28"/>
    <x v="0"/>
    <n v="0"/>
    <x v="0"/>
    <x v="23"/>
    <x v="0"/>
    <n v="6"/>
    <x v="0"/>
    <n v="1"/>
    <x v="13"/>
    <n v="0.19700000000000001"/>
    <x v="1"/>
    <x v="1"/>
    <n v="3"/>
    <n v="30"/>
    <n v="33"/>
    <x v="0"/>
    <x v="0"/>
    <x v="0"/>
    <x v="0"/>
  </r>
  <r>
    <n v="642"/>
    <x v="29"/>
    <x v="0"/>
    <n v="0"/>
    <x v="0"/>
    <x v="0"/>
    <x v="0"/>
    <n v="0"/>
    <x v="0"/>
    <n v="1"/>
    <x v="13"/>
    <n v="0.18179999999999999"/>
    <x v="1"/>
    <x v="14"/>
    <n v="0"/>
    <n v="33"/>
    <n v="33"/>
    <x v="0"/>
    <x v="1"/>
    <x v="0"/>
    <x v="0"/>
  </r>
  <r>
    <n v="643"/>
    <x v="29"/>
    <x v="0"/>
    <n v="0"/>
    <x v="0"/>
    <x v="1"/>
    <x v="0"/>
    <n v="0"/>
    <x v="0"/>
    <n v="1"/>
    <x v="14"/>
    <n v="0.21210000000000001"/>
    <x v="1"/>
    <x v="0"/>
    <n v="7"/>
    <n v="22"/>
    <n v="29"/>
    <x v="0"/>
    <x v="1"/>
    <x v="0"/>
    <x v="0"/>
  </r>
  <r>
    <n v="644"/>
    <x v="29"/>
    <x v="0"/>
    <n v="0"/>
    <x v="0"/>
    <x v="2"/>
    <x v="0"/>
    <n v="0"/>
    <x v="0"/>
    <n v="1"/>
    <x v="13"/>
    <n v="0.2273"/>
    <x v="1"/>
    <x v="0"/>
    <n v="1"/>
    <n v="10"/>
    <n v="11"/>
    <x v="0"/>
    <x v="1"/>
    <x v="0"/>
    <x v="0"/>
  </r>
  <r>
    <n v="645"/>
    <x v="29"/>
    <x v="0"/>
    <n v="0"/>
    <x v="0"/>
    <x v="3"/>
    <x v="0"/>
    <n v="0"/>
    <x v="0"/>
    <n v="1"/>
    <x v="14"/>
    <n v="0.21210000000000001"/>
    <x v="43"/>
    <x v="0"/>
    <n v="1"/>
    <n v="7"/>
    <n v="8"/>
    <x v="0"/>
    <x v="1"/>
    <x v="0"/>
    <x v="0"/>
  </r>
  <r>
    <n v="646"/>
    <x v="29"/>
    <x v="0"/>
    <n v="0"/>
    <x v="0"/>
    <x v="4"/>
    <x v="0"/>
    <n v="0"/>
    <x v="0"/>
    <n v="1"/>
    <x v="14"/>
    <n v="0.21210000000000001"/>
    <x v="43"/>
    <x v="0"/>
    <n v="0"/>
    <n v="1"/>
    <n v="1"/>
    <x v="0"/>
    <x v="1"/>
    <x v="0"/>
    <x v="0"/>
  </r>
  <r>
    <n v="647"/>
    <x v="29"/>
    <x v="0"/>
    <n v="0"/>
    <x v="0"/>
    <x v="5"/>
    <x v="0"/>
    <n v="0"/>
    <x v="0"/>
    <n v="1"/>
    <x v="14"/>
    <n v="0.21210000000000001"/>
    <x v="3"/>
    <x v="0"/>
    <n v="0"/>
    <n v="3"/>
    <n v="3"/>
    <x v="0"/>
    <x v="1"/>
    <x v="0"/>
    <x v="0"/>
  </r>
  <r>
    <n v="648"/>
    <x v="29"/>
    <x v="0"/>
    <n v="0"/>
    <x v="0"/>
    <x v="7"/>
    <x v="0"/>
    <n v="0"/>
    <x v="0"/>
    <n v="1"/>
    <x v="14"/>
    <n v="0.21210000000000001"/>
    <x v="3"/>
    <x v="0"/>
    <n v="0"/>
    <n v="3"/>
    <n v="3"/>
    <x v="0"/>
    <x v="1"/>
    <x v="0"/>
    <x v="0"/>
  </r>
  <r>
    <n v="649"/>
    <x v="29"/>
    <x v="0"/>
    <n v="0"/>
    <x v="0"/>
    <x v="8"/>
    <x v="0"/>
    <n v="0"/>
    <x v="0"/>
    <n v="2"/>
    <x v="14"/>
    <n v="0.21210000000000001"/>
    <x v="3"/>
    <x v="0"/>
    <n v="1"/>
    <n v="11"/>
    <n v="12"/>
    <x v="1"/>
    <x v="1"/>
    <x v="0"/>
    <x v="0"/>
  </r>
  <r>
    <n v="650"/>
    <x v="29"/>
    <x v="0"/>
    <n v="0"/>
    <x v="0"/>
    <x v="9"/>
    <x v="0"/>
    <n v="0"/>
    <x v="0"/>
    <n v="2"/>
    <x v="13"/>
    <n v="0.2273"/>
    <x v="1"/>
    <x v="0"/>
    <n v="4"/>
    <n v="34"/>
    <n v="38"/>
    <x v="1"/>
    <x v="1"/>
    <x v="0"/>
    <x v="0"/>
  </r>
  <r>
    <n v="651"/>
    <x v="29"/>
    <x v="0"/>
    <n v="0"/>
    <x v="0"/>
    <x v="10"/>
    <x v="0"/>
    <n v="0"/>
    <x v="0"/>
    <n v="2"/>
    <x v="15"/>
    <n v="0.2424"/>
    <x v="1"/>
    <x v="0"/>
    <n v="7"/>
    <n v="57"/>
    <n v="64"/>
    <x v="1"/>
    <x v="1"/>
    <x v="0"/>
    <x v="0"/>
  </r>
  <r>
    <n v="652"/>
    <x v="29"/>
    <x v="0"/>
    <n v="0"/>
    <x v="0"/>
    <x v="11"/>
    <x v="0"/>
    <n v="0"/>
    <x v="0"/>
    <n v="1"/>
    <x v="1"/>
    <n v="0.2727"/>
    <x v="2"/>
    <x v="0"/>
    <n v="9"/>
    <n v="50"/>
    <n v="59"/>
    <x v="0"/>
    <x v="1"/>
    <x v="0"/>
    <x v="0"/>
  </r>
  <r>
    <n v="653"/>
    <x v="29"/>
    <x v="0"/>
    <n v="0"/>
    <x v="0"/>
    <x v="12"/>
    <x v="0"/>
    <n v="0"/>
    <x v="0"/>
    <n v="1"/>
    <x v="11"/>
    <n v="0.31819999999999998"/>
    <x v="35"/>
    <x v="14"/>
    <n v="10"/>
    <n v="87"/>
    <n v="97"/>
    <x v="0"/>
    <x v="1"/>
    <x v="0"/>
    <x v="0"/>
  </r>
  <r>
    <n v="654"/>
    <x v="29"/>
    <x v="0"/>
    <n v="0"/>
    <x v="0"/>
    <x v="13"/>
    <x v="0"/>
    <n v="0"/>
    <x v="0"/>
    <n v="1"/>
    <x v="17"/>
    <n v="0.28789999999999999"/>
    <x v="53"/>
    <x v="14"/>
    <n v="13"/>
    <n v="71"/>
    <n v="84"/>
    <x v="0"/>
    <x v="1"/>
    <x v="0"/>
    <x v="0"/>
  </r>
  <r>
    <n v="655"/>
    <x v="29"/>
    <x v="0"/>
    <n v="0"/>
    <x v="0"/>
    <x v="14"/>
    <x v="0"/>
    <n v="0"/>
    <x v="0"/>
    <n v="1"/>
    <x v="17"/>
    <n v="0.30299999999999999"/>
    <x v="53"/>
    <x v="1"/>
    <n v="18"/>
    <n v="104"/>
    <n v="122"/>
    <x v="0"/>
    <x v="1"/>
    <x v="0"/>
    <x v="0"/>
  </r>
  <r>
    <n v="656"/>
    <x v="29"/>
    <x v="0"/>
    <n v="0"/>
    <x v="0"/>
    <x v="15"/>
    <x v="0"/>
    <n v="0"/>
    <x v="0"/>
    <n v="1"/>
    <x v="11"/>
    <n v="0.33329999999999999"/>
    <x v="34"/>
    <x v="0"/>
    <n v="14"/>
    <n v="95"/>
    <n v="109"/>
    <x v="0"/>
    <x v="1"/>
    <x v="0"/>
    <x v="0"/>
  </r>
  <r>
    <n v="657"/>
    <x v="29"/>
    <x v="0"/>
    <n v="0"/>
    <x v="0"/>
    <x v="16"/>
    <x v="0"/>
    <n v="0"/>
    <x v="0"/>
    <n v="1"/>
    <x v="11"/>
    <n v="0.33329999999999999"/>
    <x v="34"/>
    <x v="0"/>
    <n v="19"/>
    <n v="104"/>
    <n v="123"/>
    <x v="0"/>
    <x v="1"/>
    <x v="0"/>
    <x v="0"/>
  </r>
  <r>
    <n v="658"/>
    <x v="29"/>
    <x v="0"/>
    <n v="0"/>
    <x v="0"/>
    <x v="17"/>
    <x v="0"/>
    <n v="0"/>
    <x v="0"/>
    <n v="1"/>
    <x v="11"/>
    <n v="0.28789999999999999"/>
    <x v="34"/>
    <x v="5"/>
    <n v="6"/>
    <n v="71"/>
    <n v="77"/>
    <x v="0"/>
    <x v="1"/>
    <x v="0"/>
    <x v="0"/>
  </r>
  <r>
    <n v="659"/>
    <x v="29"/>
    <x v="0"/>
    <n v="0"/>
    <x v="0"/>
    <x v="18"/>
    <x v="0"/>
    <n v="0"/>
    <x v="0"/>
    <n v="1"/>
    <x v="12"/>
    <n v="0.2576"/>
    <x v="55"/>
    <x v="8"/>
    <n v="8"/>
    <n v="57"/>
    <n v="65"/>
    <x v="0"/>
    <x v="1"/>
    <x v="0"/>
    <x v="0"/>
  </r>
  <r>
    <n v="660"/>
    <x v="29"/>
    <x v="0"/>
    <n v="0"/>
    <x v="0"/>
    <x v="19"/>
    <x v="0"/>
    <n v="0"/>
    <x v="0"/>
    <n v="1"/>
    <x v="12"/>
    <n v="0.2576"/>
    <x v="55"/>
    <x v="5"/>
    <n v="9"/>
    <n v="46"/>
    <n v="55"/>
    <x v="0"/>
    <x v="1"/>
    <x v="0"/>
    <x v="0"/>
  </r>
  <r>
    <n v="661"/>
    <x v="29"/>
    <x v="0"/>
    <n v="0"/>
    <x v="0"/>
    <x v="20"/>
    <x v="0"/>
    <n v="0"/>
    <x v="0"/>
    <n v="2"/>
    <x v="12"/>
    <n v="0.2727"/>
    <x v="55"/>
    <x v="14"/>
    <n v="3"/>
    <n v="30"/>
    <n v="33"/>
    <x v="1"/>
    <x v="1"/>
    <x v="0"/>
    <x v="0"/>
  </r>
  <r>
    <n v="662"/>
    <x v="29"/>
    <x v="0"/>
    <n v="0"/>
    <x v="0"/>
    <x v="21"/>
    <x v="0"/>
    <n v="0"/>
    <x v="0"/>
    <n v="2"/>
    <x v="0"/>
    <n v="0.2424"/>
    <x v="56"/>
    <x v="8"/>
    <n v="3"/>
    <n v="25"/>
    <n v="28"/>
    <x v="1"/>
    <x v="1"/>
    <x v="0"/>
    <x v="0"/>
  </r>
  <r>
    <n v="663"/>
    <x v="29"/>
    <x v="0"/>
    <n v="0"/>
    <x v="0"/>
    <x v="22"/>
    <x v="0"/>
    <n v="0"/>
    <x v="0"/>
    <n v="2"/>
    <x v="0"/>
    <n v="0.2273"/>
    <x v="56"/>
    <x v="5"/>
    <n v="2"/>
    <n v="19"/>
    <n v="21"/>
    <x v="1"/>
    <x v="1"/>
    <x v="0"/>
    <x v="0"/>
  </r>
  <r>
    <n v="664"/>
    <x v="29"/>
    <x v="0"/>
    <n v="0"/>
    <x v="0"/>
    <x v="23"/>
    <x v="0"/>
    <n v="0"/>
    <x v="0"/>
    <n v="2"/>
    <x v="0"/>
    <n v="0.21210000000000001"/>
    <x v="55"/>
    <x v="3"/>
    <n v="5"/>
    <n v="16"/>
    <n v="21"/>
    <x v="1"/>
    <x v="1"/>
    <x v="0"/>
    <x v="0"/>
  </r>
  <r>
    <n v="665"/>
    <x v="30"/>
    <x v="0"/>
    <n v="0"/>
    <x v="0"/>
    <x v="0"/>
    <x v="0"/>
    <n v="1"/>
    <x v="1"/>
    <n v="2"/>
    <x v="0"/>
    <n v="0.2273"/>
    <x v="55"/>
    <x v="6"/>
    <n v="1"/>
    <n v="6"/>
    <n v="7"/>
    <x v="1"/>
    <x v="2"/>
    <x v="0"/>
    <x v="1"/>
  </r>
  <r>
    <n v="666"/>
    <x v="30"/>
    <x v="0"/>
    <n v="0"/>
    <x v="0"/>
    <x v="1"/>
    <x v="0"/>
    <n v="1"/>
    <x v="1"/>
    <n v="1"/>
    <x v="1"/>
    <n v="0.21210000000000001"/>
    <x v="26"/>
    <x v="2"/>
    <n v="2"/>
    <n v="5"/>
    <n v="7"/>
    <x v="0"/>
    <x v="2"/>
    <x v="0"/>
    <x v="1"/>
  </r>
  <r>
    <n v="667"/>
    <x v="30"/>
    <x v="0"/>
    <n v="0"/>
    <x v="0"/>
    <x v="2"/>
    <x v="0"/>
    <n v="1"/>
    <x v="1"/>
    <n v="1"/>
    <x v="1"/>
    <n v="0.2273"/>
    <x v="26"/>
    <x v="5"/>
    <n v="0"/>
    <n v="1"/>
    <n v="1"/>
    <x v="0"/>
    <x v="2"/>
    <x v="0"/>
    <x v="1"/>
  </r>
  <r>
    <n v="668"/>
    <x v="30"/>
    <x v="0"/>
    <n v="0"/>
    <x v="0"/>
    <x v="3"/>
    <x v="0"/>
    <n v="1"/>
    <x v="1"/>
    <n v="1"/>
    <x v="1"/>
    <n v="0.2273"/>
    <x v="26"/>
    <x v="5"/>
    <n v="0"/>
    <n v="2"/>
    <n v="2"/>
    <x v="0"/>
    <x v="2"/>
    <x v="0"/>
    <x v="1"/>
  </r>
  <r>
    <n v="669"/>
    <x v="30"/>
    <x v="0"/>
    <n v="0"/>
    <x v="0"/>
    <x v="4"/>
    <x v="0"/>
    <n v="1"/>
    <x v="1"/>
    <n v="1"/>
    <x v="2"/>
    <n v="0.19700000000000001"/>
    <x v="29"/>
    <x v="6"/>
    <n v="0"/>
    <n v="2"/>
    <n v="2"/>
    <x v="0"/>
    <x v="2"/>
    <x v="0"/>
    <x v="1"/>
  </r>
  <r>
    <n v="670"/>
    <x v="30"/>
    <x v="0"/>
    <n v="0"/>
    <x v="0"/>
    <x v="5"/>
    <x v="0"/>
    <n v="1"/>
    <x v="1"/>
    <n v="1"/>
    <x v="15"/>
    <n v="0.16669999999999999"/>
    <x v="26"/>
    <x v="3"/>
    <n v="0"/>
    <n v="8"/>
    <n v="8"/>
    <x v="0"/>
    <x v="2"/>
    <x v="0"/>
    <x v="1"/>
  </r>
  <r>
    <n v="671"/>
    <x v="30"/>
    <x v="0"/>
    <n v="0"/>
    <x v="0"/>
    <x v="6"/>
    <x v="0"/>
    <n v="1"/>
    <x v="1"/>
    <n v="1"/>
    <x v="13"/>
    <n v="0.13639999999999999"/>
    <x v="27"/>
    <x v="9"/>
    <n v="0"/>
    <n v="37"/>
    <n v="37"/>
    <x v="0"/>
    <x v="2"/>
    <x v="0"/>
    <x v="1"/>
  </r>
  <r>
    <n v="672"/>
    <x v="30"/>
    <x v="0"/>
    <n v="0"/>
    <x v="0"/>
    <x v="7"/>
    <x v="0"/>
    <n v="1"/>
    <x v="1"/>
    <n v="2"/>
    <x v="13"/>
    <n v="0.13639999999999999"/>
    <x v="26"/>
    <x v="3"/>
    <n v="1"/>
    <n v="71"/>
    <n v="72"/>
    <x v="1"/>
    <x v="2"/>
    <x v="0"/>
    <x v="1"/>
  </r>
  <r>
    <n v="673"/>
    <x v="30"/>
    <x v="0"/>
    <n v="0"/>
    <x v="0"/>
    <x v="8"/>
    <x v="0"/>
    <n v="1"/>
    <x v="1"/>
    <n v="2"/>
    <x v="13"/>
    <n v="0.13639999999999999"/>
    <x v="29"/>
    <x v="3"/>
    <n v="3"/>
    <n v="182"/>
    <n v="185"/>
    <x v="1"/>
    <x v="2"/>
    <x v="0"/>
    <x v="1"/>
  </r>
  <r>
    <n v="674"/>
    <x v="30"/>
    <x v="0"/>
    <n v="0"/>
    <x v="0"/>
    <x v="9"/>
    <x v="0"/>
    <n v="1"/>
    <x v="1"/>
    <n v="2"/>
    <x v="13"/>
    <n v="0.13639999999999999"/>
    <x v="29"/>
    <x v="4"/>
    <n v="0"/>
    <n v="112"/>
    <n v="112"/>
    <x v="1"/>
    <x v="2"/>
    <x v="0"/>
    <x v="1"/>
  </r>
  <r>
    <n v="675"/>
    <x v="30"/>
    <x v="0"/>
    <n v="0"/>
    <x v="0"/>
    <x v="10"/>
    <x v="0"/>
    <n v="1"/>
    <x v="1"/>
    <n v="2"/>
    <x v="13"/>
    <n v="0.1515"/>
    <x v="29"/>
    <x v="5"/>
    <n v="1"/>
    <n v="68"/>
    <n v="69"/>
    <x v="1"/>
    <x v="2"/>
    <x v="0"/>
    <x v="1"/>
  </r>
  <r>
    <n v="676"/>
    <x v="30"/>
    <x v="0"/>
    <n v="0"/>
    <x v="0"/>
    <x v="11"/>
    <x v="0"/>
    <n v="1"/>
    <x v="1"/>
    <n v="2"/>
    <x v="13"/>
    <n v="0.1515"/>
    <x v="29"/>
    <x v="5"/>
    <n v="2"/>
    <n v="46"/>
    <n v="48"/>
    <x v="1"/>
    <x v="2"/>
    <x v="0"/>
    <x v="1"/>
  </r>
  <r>
    <n v="677"/>
    <x v="30"/>
    <x v="0"/>
    <n v="0"/>
    <x v="0"/>
    <x v="12"/>
    <x v="0"/>
    <n v="1"/>
    <x v="1"/>
    <n v="2"/>
    <x v="15"/>
    <n v="0.21210000000000001"/>
    <x v="28"/>
    <x v="14"/>
    <n v="6"/>
    <n v="62"/>
    <n v="68"/>
    <x v="1"/>
    <x v="2"/>
    <x v="0"/>
    <x v="1"/>
  </r>
  <r>
    <n v="678"/>
    <x v="30"/>
    <x v="0"/>
    <n v="0"/>
    <x v="0"/>
    <x v="13"/>
    <x v="0"/>
    <n v="1"/>
    <x v="1"/>
    <n v="2"/>
    <x v="13"/>
    <n v="0.2273"/>
    <x v="29"/>
    <x v="0"/>
    <n v="2"/>
    <n v="52"/>
    <n v="54"/>
    <x v="1"/>
    <x v="2"/>
    <x v="0"/>
    <x v="1"/>
  </r>
  <r>
    <n v="679"/>
    <x v="30"/>
    <x v="0"/>
    <n v="0"/>
    <x v="0"/>
    <x v="14"/>
    <x v="0"/>
    <n v="1"/>
    <x v="1"/>
    <n v="2"/>
    <x v="15"/>
    <n v="0.19700000000000001"/>
    <x v="28"/>
    <x v="7"/>
    <n v="1"/>
    <n v="85"/>
    <n v="86"/>
    <x v="1"/>
    <x v="2"/>
    <x v="0"/>
    <x v="1"/>
  </r>
  <r>
    <n v="680"/>
    <x v="30"/>
    <x v="0"/>
    <n v="0"/>
    <x v="0"/>
    <x v="15"/>
    <x v="0"/>
    <n v="1"/>
    <x v="1"/>
    <n v="2"/>
    <x v="13"/>
    <n v="0.18179999999999999"/>
    <x v="29"/>
    <x v="7"/>
    <n v="3"/>
    <n v="41"/>
    <n v="44"/>
    <x v="1"/>
    <x v="2"/>
    <x v="0"/>
    <x v="1"/>
  </r>
  <r>
    <n v="681"/>
    <x v="30"/>
    <x v="0"/>
    <n v="0"/>
    <x v="0"/>
    <x v="16"/>
    <x v="0"/>
    <n v="1"/>
    <x v="1"/>
    <n v="2"/>
    <x v="13"/>
    <n v="0.18179999999999999"/>
    <x v="34"/>
    <x v="5"/>
    <n v="3"/>
    <n v="83"/>
    <n v="86"/>
    <x v="1"/>
    <x v="2"/>
    <x v="0"/>
    <x v="1"/>
  </r>
  <r>
    <n v="682"/>
    <x v="30"/>
    <x v="0"/>
    <n v="0"/>
    <x v="0"/>
    <x v="17"/>
    <x v="0"/>
    <n v="1"/>
    <x v="1"/>
    <n v="2"/>
    <x v="13"/>
    <n v="0.1515"/>
    <x v="29"/>
    <x v="5"/>
    <n v="6"/>
    <n v="155"/>
    <n v="161"/>
    <x v="1"/>
    <x v="2"/>
    <x v="0"/>
    <x v="1"/>
  </r>
  <r>
    <n v="683"/>
    <x v="30"/>
    <x v="0"/>
    <n v="0"/>
    <x v="0"/>
    <x v="18"/>
    <x v="0"/>
    <n v="1"/>
    <x v="1"/>
    <n v="2"/>
    <x v="13"/>
    <n v="0.1515"/>
    <x v="28"/>
    <x v="6"/>
    <n v="3"/>
    <n v="153"/>
    <n v="156"/>
    <x v="1"/>
    <x v="2"/>
    <x v="0"/>
    <x v="1"/>
  </r>
  <r>
    <n v="684"/>
    <x v="30"/>
    <x v="0"/>
    <n v="0"/>
    <x v="0"/>
    <x v="19"/>
    <x v="0"/>
    <n v="1"/>
    <x v="1"/>
    <n v="1"/>
    <x v="11"/>
    <n v="0.31819999999999998"/>
    <x v="53"/>
    <x v="14"/>
    <n v="3"/>
    <n v="108"/>
    <n v="111"/>
    <x v="0"/>
    <x v="2"/>
    <x v="0"/>
    <x v="1"/>
  </r>
  <r>
    <n v="685"/>
    <x v="30"/>
    <x v="0"/>
    <n v="0"/>
    <x v="0"/>
    <x v="20"/>
    <x v="0"/>
    <n v="1"/>
    <x v="1"/>
    <n v="3"/>
    <x v="13"/>
    <n v="0.16669999999999999"/>
    <x v="29"/>
    <x v="8"/>
    <n v="0"/>
    <n v="78"/>
    <n v="78"/>
    <x v="2"/>
    <x v="2"/>
    <x v="0"/>
    <x v="1"/>
  </r>
  <r>
    <n v="686"/>
    <x v="30"/>
    <x v="0"/>
    <n v="0"/>
    <x v="0"/>
    <x v="21"/>
    <x v="0"/>
    <n v="1"/>
    <x v="1"/>
    <n v="3"/>
    <x v="13"/>
    <n v="0.19700000000000001"/>
    <x v="29"/>
    <x v="1"/>
    <n v="3"/>
    <n v="53"/>
    <n v="56"/>
    <x v="2"/>
    <x v="2"/>
    <x v="0"/>
    <x v="1"/>
  </r>
  <r>
    <n v="687"/>
    <x v="30"/>
    <x v="0"/>
    <n v="0"/>
    <x v="0"/>
    <x v="22"/>
    <x v="0"/>
    <n v="1"/>
    <x v="1"/>
    <n v="2"/>
    <x v="13"/>
    <n v="0.18179999999999999"/>
    <x v="29"/>
    <x v="14"/>
    <n v="0"/>
    <n v="34"/>
    <n v="34"/>
    <x v="1"/>
    <x v="2"/>
    <x v="0"/>
    <x v="1"/>
  </r>
  <r>
    <n v="688"/>
    <x v="30"/>
    <x v="0"/>
    <n v="0"/>
    <x v="0"/>
    <x v="23"/>
    <x v="0"/>
    <n v="1"/>
    <x v="1"/>
    <n v="2"/>
    <x v="13"/>
    <n v="0.19700000000000001"/>
    <x v="26"/>
    <x v="1"/>
    <n v="2"/>
    <n v="15"/>
    <n v="17"/>
    <x v="1"/>
    <x v="2"/>
    <x v="0"/>
    <x v="1"/>
  </r>
  <r>
    <n v="689"/>
    <x v="31"/>
    <x v="0"/>
    <n v="0"/>
    <x v="1"/>
    <x v="0"/>
    <x v="0"/>
    <n v="2"/>
    <x v="1"/>
    <n v="2"/>
    <x v="13"/>
    <n v="0.18179999999999999"/>
    <x v="26"/>
    <x v="14"/>
    <n v="2"/>
    <n v="6"/>
    <n v="8"/>
    <x v="1"/>
    <x v="3"/>
    <x v="1"/>
    <x v="1"/>
  </r>
  <r>
    <n v="690"/>
    <x v="31"/>
    <x v="0"/>
    <n v="0"/>
    <x v="1"/>
    <x v="1"/>
    <x v="0"/>
    <n v="2"/>
    <x v="1"/>
    <n v="2"/>
    <x v="13"/>
    <n v="0.18179999999999999"/>
    <x v="27"/>
    <x v="14"/>
    <n v="0"/>
    <n v="3"/>
    <n v="3"/>
    <x v="1"/>
    <x v="3"/>
    <x v="1"/>
    <x v="1"/>
  </r>
  <r>
    <n v="691"/>
    <x v="31"/>
    <x v="0"/>
    <n v="0"/>
    <x v="1"/>
    <x v="2"/>
    <x v="0"/>
    <n v="2"/>
    <x v="1"/>
    <n v="2"/>
    <x v="13"/>
    <n v="0.2273"/>
    <x v="27"/>
    <x v="0"/>
    <n v="0"/>
    <n v="2"/>
    <n v="2"/>
    <x v="1"/>
    <x v="3"/>
    <x v="1"/>
    <x v="1"/>
  </r>
  <r>
    <n v="692"/>
    <x v="31"/>
    <x v="0"/>
    <n v="0"/>
    <x v="1"/>
    <x v="3"/>
    <x v="0"/>
    <n v="2"/>
    <x v="1"/>
    <n v="2"/>
    <x v="13"/>
    <n v="0.2273"/>
    <x v="27"/>
    <x v="0"/>
    <n v="0"/>
    <n v="2"/>
    <n v="2"/>
    <x v="1"/>
    <x v="3"/>
    <x v="1"/>
    <x v="1"/>
  </r>
  <r>
    <n v="693"/>
    <x v="31"/>
    <x v="0"/>
    <n v="0"/>
    <x v="1"/>
    <x v="5"/>
    <x v="0"/>
    <n v="2"/>
    <x v="1"/>
    <n v="3"/>
    <x v="14"/>
    <n v="0.21210000000000001"/>
    <x v="43"/>
    <x v="0"/>
    <n v="0"/>
    <n v="3"/>
    <n v="3"/>
    <x v="2"/>
    <x v="3"/>
    <x v="1"/>
    <x v="1"/>
  </r>
  <r>
    <n v="694"/>
    <x v="31"/>
    <x v="0"/>
    <n v="0"/>
    <x v="1"/>
    <x v="6"/>
    <x v="0"/>
    <n v="2"/>
    <x v="1"/>
    <n v="3"/>
    <x v="14"/>
    <n v="0.21210000000000001"/>
    <x v="43"/>
    <x v="0"/>
    <n v="0"/>
    <n v="22"/>
    <n v="22"/>
    <x v="2"/>
    <x v="3"/>
    <x v="1"/>
    <x v="1"/>
  </r>
  <r>
    <n v="695"/>
    <x v="31"/>
    <x v="0"/>
    <n v="0"/>
    <x v="1"/>
    <x v="7"/>
    <x v="0"/>
    <n v="2"/>
    <x v="1"/>
    <n v="3"/>
    <x v="13"/>
    <n v="0.2273"/>
    <x v="43"/>
    <x v="0"/>
    <n v="0"/>
    <n v="52"/>
    <n v="52"/>
    <x v="2"/>
    <x v="3"/>
    <x v="1"/>
    <x v="1"/>
  </r>
  <r>
    <n v="696"/>
    <x v="31"/>
    <x v="0"/>
    <n v="0"/>
    <x v="1"/>
    <x v="8"/>
    <x v="0"/>
    <n v="2"/>
    <x v="1"/>
    <n v="3"/>
    <x v="13"/>
    <n v="0.2273"/>
    <x v="43"/>
    <x v="0"/>
    <n v="3"/>
    <n v="132"/>
    <n v="135"/>
    <x v="2"/>
    <x v="3"/>
    <x v="1"/>
    <x v="1"/>
  </r>
  <r>
    <n v="697"/>
    <x v="31"/>
    <x v="0"/>
    <n v="0"/>
    <x v="1"/>
    <x v="9"/>
    <x v="0"/>
    <n v="2"/>
    <x v="1"/>
    <n v="2"/>
    <x v="13"/>
    <n v="0.2273"/>
    <x v="43"/>
    <x v="0"/>
    <n v="2"/>
    <n v="114"/>
    <n v="116"/>
    <x v="1"/>
    <x v="3"/>
    <x v="1"/>
    <x v="1"/>
  </r>
  <r>
    <n v="698"/>
    <x v="31"/>
    <x v="0"/>
    <n v="0"/>
    <x v="1"/>
    <x v="10"/>
    <x v="0"/>
    <n v="2"/>
    <x v="1"/>
    <n v="2"/>
    <x v="13"/>
    <n v="0.2273"/>
    <x v="43"/>
    <x v="0"/>
    <n v="0"/>
    <n v="47"/>
    <n v="47"/>
    <x v="1"/>
    <x v="3"/>
    <x v="1"/>
    <x v="1"/>
  </r>
  <r>
    <n v="699"/>
    <x v="31"/>
    <x v="0"/>
    <n v="0"/>
    <x v="1"/>
    <x v="11"/>
    <x v="0"/>
    <n v="2"/>
    <x v="1"/>
    <n v="2"/>
    <x v="15"/>
    <n v="0.2424"/>
    <x v="3"/>
    <x v="0"/>
    <n v="2"/>
    <n v="49"/>
    <n v="51"/>
    <x v="1"/>
    <x v="3"/>
    <x v="1"/>
    <x v="1"/>
  </r>
  <r>
    <n v="700"/>
    <x v="31"/>
    <x v="0"/>
    <n v="0"/>
    <x v="1"/>
    <x v="12"/>
    <x v="0"/>
    <n v="2"/>
    <x v="1"/>
    <n v="2"/>
    <x v="2"/>
    <n v="0.2576"/>
    <x v="3"/>
    <x v="0"/>
    <n v="2"/>
    <n v="53"/>
    <n v="55"/>
    <x v="1"/>
    <x v="3"/>
    <x v="1"/>
    <x v="1"/>
  </r>
  <r>
    <n v="701"/>
    <x v="31"/>
    <x v="0"/>
    <n v="0"/>
    <x v="1"/>
    <x v="13"/>
    <x v="0"/>
    <n v="2"/>
    <x v="1"/>
    <n v="2"/>
    <x v="2"/>
    <n v="0.2576"/>
    <x v="3"/>
    <x v="0"/>
    <n v="3"/>
    <n v="49"/>
    <n v="52"/>
    <x v="1"/>
    <x v="3"/>
    <x v="1"/>
    <x v="1"/>
  </r>
  <r>
    <n v="702"/>
    <x v="31"/>
    <x v="0"/>
    <n v="0"/>
    <x v="1"/>
    <x v="14"/>
    <x v="0"/>
    <n v="2"/>
    <x v="1"/>
    <n v="2"/>
    <x v="1"/>
    <n v="0.2576"/>
    <x v="1"/>
    <x v="1"/>
    <n v="5"/>
    <n v="49"/>
    <n v="54"/>
    <x v="1"/>
    <x v="3"/>
    <x v="1"/>
    <x v="1"/>
  </r>
  <r>
    <n v="703"/>
    <x v="31"/>
    <x v="0"/>
    <n v="0"/>
    <x v="1"/>
    <x v="15"/>
    <x v="0"/>
    <n v="2"/>
    <x v="1"/>
    <n v="2"/>
    <x v="0"/>
    <n v="0.28789999999999999"/>
    <x v="2"/>
    <x v="0"/>
    <n v="7"/>
    <n v="45"/>
    <n v="52"/>
    <x v="1"/>
    <x v="3"/>
    <x v="1"/>
    <x v="1"/>
  </r>
  <r>
    <n v="704"/>
    <x v="31"/>
    <x v="0"/>
    <n v="0"/>
    <x v="1"/>
    <x v="16"/>
    <x v="0"/>
    <n v="2"/>
    <x v="1"/>
    <n v="2"/>
    <x v="0"/>
    <n v="0.2424"/>
    <x v="2"/>
    <x v="7"/>
    <n v="3"/>
    <n v="61"/>
    <n v="64"/>
    <x v="1"/>
    <x v="3"/>
    <x v="1"/>
    <x v="1"/>
  </r>
  <r>
    <n v="705"/>
    <x v="31"/>
    <x v="0"/>
    <n v="0"/>
    <x v="1"/>
    <x v="17"/>
    <x v="0"/>
    <n v="2"/>
    <x v="1"/>
    <n v="2"/>
    <x v="0"/>
    <n v="0.28789999999999999"/>
    <x v="2"/>
    <x v="0"/>
    <n v="4"/>
    <n v="172"/>
    <n v="176"/>
    <x v="1"/>
    <x v="3"/>
    <x v="1"/>
    <x v="1"/>
  </r>
  <r>
    <n v="706"/>
    <x v="31"/>
    <x v="0"/>
    <n v="0"/>
    <x v="1"/>
    <x v="18"/>
    <x v="0"/>
    <n v="2"/>
    <x v="1"/>
    <n v="2"/>
    <x v="0"/>
    <n v="0.2576"/>
    <x v="0"/>
    <x v="14"/>
    <n v="3"/>
    <n v="165"/>
    <n v="168"/>
    <x v="1"/>
    <x v="3"/>
    <x v="1"/>
    <x v="1"/>
  </r>
  <r>
    <n v="707"/>
    <x v="31"/>
    <x v="0"/>
    <n v="0"/>
    <x v="1"/>
    <x v="19"/>
    <x v="0"/>
    <n v="2"/>
    <x v="1"/>
    <n v="2"/>
    <x v="0"/>
    <n v="0.2424"/>
    <x v="0"/>
    <x v="7"/>
    <n v="3"/>
    <n v="105"/>
    <n v="108"/>
    <x v="1"/>
    <x v="3"/>
    <x v="1"/>
    <x v="1"/>
  </r>
  <r>
    <n v="708"/>
    <x v="31"/>
    <x v="0"/>
    <n v="0"/>
    <x v="1"/>
    <x v="20"/>
    <x v="0"/>
    <n v="2"/>
    <x v="1"/>
    <n v="2"/>
    <x v="1"/>
    <n v="0.2273"/>
    <x v="9"/>
    <x v="7"/>
    <n v="5"/>
    <n v="69"/>
    <n v="74"/>
    <x v="1"/>
    <x v="3"/>
    <x v="1"/>
    <x v="1"/>
  </r>
  <r>
    <n v="709"/>
    <x v="31"/>
    <x v="0"/>
    <n v="0"/>
    <x v="1"/>
    <x v="21"/>
    <x v="0"/>
    <n v="2"/>
    <x v="1"/>
    <n v="2"/>
    <x v="1"/>
    <n v="0.2273"/>
    <x v="9"/>
    <x v="7"/>
    <n v="0"/>
    <n v="64"/>
    <n v="64"/>
    <x v="1"/>
    <x v="3"/>
    <x v="1"/>
    <x v="1"/>
  </r>
  <r>
    <n v="710"/>
    <x v="31"/>
    <x v="0"/>
    <n v="0"/>
    <x v="1"/>
    <x v="22"/>
    <x v="0"/>
    <n v="2"/>
    <x v="1"/>
    <n v="2"/>
    <x v="1"/>
    <n v="0.2576"/>
    <x v="9"/>
    <x v="1"/>
    <n v="2"/>
    <n v="34"/>
    <n v="36"/>
    <x v="1"/>
    <x v="3"/>
    <x v="1"/>
    <x v="1"/>
  </r>
  <r>
    <n v="711"/>
    <x v="31"/>
    <x v="0"/>
    <n v="0"/>
    <x v="1"/>
    <x v="23"/>
    <x v="0"/>
    <n v="2"/>
    <x v="1"/>
    <n v="3"/>
    <x v="2"/>
    <n v="0.19700000000000001"/>
    <x v="43"/>
    <x v="5"/>
    <n v="1"/>
    <n v="15"/>
    <n v="16"/>
    <x v="2"/>
    <x v="3"/>
    <x v="1"/>
    <x v="1"/>
  </r>
  <r>
    <n v="712"/>
    <x v="32"/>
    <x v="0"/>
    <n v="0"/>
    <x v="1"/>
    <x v="0"/>
    <x v="0"/>
    <n v="3"/>
    <x v="1"/>
    <n v="3"/>
    <x v="1"/>
    <n v="0.2424"/>
    <x v="43"/>
    <x v="14"/>
    <n v="0"/>
    <n v="2"/>
    <n v="2"/>
    <x v="2"/>
    <x v="4"/>
    <x v="1"/>
    <x v="1"/>
  </r>
  <r>
    <n v="713"/>
    <x v="32"/>
    <x v="0"/>
    <n v="0"/>
    <x v="1"/>
    <x v="1"/>
    <x v="0"/>
    <n v="3"/>
    <x v="1"/>
    <n v="3"/>
    <x v="1"/>
    <n v="0.2273"/>
    <x v="43"/>
    <x v="5"/>
    <n v="0"/>
    <n v="3"/>
    <n v="3"/>
    <x v="2"/>
    <x v="4"/>
    <x v="1"/>
    <x v="1"/>
  </r>
  <r>
    <n v="714"/>
    <x v="32"/>
    <x v="0"/>
    <n v="0"/>
    <x v="1"/>
    <x v="2"/>
    <x v="0"/>
    <n v="3"/>
    <x v="1"/>
    <n v="3"/>
    <x v="1"/>
    <n v="0.2273"/>
    <x v="43"/>
    <x v="7"/>
    <n v="4"/>
    <n v="0"/>
    <n v="4"/>
    <x v="2"/>
    <x v="4"/>
    <x v="1"/>
    <x v="1"/>
  </r>
  <r>
    <n v="715"/>
    <x v="32"/>
    <x v="0"/>
    <n v="0"/>
    <x v="1"/>
    <x v="3"/>
    <x v="0"/>
    <n v="3"/>
    <x v="1"/>
    <n v="3"/>
    <x v="1"/>
    <n v="0.2273"/>
    <x v="43"/>
    <x v="7"/>
    <n v="0"/>
    <n v="1"/>
    <n v="1"/>
    <x v="2"/>
    <x v="4"/>
    <x v="1"/>
    <x v="1"/>
  </r>
  <r>
    <n v="716"/>
    <x v="32"/>
    <x v="0"/>
    <n v="0"/>
    <x v="1"/>
    <x v="4"/>
    <x v="0"/>
    <n v="3"/>
    <x v="1"/>
    <n v="3"/>
    <x v="1"/>
    <n v="0.21210000000000001"/>
    <x v="43"/>
    <x v="3"/>
    <n v="0"/>
    <n v="1"/>
    <n v="1"/>
    <x v="2"/>
    <x v="4"/>
    <x v="1"/>
    <x v="1"/>
  </r>
  <r>
    <n v="717"/>
    <x v="32"/>
    <x v="0"/>
    <n v="0"/>
    <x v="1"/>
    <x v="5"/>
    <x v="0"/>
    <n v="3"/>
    <x v="1"/>
    <n v="3"/>
    <x v="1"/>
    <n v="0.2424"/>
    <x v="43"/>
    <x v="14"/>
    <n v="0"/>
    <n v="3"/>
    <n v="3"/>
    <x v="2"/>
    <x v="4"/>
    <x v="1"/>
    <x v="1"/>
  </r>
  <r>
    <n v="718"/>
    <x v="32"/>
    <x v="0"/>
    <n v="0"/>
    <x v="1"/>
    <x v="6"/>
    <x v="0"/>
    <n v="3"/>
    <x v="1"/>
    <n v="3"/>
    <x v="1"/>
    <n v="0.2424"/>
    <x v="43"/>
    <x v="14"/>
    <n v="1"/>
    <n v="17"/>
    <n v="18"/>
    <x v="2"/>
    <x v="4"/>
    <x v="1"/>
    <x v="1"/>
  </r>
  <r>
    <n v="719"/>
    <x v="32"/>
    <x v="0"/>
    <n v="0"/>
    <x v="1"/>
    <x v="7"/>
    <x v="0"/>
    <n v="3"/>
    <x v="1"/>
    <n v="3"/>
    <x v="1"/>
    <n v="0.21210000000000001"/>
    <x v="43"/>
    <x v="6"/>
    <n v="1"/>
    <n v="48"/>
    <n v="49"/>
    <x v="2"/>
    <x v="4"/>
    <x v="1"/>
    <x v="1"/>
  </r>
  <r>
    <n v="720"/>
    <x v="32"/>
    <x v="0"/>
    <n v="0"/>
    <x v="1"/>
    <x v="8"/>
    <x v="0"/>
    <n v="3"/>
    <x v="1"/>
    <n v="3"/>
    <x v="1"/>
    <n v="0.21210000000000001"/>
    <x v="43"/>
    <x v="6"/>
    <n v="1"/>
    <n v="154"/>
    <n v="155"/>
    <x v="2"/>
    <x v="4"/>
    <x v="1"/>
    <x v="1"/>
  </r>
  <r>
    <n v="721"/>
    <x v="32"/>
    <x v="0"/>
    <n v="0"/>
    <x v="1"/>
    <x v="9"/>
    <x v="0"/>
    <n v="3"/>
    <x v="1"/>
    <n v="2"/>
    <x v="0"/>
    <n v="0.2576"/>
    <x v="43"/>
    <x v="1"/>
    <n v="4"/>
    <n v="119"/>
    <n v="123"/>
    <x v="1"/>
    <x v="4"/>
    <x v="1"/>
    <x v="1"/>
  </r>
  <r>
    <n v="722"/>
    <x v="32"/>
    <x v="0"/>
    <n v="0"/>
    <x v="1"/>
    <x v="10"/>
    <x v="0"/>
    <n v="3"/>
    <x v="1"/>
    <n v="2"/>
    <x v="1"/>
    <n v="0.2727"/>
    <x v="11"/>
    <x v="0"/>
    <n v="2"/>
    <n v="59"/>
    <n v="61"/>
    <x v="1"/>
    <x v="4"/>
    <x v="1"/>
    <x v="1"/>
  </r>
  <r>
    <n v="723"/>
    <x v="32"/>
    <x v="0"/>
    <n v="0"/>
    <x v="1"/>
    <x v="11"/>
    <x v="0"/>
    <n v="3"/>
    <x v="1"/>
    <n v="2"/>
    <x v="0"/>
    <n v="0.2273"/>
    <x v="43"/>
    <x v="5"/>
    <n v="5"/>
    <n v="47"/>
    <n v="52"/>
    <x v="1"/>
    <x v="4"/>
    <x v="1"/>
    <x v="1"/>
  </r>
  <r>
    <n v="724"/>
    <x v="32"/>
    <x v="0"/>
    <n v="0"/>
    <x v="1"/>
    <x v="12"/>
    <x v="0"/>
    <n v="3"/>
    <x v="1"/>
    <n v="2"/>
    <x v="0"/>
    <n v="0.2273"/>
    <x v="43"/>
    <x v="6"/>
    <n v="3"/>
    <n v="61"/>
    <n v="64"/>
    <x v="1"/>
    <x v="4"/>
    <x v="1"/>
    <x v="1"/>
  </r>
  <r>
    <n v="725"/>
    <x v="32"/>
    <x v="0"/>
    <n v="0"/>
    <x v="1"/>
    <x v="13"/>
    <x v="0"/>
    <n v="3"/>
    <x v="1"/>
    <n v="1"/>
    <x v="10"/>
    <n v="0.33329999999999999"/>
    <x v="43"/>
    <x v="8"/>
    <n v="1"/>
    <n v="74"/>
    <n v="75"/>
    <x v="0"/>
    <x v="4"/>
    <x v="1"/>
    <x v="1"/>
  </r>
  <r>
    <n v="726"/>
    <x v="32"/>
    <x v="0"/>
    <n v="0"/>
    <x v="1"/>
    <x v="14"/>
    <x v="0"/>
    <n v="3"/>
    <x v="1"/>
    <n v="1"/>
    <x v="4"/>
    <n v="0.39389999999999997"/>
    <x v="7"/>
    <x v="13"/>
    <n v="2"/>
    <n v="61"/>
    <n v="63"/>
    <x v="0"/>
    <x v="4"/>
    <x v="1"/>
    <x v="1"/>
  </r>
  <r>
    <n v="727"/>
    <x v="32"/>
    <x v="0"/>
    <n v="0"/>
    <x v="1"/>
    <x v="15"/>
    <x v="0"/>
    <n v="3"/>
    <x v="1"/>
    <n v="1"/>
    <x v="4"/>
    <n v="0.39389999999999997"/>
    <x v="4"/>
    <x v="9"/>
    <n v="10"/>
    <n v="66"/>
    <n v="76"/>
    <x v="0"/>
    <x v="4"/>
    <x v="1"/>
    <x v="1"/>
  </r>
  <r>
    <n v="728"/>
    <x v="32"/>
    <x v="0"/>
    <n v="0"/>
    <x v="1"/>
    <x v="16"/>
    <x v="0"/>
    <n v="3"/>
    <x v="1"/>
    <n v="1"/>
    <x v="5"/>
    <n v="0.33329999999999999"/>
    <x v="12"/>
    <x v="4"/>
    <n v="8"/>
    <n v="95"/>
    <n v="103"/>
    <x v="0"/>
    <x v="4"/>
    <x v="1"/>
    <x v="1"/>
  </r>
  <r>
    <n v="729"/>
    <x v="32"/>
    <x v="0"/>
    <n v="0"/>
    <x v="1"/>
    <x v="17"/>
    <x v="0"/>
    <n v="3"/>
    <x v="1"/>
    <n v="1"/>
    <x v="5"/>
    <n v="0.31819999999999998"/>
    <x v="45"/>
    <x v="18"/>
    <n v="7"/>
    <n v="183"/>
    <n v="190"/>
    <x v="0"/>
    <x v="4"/>
    <x v="1"/>
    <x v="1"/>
  </r>
  <r>
    <n v="730"/>
    <x v="32"/>
    <x v="0"/>
    <n v="0"/>
    <x v="1"/>
    <x v="18"/>
    <x v="0"/>
    <n v="3"/>
    <x v="1"/>
    <n v="1"/>
    <x v="10"/>
    <n v="0.28789999999999999"/>
    <x v="16"/>
    <x v="16"/>
    <n v="7"/>
    <n v="175"/>
    <n v="182"/>
    <x v="0"/>
    <x v="4"/>
    <x v="1"/>
    <x v="1"/>
  </r>
  <r>
    <n v="731"/>
    <x v="32"/>
    <x v="0"/>
    <n v="0"/>
    <x v="1"/>
    <x v="19"/>
    <x v="0"/>
    <n v="3"/>
    <x v="1"/>
    <n v="1"/>
    <x v="17"/>
    <n v="0.2424"/>
    <x v="49"/>
    <x v="15"/>
    <n v="3"/>
    <n v="88"/>
    <n v="91"/>
    <x v="0"/>
    <x v="4"/>
    <x v="1"/>
    <x v="1"/>
  </r>
  <r>
    <n v="732"/>
    <x v="32"/>
    <x v="0"/>
    <n v="0"/>
    <x v="1"/>
    <x v="20"/>
    <x v="0"/>
    <n v="3"/>
    <x v="1"/>
    <n v="1"/>
    <x v="0"/>
    <n v="0.19700000000000001"/>
    <x v="37"/>
    <x v="16"/>
    <n v="4"/>
    <n v="71"/>
    <n v="75"/>
    <x v="0"/>
    <x v="4"/>
    <x v="1"/>
    <x v="1"/>
  </r>
  <r>
    <n v="733"/>
    <x v="32"/>
    <x v="0"/>
    <n v="0"/>
    <x v="1"/>
    <x v="21"/>
    <x v="0"/>
    <n v="3"/>
    <x v="1"/>
    <n v="1"/>
    <x v="1"/>
    <n v="0.19700000000000001"/>
    <x v="19"/>
    <x v="9"/>
    <n v="1"/>
    <n v="62"/>
    <n v="63"/>
    <x v="0"/>
    <x v="4"/>
    <x v="1"/>
    <x v="1"/>
  </r>
  <r>
    <n v="734"/>
    <x v="32"/>
    <x v="0"/>
    <n v="0"/>
    <x v="1"/>
    <x v="22"/>
    <x v="0"/>
    <n v="3"/>
    <x v="1"/>
    <n v="1"/>
    <x v="1"/>
    <n v="0.21210000000000001"/>
    <x v="18"/>
    <x v="2"/>
    <n v="5"/>
    <n v="35"/>
    <n v="40"/>
    <x v="0"/>
    <x v="4"/>
    <x v="1"/>
    <x v="1"/>
  </r>
  <r>
    <n v="735"/>
    <x v="32"/>
    <x v="0"/>
    <n v="0"/>
    <x v="1"/>
    <x v="23"/>
    <x v="0"/>
    <n v="3"/>
    <x v="1"/>
    <n v="1"/>
    <x v="2"/>
    <n v="0.16669999999999999"/>
    <x v="18"/>
    <x v="10"/>
    <n v="3"/>
    <n v="29"/>
    <n v="32"/>
    <x v="0"/>
    <x v="4"/>
    <x v="1"/>
    <x v="1"/>
  </r>
  <r>
    <n v="736"/>
    <x v="33"/>
    <x v="0"/>
    <n v="0"/>
    <x v="1"/>
    <x v="0"/>
    <x v="0"/>
    <n v="4"/>
    <x v="1"/>
    <n v="1"/>
    <x v="2"/>
    <n v="0.16669999999999999"/>
    <x v="22"/>
    <x v="10"/>
    <n v="1"/>
    <n v="11"/>
    <n v="12"/>
    <x v="0"/>
    <x v="5"/>
    <x v="1"/>
    <x v="1"/>
  </r>
  <r>
    <n v="737"/>
    <x v="33"/>
    <x v="0"/>
    <n v="0"/>
    <x v="1"/>
    <x v="1"/>
    <x v="0"/>
    <n v="4"/>
    <x v="1"/>
    <n v="1"/>
    <x v="2"/>
    <n v="0.1515"/>
    <x v="18"/>
    <x v="18"/>
    <n v="0"/>
    <n v="5"/>
    <n v="5"/>
    <x v="0"/>
    <x v="5"/>
    <x v="1"/>
    <x v="1"/>
  </r>
  <r>
    <n v="738"/>
    <x v="33"/>
    <x v="0"/>
    <n v="0"/>
    <x v="1"/>
    <x v="2"/>
    <x v="0"/>
    <n v="4"/>
    <x v="1"/>
    <n v="1"/>
    <x v="15"/>
    <n v="0.16669999999999999"/>
    <x v="21"/>
    <x v="2"/>
    <n v="0"/>
    <n v="2"/>
    <n v="2"/>
    <x v="0"/>
    <x v="5"/>
    <x v="1"/>
    <x v="1"/>
  </r>
  <r>
    <n v="739"/>
    <x v="33"/>
    <x v="0"/>
    <n v="0"/>
    <x v="1"/>
    <x v="3"/>
    <x v="0"/>
    <n v="4"/>
    <x v="1"/>
    <n v="1"/>
    <x v="15"/>
    <n v="0.16669999999999999"/>
    <x v="21"/>
    <x v="2"/>
    <n v="0"/>
    <n v="1"/>
    <n v="1"/>
    <x v="0"/>
    <x v="5"/>
    <x v="1"/>
    <x v="1"/>
  </r>
  <r>
    <n v="740"/>
    <x v="33"/>
    <x v="0"/>
    <n v="0"/>
    <x v="1"/>
    <x v="5"/>
    <x v="0"/>
    <n v="4"/>
    <x v="1"/>
    <n v="1"/>
    <x v="13"/>
    <n v="0.13639999999999999"/>
    <x v="20"/>
    <x v="4"/>
    <n v="0"/>
    <n v="2"/>
    <n v="2"/>
    <x v="0"/>
    <x v="5"/>
    <x v="1"/>
    <x v="1"/>
  </r>
  <r>
    <n v="741"/>
    <x v="33"/>
    <x v="0"/>
    <n v="0"/>
    <x v="1"/>
    <x v="6"/>
    <x v="0"/>
    <n v="4"/>
    <x v="1"/>
    <n v="1"/>
    <x v="13"/>
    <n v="0.13639999999999999"/>
    <x v="21"/>
    <x v="11"/>
    <n v="0"/>
    <n v="39"/>
    <n v="39"/>
    <x v="0"/>
    <x v="5"/>
    <x v="1"/>
    <x v="1"/>
  </r>
  <r>
    <n v="742"/>
    <x v="33"/>
    <x v="0"/>
    <n v="0"/>
    <x v="1"/>
    <x v="7"/>
    <x v="0"/>
    <n v="4"/>
    <x v="1"/>
    <n v="1"/>
    <x v="14"/>
    <n v="0.1212"/>
    <x v="20"/>
    <x v="9"/>
    <n v="1"/>
    <n v="86"/>
    <n v="87"/>
    <x v="0"/>
    <x v="5"/>
    <x v="1"/>
    <x v="1"/>
  </r>
  <r>
    <n v="743"/>
    <x v="33"/>
    <x v="0"/>
    <n v="0"/>
    <x v="1"/>
    <x v="8"/>
    <x v="0"/>
    <n v="4"/>
    <x v="1"/>
    <n v="1"/>
    <x v="14"/>
    <n v="0.1212"/>
    <x v="20"/>
    <x v="11"/>
    <n v="4"/>
    <n v="184"/>
    <n v="188"/>
    <x v="0"/>
    <x v="5"/>
    <x v="1"/>
    <x v="1"/>
  </r>
  <r>
    <n v="744"/>
    <x v="33"/>
    <x v="0"/>
    <n v="0"/>
    <x v="1"/>
    <x v="9"/>
    <x v="0"/>
    <n v="4"/>
    <x v="1"/>
    <n v="1"/>
    <x v="13"/>
    <n v="0.13639999999999999"/>
    <x v="19"/>
    <x v="4"/>
    <n v="6"/>
    <n v="127"/>
    <n v="133"/>
    <x v="0"/>
    <x v="5"/>
    <x v="1"/>
    <x v="1"/>
  </r>
  <r>
    <n v="745"/>
    <x v="33"/>
    <x v="0"/>
    <n v="0"/>
    <x v="1"/>
    <x v="10"/>
    <x v="0"/>
    <n v="4"/>
    <x v="1"/>
    <n v="1"/>
    <x v="15"/>
    <n v="0.1515"/>
    <x v="21"/>
    <x v="9"/>
    <n v="2"/>
    <n v="50"/>
    <n v="52"/>
    <x v="0"/>
    <x v="5"/>
    <x v="1"/>
    <x v="1"/>
  </r>
  <r>
    <n v="746"/>
    <x v="33"/>
    <x v="0"/>
    <n v="0"/>
    <x v="1"/>
    <x v="11"/>
    <x v="0"/>
    <n v="4"/>
    <x v="1"/>
    <n v="1"/>
    <x v="15"/>
    <n v="0.13639999999999999"/>
    <x v="21"/>
    <x v="10"/>
    <n v="9"/>
    <n v="55"/>
    <n v="64"/>
    <x v="0"/>
    <x v="5"/>
    <x v="1"/>
    <x v="1"/>
  </r>
  <r>
    <n v="747"/>
    <x v="33"/>
    <x v="0"/>
    <n v="0"/>
    <x v="1"/>
    <x v="12"/>
    <x v="0"/>
    <n v="4"/>
    <x v="1"/>
    <n v="1"/>
    <x v="2"/>
    <n v="0.18179999999999999"/>
    <x v="22"/>
    <x v="11"/>
    <n v="2"/>
    <n v="67"/>
    <n v="69"/>
    <x v="0"/>
    <x v="5"/>
    <x v="1"/>
    <x v="1"/>
  </r>
  <r>
    <n v="748"/>
    <x v="33"/>
    <x v="0"/>
    <n v="0"/>
    <x v="1"/>
    <x v="13"/>
    <x v="0"/>
    <n v="4"/>
    <x v="1"/>
    <n v="1"/>
    <x v="2"/>
    <n v="0.16669999999999999"/>
    <x v="22"/>
    <x v="12"/>
    <n v="4"/>
    <n v="47"/>
    <n v="51"/>
    <x v="0"/>
    <x v="5"/>
    <x v="1"/>
    <x v="1"/>
  </r>
  <r>
    <n v="749"/>
    <x v="33"/>
    <x v="0"/>
    <n v="0"/>
    <x v="1"/>
    <x v="14"/>
    <x v="0"/>
    <n v="4"/>
    <x v="1"/>
    <n v="1"/>
    <x v="1"/>
    <n v="0.19700000000000001"/>
    <x v="38"/>
    <x v="13"/>
    <n v="4"/>
    <n v="43"/>
    <n v="47"/>
    <x v="0"/>
    <x v="5"/>
    <x v="1"/>
    <x v="1"/>
  </r>
  <r>
    <n v="750"/>
    <x v="33"/>
    <x v="0"/>
    <n v="0"/>
    <x v="1"/>
    <x v="15"/>
    <x v="0"/>
    <n v="4"/>
    <x v="1"/>
    <n v="1"/>
    <x v="1"/>
    <n v="0.19700000000000001"/>
    <x v="38"/>
    <x v="9"/>
    <n v="4"/>
    <n v="56"/>
    <n v="60"/>
    <x v="0"/>
    <x v="5"/>
    <x v="1"/>
    <x v="1"/>
  </r>
  <r>
    <n v="751"/>
    <x v="33"/>
    <x v="0"/>
    <n v="0"/>
    <x v="1"/>
    <x v="16"/>
    <x v="0"/>
    <n v="4"/>
    <x v="1"/>
    <n v="1"/>
    <x v="1"/>
    <n v="0.21210000000000001"/>
    <x v="38"/>
    <x v="2"/>
    <n v="5"/>
    <n v="73"/>
    <n v="78"/>
    <x v="0"/>
    <x v="5"/>
    <x v="1"/>
    <x v="1"/>
  </r>
  <r>
    <n v="752"/>
    <x v="33"/>
    <x v="0"/>
    <n v="0"/>
    <x v="1"/>
    <x v="17"/>
    <x v="0"/>
    <n v="4"/>
    <x v="1"/>
    <n v="1"/>
    <x v="2"/>
    <n v="0.19700000000000001"/>
    <x v="22"/>
    <x v="5"/>
    <n v="5"/>
    <n v="170"/>
    <n v="175"/>
    <x v="0"/>
    <x v="5"/>
    <x v="1"/>
    <x v="1"/>
  </r>
  <r>
    <n v="753"/>
    <x v="33"/>
    <x v="0"/>
    <n v="0"/>
    <x v="1"/>
    <x v="18"/>
    <x v="0"/>
    <n v="4"/>
    <x v="1"/>
    <n v="1"/>
    <x v="2"/>
    <n v="0.21210000000000001"/>
    <x v="22"/>
    <x v="8"/>
    <n v="2"/>
    <n v="145"/>
    <n v="147"/>
    <x v="0"/>
    <x v="5"/>
    <x v="1"/>
    <x v="1"/>
  </r>
  <r>
    <n v="754"/>
    <x v="33"/>
    <x v="0"/>
    <n v="0"/>
    <x v="1"/>
    <x v="19"/>
    <x v="0"/>
    <n v="4"/>
    <x v="1"/>
    <n v="1"/>
    <x v="2"/>
    <n v="0.2576"/>
    <x v="22"/>
    <x v="0"/>
    <n v="4"/>
    <n v="92"/>
    <n v="96"/>
    <x v="0"/>
    <x v="5"/>
    <x v="1"/>
    <x v="1"/>
  </r>
  <r>
    <n v="755"/>
    <x v="33"/>
    <x v="0"/>
    <n v="0"/>
    <x v="1"/>
    <x v="20"/>
    <x v="0"/>
    <n v="4"/>
    <x v="1"/>
    <n v="1"/>
    <x v="2"/>
    <n v="0.2273"/>
    <x v="19"/>
    <x v="1"/>
    <n v="1"/>
    <n v="108"/>
    <n v="109"/>
    <x v="0"/>
    <x v="5"/>
    <x v="1"/>
    <x v="1"/>
  </r>
  <r>
    <n v="756"/>
    <x v="33"/>
    <x v="0"/>
    <n v="0"/>
    <x v="1"/>
    <x v="21"/>
    <x v="0"/>
    <n v="4"/>
    <x v="1"/>
    <n v="1"/>
    <x v="15"/>
    <n v="0.21210000000000001"/>
    <x v="28"/>
    <x v="14"/>
    <n v="1"/>
    <n v="53"/>
    <n v="54"/>
    <x v="0"/>
    <x v="5"/>
    <x v="1"/>
    <x v="1"/>
  </r>
  <r>
    <n v="757"/>
    <x v="33"/>
    <x v="0"/>
    <n v="0"/>
    <x v="1"/>
    <x v="22"/>
    <x v="0"/>
    <n v="4"/>
    <x v="1"/>
    <n v="1"/>
    <x v="15"/>
    <n v="0.21210000000000001"/>
    <x v="33"/>
    <x v="1"/>
    <n v="2"/>
    <n v="39"/>
    <n v="41"/>
    <x v="0"/>
    <x v="5"/>
    <x v="1"/>
    <x v="1"/>
  </r>
  <r>
    <n v="758"/>
    <x v="33"/>
    <x v="0"/>
    <n v="0"/>
    <x v="1"/>
    <x v="23"/>
    <x v="0"/>
    <n v="4"/>
    <x v="1"/>
    <n v="1"/>
    <x v="2"/>
    <n v="0.2273"/>
    <x v="19"/>
    <x v="14"/>
    <n v="4"/>
    <n v="34"/>
    <n v="38"/>
    <x v="0"/>
    <x v="5"/>
    <x v="1"/>
    <x v="1"/>
  </r>
  <r>
    <n v="759"/>
    <x v="34"/>
    <x v="0"/>
    <n v="0"/>
    <x v="1"/>
    <x v="0"/>
    <x v="0"/>
    <n v="5"/>
    <x v="1"/>
    <n v="2"/>
    <x v="2"/>
    <n v="0.2576"/>
    <x v="18"/>
    <x v="0"/>
    <n v="3"/>
    <n v="10"/>
    <n v="13"/>
    <x v="1"/>
    <x v="6"/>
    <x v="1"/>
    <x v="1"/>
  </r>
  <r>
    <n v="760"/>
    <x v="34"/>
    <x v="0"/>
    <n v="0"/>
    <x v="1"/>
    <x v="1"/>
    <x v="0"/>
    <n v="5"/>
    <x v="1"/>
    <n v="2"/>
    <x v="13"/>
    <n v="0.2273"/>
    <x v="29"/>
    <x v="0"/>
    <n v="0"/>
    <n v="7"/>
    <n v="7"/>
    <x v="1"/>
    <x v="6"/>
    <x v="1"/>
    <x v="1"/>
  </r>
  <r>
    <n v="761"/>
    <x v="34"/>
    <x v="0"/>
    <n v="0"/>
    <x v="1"/>
    <x v="2"/>
    <x v="0"/>
    <n v="5"/>
    <x v="1"/>
    <n v="2"/>
    <x v="14"/>
    <n v="0.16669999999999999"/>
    <x v="30"/>
    <x v="14"/>
    <n v="0"/>
    <n v="1"/>
    <n v="1"/>
    <x v="1"/>
    <x v="6"/>
    <x v="1"/>
    <x v="1"/>
  </r>
  <r>
    <n v="762"/>
    <x v="34"/>
    <x v="0"/>
    <n v="0"/>
    <x v="1"/>
    <x v="3"/>
    <x v="0"/>
    <n v="5"/>
    <x v="1"/>
    <n v="2"/>
    <x v="14"/>
    <n v="0.16669999999999999"/>
    <x v="30"/>
    <x v="14"/>
    <n v="0"/>
    <n v="1"/>
    <n v="1"/>
    <x v="1"/>
    <x v="6"/>
    <x v="1"/>
    <x v="1"/>
  </r>
  <r>
    <n v="763"/>
    <x v="34"/>
    <x v="0"/>
    <n v="0"/>
    <x v="1"/>
    <x v="5"/>
    <x v="0"/>
    <n v="5"/>
    <x v="1"/>
    <n v="2"/>
    <x v="14"/>
    <n v="0.1515"/>
    <x v="30"/>
    <x v="7"/>
    <n v="0"/>
    <n v="7"/>
    <n v="7"/>
    <x v="1"/>
    <x v="6"/>
    <x v="1"/>
    <x v="1"/>
  </r>
  <r>
    <n v="764"/>
    <x v="34"/>
    <x v="0"/>
    <n v="0"/>
    <x v="1"/>
    <x v="6"/>
    <x v="0"/>
    <n v="5"/>
    <x v="1"/>
    <n v="2"/>
    <x v="13"/>
    <n v="0.2273"/>
    <x v="28"/>
    <x v="0"/>
    <n v="2"/>
    <n v="26"/>
    <n v="28"/>
    <x v="1"/>
    <x v="6"/>
    <x v="1"/>
    <x v="1"/>
  </r>
  <r>
    <n v="765"/>
    <x v="34"/>
    <x v="0"/>
    <n v="0"/>
    <x v="1"/>
    <x v="7"/>
    <x v="0"/>
    <n v="5"/>
    <x v="1"/>
    <n v="1"/>
    <x v="14"/>
    <n v="0.21210000000000001"/>
    <x v="29"/>
    <x v="0"/>
    <n v="0"/>
    <n v="87"/>
    <n v="87"/>
    <x v="0"/>
    <x v="6"/>
    <x v="1"/>
    <x v="1"/>
  </r>
  <r>
    <n v="766"/>
    <x v="34"/>
    <x v="0"/>
    <n v="0"/>
    <x v="1"/>
    <x v="8"/>
    <x v="0"/>
    <n v="5"/>
    <x v="1"/>
    <n v="1"/>
    <x v="14"/>
    <n v="0.1515"/>
    <x v="32"/>
    <x v="7"/>
    <n v="3"/>
    <n v="217"/>
    <n v="220"/>
    <x v="0"/>
    <x v="6"/>
    <x v="1"/>
    <x v="1"/>
  </r>
  <r>
    <n v="767"/>
    <x v="34"/>
    <x v="0"/>
    <n v="0"/>
    <x v="1"/>
    <x v="9"/>
    <x v="0"/>
    <n v="5"/>
    <x v="1"/>
    <n v="2"/>
    <x v="13"/>
    <n v="0.18179999999999999"/>
    <x v="1"/>
    <x v="7"/>
    <n v="3"/>
    <n v="124"/>
    <n v="127"/>
    <x v="1"/>
    <x v="6"/>
    <x v="1"/>
    <x v="1"/>
  </r>
  <r>
    <n v="768"/>
    <x v="34"/>
    <x v="0"/>
    <n v="0"/>
    <x v="1"/>
    <x v="10"/>
    <x v="0"/>
    <n v="5"/>
    <x v="1"/>
    <n v="2"/>
    <x v="2"/>
    <n v="0.21210000000000001"/>
    <x v="33"/>
    <x v="7"/>
    <n v="5"/>
    <n v="46"/>
    <n v="51"/>
    <x v="1"/>
    <x v="6"/>
    <x v="1"/>
    <x v="1"/>
  </r>
  <r>
    <n v="769"/>
    <x v="34"/>
    <x v="0"/>
    <n v="0"/>
    <x v="1"/>
    <x v="11"/>
    <x v="0"/>
    <n v="5"/>
    <x v="1"/>
    <n v="1"/>
    <x v="1"/>
    <n v="0.2273"/>
    <x v="33"/>
    <x v="8"/>
    <n v="3"/>
    <n v="61"/>
    <n v="64"/>
    <x v="0"/>
    <x v="6"/>
    <x v="1"/>
    <x v="1"/>
  </r>
  <r>
    <n v="770"/>
    <x v="34"/>
    <x v="0"/>
    <n v="0"/>
    <x v="1"/>
    <x v="12"/>
    <x v="0"/>
    <n v="5"/>
    <x v="1"/>
    <n v="2"/>
    <x v="0"/>
    <n v="0.2424"/>
    <x v="37"/>
    <x v="8"/>
    <n v="8"/>
    <n v="78"/>
    <n v="86"/>
    <x v="1"/>
    <x v="6"/>
    <x v="1"/>
    <x v="1"/>
  </r>
  <r>
    <n v="771"/>
    <x v="34"/>
    <x v="0"/>
    <n v="0"/>
    <x v="1"/>
    <x v="13"/>
    <x v="0"/>
    <n v="5"/>
    <x v="1"/>
    <n v="2"/>
    <x v="12"/>
    <n v="0.2576"/>
    <x v="20"/>
    <x v="6"/>
    <n v="9"/>
    <n v="73"/>
    <n v="82"/>
    <x v="1"/>
    <x v="6"/>
    <x v="1"/>
    <x v="1"/>
  </r>
  <r>
    <n v="772"/>
    <x v="34"/>
    <x v="0"/>
    <n v="0"/>
    <x v="1"/>
    <x v="14"/>
    <x v="0"/>
    <n v="5"/>
    <x v="1"/>
    <n v="2"/>
    <x v="17"/>
    <n v="0.2727"/>
    <x v="49"/>
    <x v="8"/>
    <n v="15"/>
    <n v="76"/>
    <n v="91"/>
    <x v="1"/>
    <x v="6"/>
    <x v="1"/>
    <x v="1"/>
  </r>
  <r>
    <n v="773"/>
    <x v="34"/>
    <x v="0"/>
    <n v="0"/>
    <x v="1"/>
    <x v="15"/>
    <x v="0"/>
    <n v="5"/>
    <x v="1"/>
    <n v="2"/>
    <x v="17"/>
    <n v="0.2727"/>
    <x v="37"/>
    <x v="2"/>
    <n v="9"/>
    <n v="81"/>
    <n v="90"/>
    <x v="1"/>
    <x v="6"/>
    <x v="1"/>
    <x v="1"/>
  </r>
  <r>
    <n v="774"/>
    <x v="34"/>
    <x v="0"/>
    <n v="0"/>
    <x v="1"/>
    <x v="16"/>
    <x v="0"/>
    <n v="5"/>
    <x v="1"/>
    <n v="2"/>
    <x v="11"/>
    <n v="0.28789999999999999"/>
    <x v="16"/>
    <x v="6"/>
    <n v="8"/>
    <n v="91"/>
    <n v="99"/>
    <x v="1"/>
    <x v="6"/>
    <x v="1"/>
    <x v="1"/>
  </r>
  <r>
    <n v="775"/>
    <x v="34"/>
    <x v="0"/>
    <n v="0"/>
    <x v="1"/>
    <x v="17"/>
    <x v="0"/>
    <n v="5"/>
    <x v="1"/>
    <n v="2"/>
    <x v="12"/>
    <n v="0.2727"/>
    <x v="34"/>
    <x v="7"/>
    <n v="10"/>
    <n v="195"/>
    <n v="205"/>
    <x v="1"/>
    <x v="6"/>
    <x v="1"/>
    <x v="1"/>
  </r>
  <r>
    <n v="776"/>
    <x v="34"/>
    <x v="0"/>
    <n v="0"/>
    <x v="1"/>
    <x v="18"/>
    <x v="0"/>
    <n v="5"/>
    <x v="1"/>
    <n v="2"/>
    <x v="0"/>
    <n v="0.2576"/>
    <x v="54"/>
    <x v="14"/>
    <n v="3"/>
    <n v="152"/>
    <n v="155"/>
    <x v="1"/>
    <x v="6"/>
    <x v="1"/>
    <x v="1"/>
  </r>
  <r>
    <n v="777"/>
    <x v="34"/>
    <x v="0"/>
    <n v="0"/>
    <x v="1"/>
    <x v="19"/>
    <x v="0"/>
    <n v="5"/>
    <x v="1"/>
    <n v="2"/>
    <x v="0"/>
    <n v="0.2424"/>
    <x v="55"/>
    <x v="7"/>
    <n v="1"/>
    <n v="102"/>
    <n v="103"/>
    <x v="1"/>
    <x v="6"/>
    <x v="1"/>
    <x v="1"/>
  </r>
  <r>
    <n v="778"/>
    <x v="34"/>
    <x v="0"/>
    <n v="0"/>
    <x v="1"/>
    <x v="20"/>
    <x v="0"/>
    <n v="5"/>
    <x v="1"/>
    <n v="2"/>
    <x v="0"/>
    <n v="0.2424"/>
    <x v="55"/>
    <x v="8"/>
    <n v="2"/>
    <n v="69"/>
    <n v="71"/>
    <x v="1"/>
    <x v="6"/>
    <x v="1"/>
    <x v="1"/>
  </r>
  <r>
    <n v="779"/>
    <x v="34"/>
    <x v="0"/>
    <n v="0"/>
    <x v="1"/>
    <x v="21"/>
    <x v="0"/>
    <n v="5"/>
    <x v="1"/>
    <n v="2"/>
    <x v="0"/>
    <n v="0.2424"/>
    <x v="56"/>
    <x v="8"/>
    <n v="2"/>
    <n v="41"/>
    <n v="43"/>
    <x v="1"/>
    <x v="6"/>
    <x v="1"/>
    <x v="1"/>
  </r>
  <r>
    <n v="780"/>
    <x v="34"/>
    <x v="0"/>
    <n v="0"/>
    <x v="1"/>
    <x v="22"/>
    <x v="0"/>
    <n v="5"/>
    <x v="1"/>
    <n v="2"/>
    <x v="0"/>
    <n v="0.2424"/>
    <x v="55"/>
    <x v="8"/>
    <n v="1"/>
    <n v="45"/>
    <n v="46"/>
    <x v="1"/>
    <x v="6"/>
    <x v="1"/>
    <x v="1"/>
  </r>
  <r>
    <n v="781"/>
    <x v="34"/>
    <x v="0"/>
    <n v="0"/>
    <x v="1"/>
    <x v="23"/>
    <x v="0"/>
    <n v="5"/>
    <x v="1"/>
    <n v="2"/>
    <x v="0"/>
    <n v="0.2424"/>
    <x v="56"/>
    <x v="7"/>
    <n v="1"/>
    <n v="30"/>
    <n v="31"/>
    <x v="1"/>
    <x v="6"/>
    <x v="1"/>
    <x v="1"/>
  </r>
  <r>
    <n v="782"/>
    <x v="35"/>
    <x v="0"/>
    <n v="0"/>
    <x v="1"/>
    <x v="0"/>
    <x v="0"/>
    <n v="6"/>
    <x v="0"/>
    <n v="2"/>
    <x v="0"/>
    <n v="0.2424"/>
    <x v="56"/>
    <x v="8"/>
    <n v="3"/>
    <n v="36"/>
    <n v="39"/>
    <x v="1"/>
    <x v="0"/>
    <x v="1"/>
    <x v="0"/>
  </r>
  <r>
    <n v="783"/>
    <x v="35"/>
    <x v="0"/>
    <n v="0"/>
    <x v="1"/>
    <x v="1"/>
    <x v="0"/>
    <n v="6"/>
    <x v="0"/>
    <n v="2"/>
    <x v="0"/>
    <n v="0.2424"/>
    <x v="55"/>
    <x v="8"/>
    <n v="1"/>
    <n v="17"/>
    <n v="18"/>
    <x v="1"/>
    <x v="0"/>
    <x v="1"/>
    <x v="0"/>
  </r>
  <r>
    <n v="784"/>
    <x v="35"/>
    <x v="0"/>
    <n v="0"/>
    <x v="1"/>
    <x v="2"/>
    <x v="0"/>
    <n v="6"/>
    <x v="0"/>
    <n v="2"/>
    <x v="0"/>
    <n v="0.2424"/>
    <x v="2"/>
    <x v="8"/>
    <n v="5"/>
    <n v="12"/>
    <n v="17"/>
    <x v="1"/>
    <x v="0"/>
    <x v="1"/>
    <x v="0"/>
  </r>
  <r>
    <n v="785"/>
    <x v="35"/>
    <x v="0"/>
    <n v="0"/>
    <x v="1"/>
    <x v="3"/>
    <x v="0"/>
    <n v="6"/>
    <x v="0"/>
    <n v="2"/>
    <x v="0"/>
    <n v="0.2424"/>
    <x v="2"/>
    <x v="8"/>
    <n v="1"/>
    <n v="10"/>
    <n v="11"/>
    <x v="1"/>
    <x v="0"/>
    <x v="1"/>
    <x v="0"/>
  </r>
  <r>
    <n v="786"/>
    <x v="35"/>
    <x v="0"/>
    <n v="0"/>
    <x v="1"/>
    <x v="4"/>
    <x v="0"/>
    <n v="6"/>
    <x v="0"/>
    <n v="3"/>
    <x v="1"/>
    <n v="0.2273"/>
    <x v="43"/>
    <x v="7"/>
    <n v="0"/>
    <n v="8"/>
    <n v="8"/>
    <x v="2"/>
    <x v="0"/>
    <x v="1"/>
    <x v="0"/>
  </r>
  <r>
    <n v="787"/>
    <x v="35"/>
    <x v="0"/>
    <n v="0"/>
    <x v="1"/>
    <x v="5"/>
    <x v="0"/>
    <n v="6"/>
    <x v="0"/>
    <n v="3"/>
    <x v="2"/>
    <n v="0.2273"/>
    <x v="11"/>
    <x v="1"/>
    <n v="0"/>
    <n v="9"/>
    <n v="9"/>
    <x v="2"/>
    <x v="0"/>
    <x v="1"/>
    <x v="0"/>
  </r>
  <r>
    <n v="788"/>
    <x v="35"/>
    <x v="0"/>
    <n v="0"/>
    <x v="1"/>
    <x v="6"/>
    <x v="0"/>
    <n v="6"/>
    <x v="0"/>
    <n v="3"/>
    <x v="2"/>
    <n v="0.2576"/>
    <x v="11"/>
    <x v="0"/>
    <n v="0"/>
    <n v="4"/>
    <n v="4"/>
    <x v="2"/>
    <x v="0"/>
    <x v="1"/>
    <x v="0"/>
  </r>
  <r>
    <n v="789"/>
    <x v="35"/>
    <x v="0"/>
    <n v="0"/>
    <x v="1"/>
    <x v="7"/>
    <x v="0"/>
    <n v="6"/>
    <x v="0"/>
    <n v="3"/>
    <x v="1"/>
    <n v="0.2576"/>
    <x v="43"/>
    <x v="1"/>
    <n v="0"/>
    <n v="4"/>
    <n v="4"/>
    <x v="2"/>
    <x v="0"/>
    <x v="1"/>
    <x v="0"/>
  </r>
  <r>
    <n v="790"/>
    <x v="35"/>
    <x v="0"/>
    <n v="0"/>
    <x v="1"/>
    <x v="8"/>
    <x v="0"/>
    <n v="6"/>
    <x v="0"/>
    <n v="3"/>
    <x v="2"/>
    <n v="0.2273"/>
    <x v="11"/>
    <x v="1"/>
    <n v="0"/>
    <n v="10"/>
    <n v="10"/>
    <x v="2"/>
    <x v="0"/>
    <x v="1"/>
    <x v="0"/>
  </r>
  <r>
    <n v="791"/>
    <x v="35"/>
    <x v="0"/>
    <n v="0"/>
    <x v="1"/>
    <x v="9"/>
    <x v="0"/>
    <n v="6"/>
    <x v="0"/>
    <n v="3"/>
    <x v="2"/>
    <n v="0.2273"/>
    <x v="11"/>
    <x v="1"/>
    <n v="3"/>
    <n v="17"/>
    <n v="20"/>
    <x v="2"/>
    <x v="0"/>
    <x v="1"/>
    <x v="0"/>
  </r>
  <r>
    <n v="792"/>
    <x v="35"/>
    <x v="0"/>
    <n v="0"/>
    <x v="1"/>
    <x v="10"/>
    <x v="0"/>
    <n v="6"/>
    <x v="0"/>
    <n v="3"/>
    <x v="2"/>
    <n v="0.21210000000000001"/>
    <x v="11"/>
    <x v="7"/>
    <n v="3"/>
    <n v="31"/>
    <n v="34"/>
    <x v="2"/>
    <x v="0"/>
    <x v="1"/>
    <x v="0"/>
  </r>
  <r>
    <n v="793"/>
    <x v="35"/>
    <x v="0"/>
    <n v="0"/>
    <x v="1"/>
    <x v="11"/>
    <x v="0"/>
    <n v="6"/>
    <x v="0"/>
    <n v="3"/>
    <x v="1"/>
    <n v="0.2273"/>
    <x v="11"/>
    <x v="7"/>
    <n v="1"/>
    <n v="46"/>
    <n v="47"/>
    <x v="2"/>
    <x v="0"/>
    <x v="1"/>
    <x v="0"/>
  </r>
  <r>
    <n v="794"/>
    <x v="35"/>
    <x v="0"/>
    <n v="0"/>
    <x v="1"/>
    <x v="12"/>
    <x v="0"/>
    <n v="6"/>
    <x v="0"/>
    <n v="3"/>
    <x v="1"/>
    <n v="0.2273"/>
    <x v="11"/>
    <x v="8"/>
    <n v="10"/>
    <n v="42"/>
    <n v="52"/>
    <x v="2"/>
    <x v="0"/>
    <x v="1"/>
    <x v="0"/>
  </r>
  <r>
    <n v="795"/>
    <x v="35"/>
    <x v="0"/>
    <n v="0"/>
    <x v="1"/>
    <x v="13"/>
    <x v="0"/>
    <n v="6"/>
    <x v="0"/>
    <n v="3"/>
    <x v="1"/>
    <n v="0.2273"/>
    <x v="11"/>
    <x v="8"/>
    <n v="10"/>
    <n v="62"/>
    <n v="72"/>
    <x v="2"/>
    <x v="0"/>
    <x v="1"/>
    <x v="0"/>
  </r>
  <r>
    <n v="796"/>
    <x v="35"/>
    <x v="0"/>
    <n v="0"/>
    <x v="1"/>
    <x v="14"/>
    <x v="0"/>
    <n v="6"/>
    <x v="0"/>
    <n v="3"/>
    <x v="1"/>
    <n v="0.2727"/>
    <x v="11"/>
    <x v="0"/>
    <n v="5"/>
    <n v="50"/>
    <n v="55"/>
    <x v="2"/>
    <x v="0"/>
    <x v="1"/>
    <x v="0"/>
  </r>
  <r>
    <n v="797"/>
    <x v="35"/>
    <x v="0"/>
    <n v="0"/>
    <x v="1"/>
    <x v="15"/>
    <x v="0"/>
    <n v="6"/>
    <x v="0"/>
    <n v="3"/>
    <x v="1"/>
    <n v="0.2727"/>
    <x v="11"/>
    <x v="0"/>
    <n v="11"/>
    <n v="49"/>
    <n v="60"/>
    <x v="2"/>
    <x v="0"/>
    <x v="1"/>
    <x v="0"/>
  </r>
  <r>
    <n v="798"/>
    <x v="35"/>
    <x v="0"/>
    <n v="0"/>
    <x v="1"/>
    <x v="16"/>
    <x v="0"/>
    <n v="6"/>
    <x v="0"/>
    <n v="3"/>
    <x v="1"/>
    <n v="0.2273"/>
    <x v="11"/>
    <x v="7"/>
    <n v="8"/>
    <n v="63"/>
    <n v="71"/>
    <x v="2"/>
    <x v="0"/>
    <x v="1"/>
    <x v="0"/>
  </r>
  <r>
    <n v="799"/>
    <x v="35"/>
    <x v="0"/>
    <n v="0"/>
    <x v="1"/>
    <x v="17"/>
    <x v="0"/>
    <n v="6"/>
    <x v="0"/>
    <n v="2"/>
    <x v="0"/>
    <n v="0.21210000000000001"/>
    <x v="11"/>
    <x v="3"/>
    <n v="14"/>
    <n v="64"/>
    <n v="78"/>
    <x v="1"/>
    <x v="0"/>
    <x v="1"/>
    <x v="0"/>
  </r>
  <r>
    <n v="800"/>
    <x v="35"/>
    <x v="0"/>
    <n v="0"/>
    <x v="1"/>
    <x v="18"/>
    <x v="0"/>
    <n v="6"/>
    <x v="0"/>
    <n v="2"/>
    <x v="17"/>
    <n v="0.2424"/>
    <x v="43"/>
    <x v="10"/>
    <n v="2"/>
    <n v="81"/>
    <n v="83"/>
    <x v="1"/>
    <x v="0"/>
    <x v="1"/>
    <x v="0"/>
  </r>
  <r>
    <n v="801"/>
    <x v="35"/>
    <x v="0"/>
    <n v="0"/>
    <x v="1"/>
    <x v="19"/>
    <x v="0"/>
    <n v="6"/>
    <x v="0"/>
    <n v="2"/>
    <x v="17"/>
    <n v="0.2424"/>
    <x v="43"/>
    <x v="10"/>
    <n v="6"/>
    <n v="78"/>
    <n v="84"/>
    <x v="1"/>
    <x v="0"/>
    <x v="1"/>
    <x v="0"/>
  </r>
  <r>
    <n v="802"/>
    <x v="35"/>
    <x v="0"/>
    <n v="0"/>
    <x v="1"/>
    <x v="20"/>
    <x v="0"/>
    <n v="6"/>
    <x v="0"/>
    <n v="1"/>
    <x v="11"/>
    <n v="0.28789999999999999"/>
    <x v="9"/>
    <x v="2"/>
    <n v="5"/>
    <n v="64"/>
    <n v="69"/>
    <x v="0"/>
    <x v="0"/>
    <x v="1"/>
    <x v="0"/>
  </r>
  <r>
    <n v="803"/>
    <x v="35"/>
    <x v="0"/>
    <n v="0"/>
    <x v="1"/>
    <x v="21"/>
    <x v="0"/>
    <n v="6"/>
    <x v="0"/>
    <n v="1"/>
    <x v="12"/>
    <n v="0.2576"/>
    <x v="11"/>
    <x v="5"/>
    <n v="3"/>
    <n v="53"/>
    <n v="56"/>
    <x v="0"/>
    <x v="0"/>
    <x v="1"/>
    <x v="0"/>
  </r>
  <r>
    <n v="804"/>
    <x v="35"/>
    <x v="0"/>
    <n v="0"/>
    <x v="1"/>
    <x v="22"/>
    <x v="0"/>
    <n v="6"/>
    <x v="0"/>
    <n v="1"/>
    <x v="12"/>
    <n v="0.2727"/>
    <x v="43"/>
    <x v="7"/>
    <n v="2"/>
    <n v="43"/>
    <n v="45"/>
    <x v="0"/>
    <x v="0"/>
    <x v="1"/>
    <x v="0"/>
  </r>
  <r>
    <n v="805"/>
    <x v="35"/>
    <x v="0"/>
    <n v="0"/>
    <x v="1"/>
    <x v="23"/>
    <x v="0"/>
    <n v="6"/>
    <x v="0"/>
    <n v="1"/>
    <x v="12"/>
    <n v="0.2576"/>
    <x v="43"/>
    <x v="6"/>
    <n v="7"/>
    <n v="52"/>
    <n v="59"/>
    <x v="0"/>
    <x v="0"/>
    <x v="1"/>
    <x v="0"/>
  </r>
  <r>
    <n v="806"/>
    <x v="36"/>
    <x v="0"/>
    <n v="0"/>
    <x v="1"/>
    <x v="0"/>
    <x v="0"/>
    <n v="0"/>
    <x v="0"/>
    <n v="1"/>
    <x v="12"/>
    <n v="0.2576"/>
    <x v="56"/>
    <x v="5"/>
    <n v="2"/>
    <n v="37"/>
    <n v="39"/>
    <x v="0"/>
    <x v="1"/>
    <x v="1"/>
    <x v="0"/>
  </r>
  <r>
    <n v="807"/>
    <x v="36"/>
    <x v="0"/>
    <n v="0"/>
    <x v="1"/>
    <x v="1"/>
    <x v="0"/>
    <n v="0"/>
    <x v="0"/>
    <n v="1"/>
    <x v="12"/>
    <n v="0.2273"/>
    <x v="55"/>
    <x v="12"/>
    <n v="4"/>
    <n v="40"/>
    <n v="44"/>
    <x v="0"/>
    <x v="1"/>
    <x v="1"/>
    <x v="0"/>
  </r>
  <r>
    <n v="808"/>
    <x v="36"/>
    <x v="0"/>
    <n v="0"/>
    <x v="1"/>
    <x v="2"/>
    <x v="0"/>
    <n v="0"/>
    <x v="0"/>
    <n v="1"/>
    <x v="12"/>
    <n v="0.2273"/>
    <x v="54"/>
    <x v="9"/>
    <n v="0"/>
    <n v="20"/>
    <n v="20"/>
    <x v="0"/>
    <x v="1"/>
    <x v="1"/>
    <x v="0"/>
  </r>
  <r>
    <n v="809"/>
    <x v="36"/>
    <x v="0"/>
    <n v="0"/>
    <x v="1"/>
    <x v="3"/>
    <x v="0"/>
    <n v="0"/>
    <x v="0"/>
    <n v="1"/>
    <x v="12"/>
    <n v="0.28789999999999999"/>
    <x v="54"/>
    <x v="1"/>
    <n v="3"/>
    <n v="10"/>
    <n v="13"/>
    <x v="0"/>
    <x v="1"/>
    <x v="1"/>
    <x v="0"/>
  </r>
  <r>
    <n v="810"/>
    <x v="36"/>
    <x v="0"/>
    <n v="0"/>
    <x v="1"/>
    <x v="4"/>
    <x v="0"/>
    <n v="0"/>
    <x v="0"/>
    <n v="1"/>
    <x v="12"/>
    <n v="0.2273"/>
    <x v="54"/>
    <x v="11"/>
    <n v="0"/>
    <n v="2"/>
    <n v="2"/>
    <x v="0"/>
    <x v="1"/>
    <x v="1"/>
    <x v="0"/>
  </r>
  <r>
    <n v="811"/>
    <x v="36"/>
    <x v="0"/>
    <n v="0"/>
    <x v="1"/>
    <x v="5"/>
    <x v="0"/>
    <n v="0"/>
    <x v="0"/>
    <n v="1"/>
    <x v="12"/>
    <n v="0.2576"/>
    <x v="54"/>
    <x v="6"/>
    <n v="0"/>
    <n v="1"/>
    <n v="1"/>
    <x v="0"/>
    <x v="1"/>
    <x v="1"/>
    <x v="0"/>
  </r>
  <r>
    <n v="812"/>
    <x v="36"/>
    <x v="0"/>
    <n v="0"/>
    <x v="1"/>
    <x v="6"/>
    <x v="0"/>
    <n v="0"/>
    <x v="0"/>
    <n v="1"/>
    <x v="12"/>
    <n v="0.2576"/>
    <x v="54"/>
    <x v="6"/>
    <n v="0"/>
    <n v="1"/>
    <n v="1"/>
    <x v="0"/>
    <x v="1"/>
    <x v="1"/>
    <x v="0"/>
  </r>
  <r>
    <n v="813"/>
    <x v="36"/>
    <x v="0"/>
    <n v="0"/>
    <x v="1"/>
    <x v="7"/>
    <x v="0"/>
    <n v="0"/>
    <x v="0"/>
    <n v="1"/>
    <x v="0"/>
    <n v="0.2424"/>
    <x v="55"/>
    <x v="8"/>
    <n v="0"/>
    <n v="8"/>
    <n v="8"/>
    <x v="0"/>
    <x v="1"/>
    <x v="1"/>
    <x v="0"/>
  </r>
  <r>
    <n v="814"/>
    <x v="36"/>
    <x v="0"/>
    <n v="0"/>
    <x v="1"/>
    <x v="8"/>
    <x v="0"/>
    <n v="0"/>
    <x v="0"/>
    <n v="1"/>
    <x v="0"/>
    <n v="0.2576"/>
    <x v="55"/>
    <x v="14"/>
    <n v="2"/>
    <n v="21"/>
    <n v="23"/>
    <x v="0"/>
    <x v="1"/>
    <x v="1"/>
    <x v="0"/>
  </r>
  <r>
    <n v="815"/>
    <x v="36"/>
    <x v="0"/>
    <n v="0"/>
    <x v="1"/>
    <x v="9"/>
    <x v="0"/>
    <n v="0"/>
    <x v="0"/>
    <n v="1"/>
    <x v="17"/>
    <n v="0.28789999999999999"/>
    <x v="34"/>
    <x v="14"/>
    <n v="7"/>
    <n v="38"/>
    <n v="45"/>
    <x v="0"/>
    <x v="1"/>
    <x v="1"/>
    <x v="0"/>
  </r>
  <r>
    <n v="816"/>
    <x v="36"/>
    <x v="0"/>
    <n v="0"/>
    <x v="1"/>
    <x v="10"/>
    <x v="0"/>
    <n v="0"/>
    <x v="0"/>
    <n v="1"/>
    <x v="11"/>
    <n v="0.28789999999999999"/>
    <x v="35"/>
    <x v="2"/>
    <n v="15"/>
    <n v="74"/>
    <n v="89"/>
    <x v="0"/>
    <x v="1"/>
    <x v="1"/>
    <x v="0"/>
  </r>
  <r>
    <n v="817"/>
    <x v="36"/>
    <x v="0"/>
    <n v="0"/>
    <x v="1"/>
    <x v="11"/>
    <x v="0"/>
    <n v="0"/>
    <x v="0"/>
    <n v="1"/>
    <x v="3"/>
    <n v="0.30299999999999999"/>
    <x v="36"/>
    <x v="2"/>
    <n v="28"/>
    <n v="89"/>
    <n v="117"/>
    <x v="0"/>
    <x v="1"/>
    <x v="1"/>
    <x v="0"/>
  </r>
  <r>
    <n v="818"/>
    <x v="36"/>
    <x v="0"/>
    <n v="0"/>
    <x v="1"/>
    <x v="12"/>
    <x v="0"/>
    <n v="0"/>
    <x v="0"/>
    <n v="1"/>
    <x v="10"/>
    <n v="0.33329999999999999"/>
    <x v="15"/>
    <x v="0"/>
    <n v="48"/>
    <n v="126"/>
    <n v="174"/>
    <x v="0"/>
    <x v="1"/>
    <x v="1"/>
    <x v="0"/>
  </r>
  <r>
    <n v="819"/>
    <x v="36"/>
    <x v="0"/>
    <n v="0"/>
    <x v="1"/>
    <x v="13"/>
    <x v="0"/>
    <n v="0"/>
    <x v="0"/>
    <n v="1"/>
    <x v="10"/>
    <n v="0.36359999999999998"/>
    <x v="15"/>
    <x v="0"/>
    <n v="47"/>
    <n v="135"/>
    <n v="182"/>
    <x v="0"/>
    <x v="1"/>
    <x v="1"/>
    <x v="0"/>
  </r>
  <r>
    <n v="820"/>
    <x v="36"/>
    <x v="0"/>
    <n v="0"/>
    <x v="1"/>
    <x v="14"/>
    <x v="0"/>
    <n v="0"/>
    <x v="0"/>
    <n v="1"/>
    <x v="10"/>
    <n v="0.34849999999999998"/>
    <x v="15"/>
    <x v="1"/>
    <n v="47"/>
    <n v="114"/>
    <n v="161"/>
    <x v="0"/>
    <x v="1"/>
    <x v="1"/>
    <x v="0"/>
  </r>
  <r>
    <n v="821"/>
    <x v="36"/>
    <x v="0"/>
    <n v="0"/>
    <x v="1"/>
    <x v="15"/>
    <x v="0"/>
    <n v="0"/>
    <x v="0"/>
    <n v="1"/>
    <x v="10"/>
    <n v="0.34849999999999998"/>
    <x v="15"/>
    <x v="1"/>
    <n v="52"/>
    <n v="130"/>
    <n v="182"/>
    <x v="0"/>
    <x v="1"/>
    <x v="1"/>
    <x v="0"/>
  </r>
  <r>
    <n v="822"/>
    <x v="36"/>
    <x v="0"/>
    <n v="0"/>
    <x v="1"/>
    <x v="16"/>
    <x v="0"/>
    <n v="0"/>
    <x v="0"/>
    <n v="1"/>
    <x v="10"/>
    <n v="0.34849999999999998"/>
    <x v="36"/>
    <x v="14"/>
    <n v="42"/>
    <n v="115"/>
    <n v="157"/>
    <x v="0"/>
    <x v="1"/>
    <x v="1"/>
    <x v="0"/>
  </r>
  <r>
    <n v="823"/>
    <x v="36"/>
    <x v="0"/>
    <n v="0"/>
    <x v="1"/>
    <x v="17"/>
    <x v="0"/>
    <n v="0"/>
    <x v="0"/>
    <n v="1"/>
    <x v="10"/>
    <n v="0.36359999999999998"/>
    <x v="15"/>
    <x v="0"/>
    <n v="24"/>
    <n v="97"/>
    <n v="121"/>
    <x v="0"/>
    <x v="1"/>
    <x v="1"/>
    <x v="0"/>
  </r>
  <r>
    <n v="824"/>
    <x v="36"/>
    <x v="0"/>
    <n v="0"/>
    <x v="1"/>
    <x v="18"/>
    <x v="0"/>
    <n v="0"/>
    <x v="0"/>
    <n v="1"/>
    <x v="11"/>
    <n v="0.30299999999999999"/>
    <x v="34"/>
    <x v="8"/>
    <n v="13"/>
    <n v="65"/>
    <n v="78"/>
    <x v="0"/>
    <x v="1"/>
    <x v="1"/>
    <x v="0"/>
  </r>
  <r>
    <n v="825"/>
    <x v="36"/>
    <x v="0"/>
    <n v="0"/>
    <x v="1"/>
    <x v="19"/>
    <x v="0"/>
    <n v="0"/>
    <x v="0"/>
    <n v="1"/>
    <x v="17"/>
    <n v="0.28789999999999999"/>
    <x v="53"/>
    <x v="7"/>
    <n v="1"/>
    <n v="20"/>
    <n v="21"/>
    <x v="0"/>
    <x v="1"/>
    <x v="1"/>
    <x v="0"/>
  </r>
  <r>
    <n v="826"/>
    <x v="36"/>
    <x v="0"/>
    <n v="0"/>
    <x v="1"/>
    <x v="20"/>
    <x v="0"/>
    <n v="0"/>
    <x v="0"/>
    <n v="1"/>
    <x v="17"/>
    <n v="0.28789999999999999"/>
    <x v="53"/>
    <x v="14"/>
    <n v="5"/>
    <n v="21"/>
    <n v="26"/>
    <x v="0"/>
    <x v="1"/>
    <x v="1"/>
    <x v="0"/>
  </r>
  <r>
    <n v="827"/>
    <x v="36"/>
    <x v="0"/>
    <n v="0"/>
    <x v="1"/>
    <x v="21"/>
    <x v="0"/>
    <n v="0"/>
    <x v="0"/>
    <n v="1"/>
    <x v="12"/>
    <n v="0.30299999999999999"/>
    <x v="54"/>
    <x v="0"/>
    <n v="5"/>
    <n v="22"/>
    <n v="27"/>
    <x v="0"/>
    <x v="1"/>
    <x v="1"/>
    <x v="0"/>
  </r>
  <r>
    <n v="828"/>
    <x v="36"/>
    <x v="0"/>
    <n v="0"/>
    <x v="1"/>
    <x v="22"/>
    <x v="0"/>
    <n v="0"/>
    <x v="0"/>
    <n v="1"/>
    <x v="12"/>
    <n v="0.30299999999999999"/>
    <x v="54"/>
    <x v="0"/>
    <n v="5"/>
    <n v="57"/>
    <n v="62"/>
    <x v="0"/>
    <x v="1"/>
    <x v="1"/>
    <x v="0"/>
  </r>
  <r>
    <n v="829"/>
    <x v="36"/>
    <x v="0"/>
    <n v="0"/>
    <x v="1"/>
    <x v="23"/>
    <x v="0"/>
    <n v="0"/>
    <x v="0"/>
    <n v="1"/>
    <x v="0"/>
    <n v="0.28789999999999999"/>
    <x v="55"/>
    <x v="0"/>
    <n v="4"/>
    <n v="26"/>
    <n v="30"/>
    <x v="0"/>
    <x v="1"/>
    <x v="1"/>
    <x v="0"/>
  </r>
  <r>
    <n v="830"/>
    <x v="37"/>
    <x v="0"/>
    <n v="0"/>
    <x v="1"/>
    <x v="0"/>
    <x v="0"/>
    <n v="1"/>
    <x v="1"/>
    <n v="1"/>
    <x v="0"/>
    <n v="0.28789999999999999"/>
    <x v="55"/>
    <x v="0"/>
    <n v="1"/>
    <n v="14"/>
    <n v="15"/>
    <x v="0"/>
    <x v="2"/>
    <x v="1"/>
    <x v="1"/>
  </r>
  <r>
    <n v="831"/>
    <x v="37"/>
    <x v="0"/>
    <n v="0"/>
    <x v="1"/>
    <x v="1"/>
    <x v="0"/>
    <n v="1"/>
    <x v="1"/>
    <n v="1"/>
    <x v="1"/>
    <n v="0.2727"/>
    <x v="2"/>
    <x v="0"/>
    <n v="1"/>
    <n v="4"/>
    <n v="5"/>
    <x v="0"/>
    <x v="2"/>
    <x v="1"/>
    <x v="1"/>
  </r>
  <r>
    <n v="832"/>
    <x v="37"/>
    <x v="0"/>
    <n v="0"/>
    <x v="1"/>
    <x v="2"/>
    <x v="0"/>
    <n v="1"/>
    <x v="1"/>
    <n v="1"/>
    <x v="2"/>
    <n v="0.2576"/>
    <x v="1"/>
    <x v="0"/>
    <n v="0"/>
    <n v="3"/>
    <n v="3"/>
    <x v="0"/>
    <x v="2"/>
    <x v="1"/>
    <x v="1"/>
  </r>
  <r>
    <n v="833"/>
    <x v="37"/>
    <x v="0"/>
    <n v="0"/>
    <x v="1"/>
    <x v="3"/>
    <x v="0"/>
    <n v="1"/>
    <x v="1"/>
    <n v="1"/>
    <x v="2"/>
    <n v="0.2576"/>
    <x v="3"/>
    <x v="0"/>
    <n v="0"/>
    <n v="1"/>
    <n v="1"/>
    <x v="0"/>
    <x v="2"/>
    <x v="1"/>
    <x v="1"/>
  </r>
  <r>
    <n v="834"/>
    <x v="37"/>
    <x v="0"/>
    <n v="0"/>
    <x v="1"/>
    <x v="4"/>
    <x v="0"/>
    <n v="1"/>
    <x v="1"/>
    <n v="1"/>
    <x v="2"/>
    <n v="0.2576"/>
    <x v="3"/>
    <x v="0"/>
    <n v="1"/>
    <n v="1"/>
    <n v="2"/>
    <x v="0"/>
    <x v="2"/>
    <x v="1"/>
    <x v="1"/>
  </r>
  <r>
    <n v="835"/>
    <x v="37"/>
    <x v="0"/>
    <n v="0"/>
    <x v="1"/>
    <x v="5"/>
    <x v="0"/>
    <n v="1"/>
    <x v="1"/>
    <n v="1"/>
    <x v="2"/>
    <n v="0.2576"/>
    <x v="3"/>
    <x v="0"/>
    <n v="1"/>
    <n v="9"/>
    <n v="10"/>
    <x v="0"/>
    <x v="2"/>
    <x v="1"/>
    <x v="1"/>
  </r>
  <r>
    <n v="836"/>
    <x v="37"/>
    <x v="0"/>
    <n v="0"/>
    <x v="1"/>
    <x v="6"/>
    <x v="0"/>
    <n v="1"/>
    <x v="1"/>
    <n v="1"/>
    <x v="15"/>
    <n v="0.2424"/>
    <x v="43"/>
    <x v="0"/>
    <n v="1"/>
    <n v="29"/>
    <n v="30"/>
    <x v="0"/>
    <x v="2"/>
    <x v="1"/>
    <x v="1"/>
  </r>
  <r>
    <n v="837"/>
    <x v="37"/>
    <x v="0"/>
    <n v="0"/>
    <x v="1"/>
    <x v="7"/>
    <x v="0"/>
    <n v="1"/>
    <x v="1"/>
    <n v="1"/>
    <x v="15"/>
    <n v="0.2424"/>
    <x v="3"/>
    <x v="0"/>
    <n v="6"/>
    <n v="89"/>
    <n v="95"/>
    <x v="0"/>
    <x v="2"/>
    <x v="1"/>
    <x v="1"/>
  </r>
  <r>
    <n v="838"/>
    <x v="37"/>
    <x v="0"/>
    <n v="0"/>
    <x v="1"/>
    <x v="8"/>
    <x v="0"/>
    <n v="1"/>
    <x v="1"/>
    <n v="2"/>
    <x v="13"/>
    <n v="0.2273"/>
    <x v="11"/>
    <x v="0"/>
    <n v="7"/>
    <n v="223"/>
    <n v="230"/>
    <x v="1"/>
    <x v="2"/>
    <x v="1"/>
    <x v="1"/>
  </r>
  <r>
    <n v="839"/>
    <x v="37"/>
    <x v="0"/>
    <n v="0"/>
    <x v="1"/>
    <x v="9"/>
    <x v="0"/>
    <n v="1"/>
    <x v="1"/>
    <n v="1"/>
    <x v="1"/>
    <n v="0.2727"/>
    <x v="1"/>
    <x v="0"/>
    <n v="3"/>
    <n v="115"/>
    <n v="118"/>
    <x v="0"/>
    <x v="2"/>
    <x v="1"/>
    <x v="1"/>
  </r>
  <r>
    <n v="840"/>
    <x v="37"/>
    <x v="0"/>
    <n v="0"/>
    <x v="1"/>
    <x v="10"/>
    <x v="0"/>
    <n v="1"/>
    <x v="1"/>
    <n v="1"/>
    <x v="0"/>
    <n v="0.2576"/>
    <x v="2"/>
    <x v="14"/>
    <n v="6"/>
    <n v="49"/>
    <n v="55"/>
    <x v="0"/>
    <x v="2"/>
    <x v="1"/>
    <x v="1"/>
  </r>
  <r>
    <n v="841"/>
    <x v="37"/>
    <x v="0"/>
    <n v="0"/>
    <x v="1"/>
    <x v="11"/>
    <x v="0"/>
    <n v="1"/>
    <x v="1"/>
    <n v="1"/>
    <x v="11"/>
    <n v="0.31819999999999998"/>
    <x v="55"/>
    <x v="1"/>
    <n v="11"/>
    <n v="36"/>
    <n v="47"/>
    <x v="0"/>
    <x v="2"/>
    <x v="1"/>
    <x v="1"/>
  </r>
  <r>
    <n v="842"/>
    <x v="37"/>
    <x v="0"/>
    <n v="0"/>
    <x v="1"/>
    <x v="12"/>
    <x v="0"/>
    <n v="1"/>
    <x v="1"/>
    <n v="2"/>
    <x v="3"/>
    <n v="0.34849999999999998"/>
    <x v="51"/>
    <x v="0"/>
    <n v="7"/>
    <n v="59"/>
    <n v="66"/>
    <x v="1"/>
    <x v="2"/>
    <x v="1"/>
    <x v="1"/>
  </r>
  <r>
    <n v="843"/>
    <x v="37"/>
    <x v="0"/>
    <n v="0"/>
    <x v="1"/>
    <x v="13"/>
    <x v="0"/>
    <n v="1"/>
    <x v="1"/>
    <n v="2"/>
    <x v="5"/>
    <n v="0.36359999999999998"/>
    <x v="14"/>
    <x v="1"/>
    <n v="10"/>
    <n v="54"/>
    <n v="64"/>
    <x v="1"/>
    <x v="2"/>
    <x v="1"/>
    <x v="1"/>
  </r>
  <r>
    <n v="844"/>
    <x v="37"/>
    <x v="0"/>
    <n v="0"/>
    <x v="1"/>
    <x v="14"/>
    <x v="0"/>
    <n v="1"/>
    <x v="1"/>
    <n v="2"/>
    <x v="5"/>
    <n v="0.36359999999999998"/>
    <x v="14"/>
    <x v="1"/>
    <n v="8"/>
    <n v="52"/>
    <n v="60"/>
    <x v="1"/>
    <x v="2"/>
    <x v="1"/>
    <x v="1"/>
  </r>
  <r>
    <n v="845"/>
    <x v="37"/>
    <x v="0"/>
    <n v="0"/>
    <x v="1"/>
    <x v="15"/>
    <x v="0"/>
    <n v="1"/>
    <x v="1"/>
    <n v="2"/>
    <x v="4"/>
    <n v="0.39389999999999997"/>
    <x v="47"/>
    <x v="1"/>
    <n v="4"/>
    <n v="46"/>
    <n v="50"/>
    <x v="1"/>
    <x v="2"/>
    <x v="1"/>
    <x v="1"/>
  </r>
  <r>
    <n v="846"/>
    <x v="37"/>
    <x v="0"/>
    <n v="0"/>
    <x v="1"/>
    <x v="16"/>
    <x v="0"/>
    <n v="1"/>
    <x v="1"/>
    <n v="2"/>
    <x v="5"/>
    <n v="0.34849999999999998"/>
    <x v="14"/>
    <x v="7"/>
    <n v="16"/>
    <n v="98"/>
    <n v="114"/>
    <x v="1"/>
    <x v="2"/>
    <x v="1"/>
    <x v="1"/>
  </r>
  <r>
    <n v="847"/>
    <x v="37"/>
    <x v="0"/>
    <n v="0"/>
    <x v="1"/>
    <x v="17"/>
    <x v="0"/>
    <n v="1"/>
    <x v="1"/>
    <n v="2"/>
    <x v="3"/>
    <n v="0.31819999999999998"/>
    <x v="56"/>
    <x v="8"/>
    <n v="9"/>
    <n v="207"/>
    <n v="216"/>
    <x v="1"/>
    <x v="2"/>
    <x v="1"/>
    <x v="1"/>
  </r>
  <r>
    <n v="848"/>
    <x v="37"/>
    <x v="0"/>
    <n v="0"/>
    <x v="1"/>
    <x v="18"/>
    <x v="0"/>
    <n v="1"/>
    <x v="1"/>
    <n v="2"/>
    <x v="10"/>
    <n v="0.33329999999999999"/>
    <x v="13"/>
    <x v="7"/>
    <n v="5"/>
    <n v="170"/>
    <n v="175"/>
    <x v="1"/>
    <x v="2"/>
    <x v="1"/>
    <x v="1"/>
  </r>
  <r>
    <n v="849"/>
    <x v="37"/>
    <x v="0"/>
    <n v="0"/>
    <x v="1"/>
    <x v="19"/>
    <x v="0"/>
    <n v="1"/>
    <x v="1"/>
    <n v="2"/>
    <x v="3"/>
    <n v="0.34849999999999998"/>
    <x v="56"/>
    <x v="0"/>
    <n v="5"/>
    <n v="123"/>
    <n v="128"/>
    <x v="1"/>
    <x v="2"/>
    <x v="1"/>
    <x v="1"/>
  </r>
  <r>
    <n v="850"/>
    <x v="37"/>
    <x v="0"/>
    <n v="0"/>
    <x v="1"/>
    <x v="20"/>
    <x v="0"/>
    <n v="1"/>
    <x v="1"/>
    <n v="2"/>
    <x v="3"/>
    <n v="0.33329999999999999"/>
    <x v="56"/>
    <x v="14"/>
    <n v="6"/>
    <n v="82"/>
    <n v="88"/>
    <x v="1"/>
    <x v="2"/>
    <x v="1"/>
    <x v="1"/>
  </r>
  <r>
    <n v="851"/>
    <x v="37"/>
    <x v="0"/>
    <n v="0"/>
    <x v="1"/>
    <x v="21"/>
    <x v="0"/>
    <n v="1"/>
    <x v="1"/>
    <n v="1"/>
    <x v="3"/>
    <n v="0.34849999999999998"/>
    <x v="56"/>
    <x v="0"/>
    <n v="3"/>
    <n v="75"/>
    <n v="78"/>
    <x v="0"/>
    <x v="2"/>
    <x v="1"/>
    <x v="1"/>
  </r>
  <r>
    <n v="852"/>
    <x v="37"/>
    <x v="0"/>
    <n v="0"/>
    <x v="1"/>
    <x v="22"/>
    <x v="0"/>
    <n v="1"/>
    <x v="1"/>
    <n v="1"/>
    <x v="17"/>
    <n v="0.30299999999999999"/>
    <x v="0"/>
    <x v="1"/>
    <n v="3"/>
    <n v="34"/>
    <n v="37"/>
    <x v="0"/>
    <x v="2"/>
    <x v="1"/>
    <x v="1"/>
  </r>
  <r>
    <n v="853"/>
    <x v="37"/>
    <x v="0"/>
    <n v="0"/>
    <x v="1"/>
    <x v="23"/>
    <x v="0"/>
    <n v="1"/>
    <x v="1"/>
    <n v="2"/>
    <x v="11"/>
    <n v="0.33329999999999999"/>
    <x v="0"/>
    <x v="0"/>
    <n v="6"/>
    <n v="19"/>
    <n v="25"/>
    <x v="1"/>
    <x v="2"/>
    <x v="1"/>
    <x v="1"/>
  </r>
  <r>
    <n v="854"/>
    <x v="38"/>
    <x v="0"/>
    <n v="0"/>
    <x v="1"/>
    <x v="0"/>
    <x v="0"/>
    <n v="2"/>
    <x v="1"/>
    <n v="2"/>
    <x v="17"/>
    <n v="0.31819999999999998"/>
    <x v="9"/>
    <x v="0"/>
    <n v="4"/>
    <n v="6"/>
    <n v="10"/>
    <x v="1"/>
    <x v="3"/>
    <x v="1"/>
    <x v="1"/>
  </r>
  <r>
    <n v="855"/>
    <x v="38"/>
    <x v="0"/>
    <n v="0"/>
    <x v="1"/>
    <x v="1"/>
    <x v="0"/>
    <n v="2"/>
    <x v="1"/>
    <n v="2"/>
    <x v="17"/>
    <n v="0.31819999999999998"/>
    <x v="9"/>
    <x v="0"/>
    <n v="0"/>
    <n v="4"/>
    <n v="4"/>
    <x v="1"/>
    <x v="3"/>
    <x v="1"/>
    <x v="1"/>
  </r>
  <r>
    <n v="856"/>
    <x v="38"/>
    <x v="0"/>
    <n v="0"/>
    <x v="1"/>
    <x v="2"/>
    <x v="0"/>
    <n v="2"/>
    <x v="1"/>
    <n v="2"/>
    <x v="12"/>
    <n v="0.2727"/>
    <x v="43"/>
    <x v="14"/>
    <n v="1"/>
    <n v="1"/>
    <n v="2"/>
    <x v="1"/>
    <x v="3"/>
    <x v="1"/>
    <x v="1"/>
  </r>
  <r>
    <n v="857"/>
    <x v="38"/>
    <x v="0"/>
    <n v="0"/>
    <x v="1"/>
    <x v="3"/>
    <x v="0"/>
    <n v="2"/>
    <x v="1"/>
    <n v="3"/>
    <x v="17"/>
    <n v="0.2727"/>
    <x v="43"/>
    <x v="8"/>
    <n v="0"/>
    <n v="1"/>
    <n v="1"/>
    <x v="2"/>
    <x v="3"/>
    <x v="1"/>
    <x v="1"/>
  </r>
  <r>
    <n v="858"/>
    <x v="38"/>
    <x v="0"/>
    <n v="0"/>
    <x v="1"/>
    <x v="4"/>
    <x v="0"/>
    <n v="2"/>
    <x v="1"/>
    <n v="1"/>
    <x v="12"/>
    <n v="0.2576"/>
    <x v="43"/>
    <x v="8"/>
    <n v="0"/>
    <n v="3"/>
    <n v="3"/>
    <x v="0"/>
    <x v="3"/>
    <x v="1"/>
    <x v="1"/>
  </r>
  <r>
    <n v="859"/>
    <x v="38"/>
    <x v="0"/>
    <n v="0"/>
    <x v="1"/>
    <x v="5"/>
    <x v="0"/>
    <n v="2"/>
    <x v="1"/>
    <n v="1"/>
    <x v="12"/>
    <n v="0.2273"/>
    <x v="0"/>
    <x v="9"/>
    <n v="0"/>
    <n v="2"/>
    <n v="2"/>
    <x v="0"/>
    <x v="3"/>
    <x v="1"/>
    <x v="1"/>
  </r>
  <r>
    <n v="860"/>
    <x v="38"/>
    <x v="0"/>
    <n v="0"/>
    <x v="1"/>
    <x v="6"/>
    <x v="0"/>
    <n v="2"/>
    <x v="1"/>
    <n v="1"/>
    <x v="12"/>
    <n v="0.2273"/>
    <x v="56"/>
    <x v="9"/>
    <n v="0"/>
    <n v="39"/>
    <n v="39"/>
    <x v="0"/>
    <x v="3"/>
    <x v="1"/>
    <x v="1"/>
  </r>
  <r>
    <n v="861"/>
    <x v="38"/>
    <x v="0"/>
    <n v="0"/>
    <x v="1"/>
    <x v="7"/>
    <x v="0"/>
    <n v="2"/>
    <x v="1"/>
    <n v="1"/>
    <x v="0"/>
    <n v="0.19700000000000001"/>
    <x v="55"/>
    <x v="12"/>
    <n v="3"/>
    <n v="97"/>
    <n v="100"/>
    <x v="0"/>
    <x v="3"/>
    <x v="1"/>
    <x v="1"/>
  </r>
  <r>
    <n v="862"/>
    <x v="38"/>
    <x v="0"/>
    <n v="0"/>
    <x v="1"/>
    <x v="8"/>
    <x v="0"/>
    <n v="2"/>
    <x v="1"/>
    <n v="1"/>
    <x v="0"/>
    <n v="0.19700000000000001"/>
    <x v="34"/>
    <x v="15"/>
    <n v="7"/>
    <n v="236"/>
    <n v="243"/>
    <x v="0"/>
    <x v="3"/>
    <x v="1"/>
    <x v="1"/>
  </r>
  <r>
    <n v="863"/>
    <x v="38"/>
    <x v="0"/>
    <n v="0"/>
    <x v="1"/>
    <x v="9"/>
    <x v="0"/>
    <n v="2"/>
    <x v="1"/>
    <n v="1"/>
    <x v="0"/>
    <n v="0.19700000000000001"/>
    <x v="35"/>
    <x v="15"/>
    <n v="7"/>
    <n v="128"/>
    <n v="135"/>
    <x v="0"/>
    <x v="3"/>
    <x v="1"/>
    <x v="1"/>
  </r>
  <r>
    <n v="864"/>
    <x v="38"/>
    <x v="0"/>
    <n v="0"/>
    <x v="1"/>
    <x v="10"/>
    <x v="0"/>
    <n v="2"/>
    <x v="1"/>
    <n v="1"/>
    <x v="1"/>
    <n v="0.18179999999999999"/>
    <x v="19"/>
    <x v="16"/>
    <n v="4"/>
    <n v="44"/>
    <n v="48"/>
    <x v="0"/>
    <x v="3"/>
    <x v="1"/>
    <x v="1"/>
  </r>
  <r>
    <n v="865"/>
    <x v="38"/>
    <x v="0"/>
    <n v="0"/>
    <x v="1"/>
    <x v="11"/>
    <x v="0"/>
    <n v="2"/>
    <x v="1"/>
    <n v="1"/>
    <x v="1"/>
    <n v="0.18179999999999999"/>
    <x v="19"/>
    <x v="17"/>
    <n v="1"/>
    <n v="49"/>
    <n v="50"/>
    <x v="0"/>
    <x v="3"/>
    <x v="1"/>
    <x v="1"/>
  </r>
  <r>
    <n v="866"/>
    <x v="38"/>
    <x v="0"/>
    <n v="0"/>
    <x v="1"/>
    <x v="12"/>
    <x v="0"/>
    <n v="2"/>
    <x v="1"/>
    <n v="1"/>
    <x v="0"/>
    <n v="0.19700000000000001"/>
    <x v="41"/>
    <x v="15"/>
    <n v="2"/>
    <n v="63"/>
    <n v="65"/>
    <x v="0"/>
    <x v="3"/>
    <x v="1"/>
    <x v="1"/>
  </r>
  <r>
    <n v="867"/>
    <x v="38"/>
    <x v="0"/>
    <n v="0"/>
    <x v="1"/>
    <x v="13"/>
    <x v="0"/>
    <n v="2"/>
    <x v="1"/>
    <n v="2"/>
    <x v="0"/>
    <n v="0.19700000000000001"/>
    <x v="25"/>
    <x v="10"/>
    <n v="2"/>
    <n v="48"/>
    <n v="50"/>
    <x v="1"/>
    <x v="3"/>
    <x v="1"/>
    <x v="1"/>
  </r>
  <r>
    <n v="868"/>
    <x v="38"/>
    <x v="0"/>
    <n v="0"/>
    <x v="1"/>
    <x v="14"/>
    <x v="0"/>
    <n v="2"/>
    <x v="1"/>
    <n v="1"/>
    <x v="1"/>
    <n v="0.19700000000000001"/>
    <x v="38"/>
    <x v="12"/>
    <n v="3"/>
    <n v="61"/>
    <n v="64"/>
    <x v="0"/>
    <x v="3"/>
    <x v="1"/>
    <x v="1"/>
  </r>
  <r>
    <n v="869"/>
    <x v="38"/>
    <x v="0"/>
    <n v="0"/>
    <x v="1"/>
    <x v="15"/>
    <x v="0"/>
    <n v="2"/>
    <x v="1"/>
    <n v="1"/>
    <x v="1"/>
    <n v="0.19700000000000001"/>
    <x v="23"/>
    <x v="13"/>
    <n v="6"/>
    <n v="45"/>
    <n v="51"/>
    <x v="0"/>
    <x v="3"/>
    <x v="1"/>
    <x v="1"/>
  </r>
  <r>
    <n v="870"/>
    <x v="38"/>
    <x v="0"/>
    <n v="0"/>
    <x v="1"/>
    <x v="16"/>
    <x v="0"/>
    <n v="2"/>
    <x v="1"/>
    <n v="1"/>
    <x v="1"/>
    <n v="0.18179999999999999"/>
    <x v="23"/>
    <x v="18"/>
    <n v="4"/>
    <n v="79"/>
    <n v="83"/>
    <x v="0"/>
    <x v="3"/>
    <x v="1"/>
    <x v="1"/>
  </r>
  <r>
    <n v="871"/>
    <x v="38"/>
    <x v="0"/>
    <n v="0"/>
    <x v="1"/>
    <x v="17"/>
    <x v="0"/>
    <n v="2"/>
    <x v="1"/>
    <n v="1"/>
    <x v="1"/>
    <n v="0.18179999999999999"/>
    <x v="25"/>
    <x v="19"/>
    <n v="4"/>
    <n v="172"/>
    <n v="176"/>
    <x v="0"/>
    <x v="3"/>
    <x v="1"/>
    <x v="1"/>
  </r>
  <r>
    <n v="872"/>
    <x v="38"/>
    <x v="0"/>
    <n v="0"/>
    <x v="1"/>
    <x v="18"/>
    <x v="0"/>
    <n v="2"/>
    <x v="1"/>
    <n v="1"/>
    <x v="2"/>
    <n v="0.18179999999999999"/>
    <x v="25"/>
    <x v="13"/>
    <n v="1"/>
    <n v="151"/>
    <n v="152"/>
    <x v="0"/>
    <x v="3"/>
    <x v="1"/>
    <x v="1"/>
  </r>
  <r>
    <n v="873"/>
    <x v="38"/>
    <x v="0"/>
    <n v="0"/>
    <x v="1"/>
    <x v="19"/>
    <x v="0"/>
    <n v="2"/>
    <x v="1"/>
    <n v="1"/>
    <x v="13"/>
    <n v="0.1212"/>
    <x v="22"/>
    <x v="17"/>
    <n v="1"/>
    <n v="100"/>
    <n v="101"/>
    <x v="0"/>
    <x v="3"/>
    <x v="1"/>
    <x v="1"/>
  </r>
  <r>
    <n v="874"/>
    <x v="38"/>
    <x v="0"/>
    <n v="0"/>
    <x v="1"/>
    <x v="20"/>
    <x v="0"/>
    <n v="2"/>
    <x v="1"/>
    <n v="1"/>
    <x v="13"/>
    <n v="0.13639999999999999"/>
    <x v="22"/>
    <x v="9"/>
    <n v="3"/>
    <n v="53"/>
    <n v="56"/>
    <x v="0"/>
    <x v="3"/>
    <x v="1"/>
    <x v="1"/>
  </r>
  <r>
    <n v="875"/>
    <x v="38"/>
    <x v="0"/>
    <n v="0"/>
    <x v="1"/>
    <x v="21"/>
    <x v="0"/>
    <n v="2"/>
    <x v="1"/>
    <n v="1"/>
    <x v="14"/>
    <n v="0.1061"/>
    <x v="39"/>
    <x v="17"/>
    <n v="8"/>
    <n v="46"/>
    <n v="54"/>
    <x v="0"/>
    <x v="3"/>
    <x v="1"/>
    <x v="1"/>
  </r>
  <r>
    <n v="876"/>
    <x v="38"/>
    <x v="0"/>
    <n v="0"/>
    <x v="1"/>
    <x v="22"/>
    <x v="0"/>
    <n v="2"/>
    <x v="1"/>
    <n v="1"/>
    <x v="16"/>
    <n v="0.1061"/>
    <x v="39"/>
    <x v="11"/>
    <n v="0"/>
    <n v="29"/>
    <n v="29"/>
    <x v="0"/>
    <x v="3"/>
    <x v="1"/>
    <x v="1"/>
  </r>
  <r>
    <n v="877"/>
    <x v="38"/>
    <x v="0"/>
    <n v="0"/>
    <x v="1"/>
    <x v="23"/>
    <x v="0"/>
    <n v="2"/>
    <x v="1"/>
    <n v="1"/>
    <x v="16"/>
    <n v="0.1061"/>
    <x v="39"/>
    <x v="9"/>
    <n v="3"/>
    <n v="9"/>
    <n v="12"/>
    <x v="0"/>
    <x v="3"/>
    <x v="1"/>
    <x v="1"/>
  </r>
  <r>
    <n v="878"/>
    <x v="39"/>
    <x v="0"/>
    <n v="0"/>
    <x v="1"/>
    <x v="0"/>
    <x v="0"/>
    <n v="3"/>
    <x v="1"/>
    <n v="1"/>
    <x v="18"/>
    <n v="7.5800000000000006E-2"/>
    <x v="42"/>
    <x v="11"/>
    <n v="0"/>
    <n v="17"/>
    <n v="17"/>
    <x v="0"/>
    <x v="4"/>
    <x v="1"/>
    <x v="1"/>
  </r>
  <r>
    <n v="879"/>
    <x v="39"/>
    <x v="0"/>
    <n v="0"/>
    <x v="1"/>
    <x v="1"/>
    <x v="0"/>
    <n v="3"/>
    <x v="1"/>
    <n v="1"/>
    <x v="18"/>
    <n v="0.1061"/>
    <x v="42"/>
    <x v="6"/>
    <n v="0"/>
    <n v="7"/>
    <n v="7"/>
    <x v="0"/>
    <x v="4"/>
    <x v="1"/>
    <x v="1"/>
  </r>
  <r>
    <n v="880"/>
    <x v="39"/>
    <x v="0"/>
    <n v="0"/>
    <x v="1"/>
    <x v="2"/>
    <x v="0"/>
    <n v="3"/>
    <x v="1"/>
    <n v="1"/>
    <x v="19"/>
    <n v="7.5800000000000006E-2"/>
    <x v="41"/>
    <x v="3"/>
    <n v="1"/>
    <n v="2"/>
    <n v="3"/>
    <x v="0"/>
    <x v="4"/>
    <x v="1"/>
    <x v="1"/>
  </r>
  <r>
    <n v="881"/>
    <x v="39"/>
    <x v="0"/>
    <n v="0"/>
    <x v="1"/>
    <x v="3"/>
    <x v="0"/>
    <n v="3"/>
    <x v="1"/>
    <n v="1"/>
    <x v="20"/>
    <n v="7.5800000000000006E-2"/>
    <x v="49"/>
    <x v="7"/>
    <n v="0"/>
    <n v="2"/>
    <n v="2"/>
    <x v="0"/>
    <x v="4"/>
    <x v="1"/>
    <x v="1"/>
  </r>
  <r>
    <n v="882"/>
    <x v="39"/>
    <x v="0"/>
    <n v="0"/>
    <x v="1"/>
    <x v="5"/>
    <x v="0"/>
    <n v="3"/>
    <x v="1"/>
    <n v="1"/>
    <x v="20"/>
    <n v="0.1061"/>
    <x v="49"/>
    <x v="14"/>
    <n v="0"/>
    <n v="7"/>
    <n v="7"/>
    <x v="0"/>
    <x v="4"/>
    <x v="1"/>
    <x v="1"/>
  </r>
  <r>
    <n v="883"/>
    <x v="39"/>
    <x v="0"/>
    <n v="0"/>
    <x v="1"/>
    <x v="6"/>
    <x v="0"/>
    <n v="3"/>
    <x v="1"/>
    <n v="1"/>
    <x v="20"/>
    <n v="0.1515"/>
    <x v="49"/>
    <x v="0"/>
    <n v="0"/>
    <n v="43"/>
    <n v="43"/>
    <x v="0"/>
    <x v="4"/>
    <x v="1"/>
    <x v="1"/>
  </r>
  <r>
    <n v="884"/>
    <x v="39"/>
    <x v="0"/>
    <n v="0"/>
    <x v="1"/>
    <x v="7"/>
    <x v="0"/>
    <n v="3"/>
    <x v="1"/>
    <n v="1"/>
    <x v="20"/>
    <n v="0.1061"/>
    <x v="36"/>
    <x v="14"/>
    <n v="4"/>
    <n v="95"/>
    <n v="99"/>
    <x v="0"/>
    <x v="4"/>
    <x v="1"/>
    <x v="1"/>
  </r>
  <r>
    <n v="885"/>
    <x v="39"/>
    <x v="0"/>
    <n v="0"/>
    <x v="1"/>
    <x v="8"/>
    <x v="0"/>
    <n v="3"/>
    <x v="1"/>
    <n v="1"/>
    <x v="18"/>
    <n v="0.13639999999999999"/>
    <x v="16"/>
    <x v="0"/>
    <n v="1"/>
    <n v="198"/>
    <n v="199"/>
    <x v="0"/>
    <x v="4"/>
    <x v="1"/>
    <x v="1"/>
  </r>
  <r>
    <n v="886"/>
    <x v="39"/>
    <x v="0"/>
    <n v="0"/>
    <x v="1"/>
    <x v="9"/>
    <x v="0"/>
    <n v="3"/>
    <x v="1"/>
    <n v="1"/>
    <x v="16"/>
    <n v="0.13639999999999999"/>
    <x v="17"/>
    <x v="8"/>
    <n v="4"/>
    <n v="119"/>
    <n v="123"/>
    <x v="0"/>
    <x v="4"/>
    <x v="1"/>
    <x v="1"/>
  </r>
  <r>
    <n v="887"/>
    <x v="39"/>
    <x v="0"/>
    <n v="0"/>
    <x v="1"/>
    <x v="10"/>
    <x v="0"/>
    <n v="3"/>
    <x v="1"/>
    <n v="1"/>
    <x v="14"/>
    <n v="0.18179999999999999"/>
    <x v="42"/>
    <x v="0"/>
    <n v="8"/>
    <n v="51"/>
    <n v="59"/>
    <x v="0"/>
    <x v="4"/>
    <x v="1"/>
    <x v="1"/>
  </r>
  <r>
    <n v="888"/>
    <x v="39"/>
    <x v="0"/>
    <n v="0"/>
    <x v="1"/>
    <x v="11"/>
    <x v="0"/>
    <n v="3"/>
    <x v="1"/>
    <n v="2"/>
    <x v="14"/>
    <n v="0.1515"/>
    <x v="21"/>
    <x v="8"/>
    <n v="1"/>
    <n v="40"/>
    <n v="41"/>
    <x v="1"/>
    <x v="4"/>
    <x v="1"/>
    <x v="1"/>
  </r>
  <r>
    <n v="889"/>
    <x v="39"/>
    <x v="0"/>
    <n v="0"/>
    <x v="1"/>
    <x v="12"/>
    <x v="0"/>
    <n v="3"/>
    <x v="1"/>
    <n v="2"/>
    <x v="15"/>
    <n v="0.18179999999999999"/>
    <x v="22"/>
    <x v="6"/>
    <n v="4"/>
    <n v="57"/>
    <n v="61"/>
    <x v="1"/>
    <x v="4"/>
    <x v="1"/>
    <x v="1"/>
  </r>
  <r>
    <n v="890"/>
    <x v="39"/>
    <x v="0"/>
    <n v="0"/>
    <x v="1"/>
    <x v="13"/>
    <x v="0"/>
    <n v="3"/>
    <x v="1"/>
    <n v="1"/>
    <x v="15"/>
    <n v="0.16669999999999999"/>
    <x v="22"/>
    <x v="2"/>
    <n v="2"/>
    <n v="67"/>
    <n v="69"/>
    <x v="0"/>
    <x v="4"/>
    <x v="1"/>
    <x v="1"/>
  </r>
  <r>
    <n v="891"/>
    <x v="39"/>
    <x v="0"/>
    <n v="0"/>
    <x v="1"/>
    <x v="14"/>
    <x v="0"/>
    <n v="3"/>
    <x v="1"/>
    <n v="1"/>
    <x v="2"/>
    <n v="0.18179999999999999"/>
    <x v="46"/>
    <x v="4"/>
    <n v="2"/>
    <n v="56"/>
    <n v="58"/>
    <x v="0"/>
    <x v="4"/>
    <x v="1"/>
    <x v="1"/>
  </r>
  <r>
    <n v="892"/>
    <x v="39"/>
    <x v="0"/>
    <n v="0"/>
    <x v="1"/>
    <x v="15"/>
    <x v="0"/>
    <n v="3"/>
    <x v="1"/>
    <n v="2"/>
    <x v="2"/>
    <n v="0.18179999999999999"/>
    <x v="46"/>
    <x v="3"/>
    <n v="3"/>
    <n v="61"/>
    <n v="64"/>
    <x v="1"/>
    <x v="4"/>
    <x v="1"/>
    <x v="1"/>
  </r>
  <r>
    <n v="893"/>
    <x v="39"/>
    <x v="0"/>
    <n v="0"/>
    <x v="1"/>
    <x v="16"/>
    <x v="0"/>
    <n v="3"/>
    <x v="1"/>
    <n v="2"/>
    <x v="2"/>
    <n v="0.19700000000000001"/>
    <x v="38"/>
    <x v="2"/>
    <n v="7"/>
    <n v="72"/>
    <n v="79"/>
    <x v="1"/>
    <x v="4"/>
    <x v="1"/>
    <x v="1"/>
  </r>
  <r>
    <n v="894"/>
    <x v="39"/>
    <x v="0"/>
    <n v="0"/>
    <x v="1"/>
    <x v="17"/>
    <x v="0"/>
    <n v="3"/>
    <x v="1"/>
    <n v="2"/>
    <x v="2"/>
    <n v="0.19700000000000001"/>
    <x v="46"/>
    <x v="2"/>
    <n v="9"/>
    <n v="157"/>
    <n v="166"/>
    <x v="1"/>
    <x v="4"/>
    <x v="1"/>
    <x v="1"/>
  </r>
  <r>
    <n v="895"/>
    <x v="39"/>
    <x v="0"/>
    <n v="0"/>
    <x v="1"/>
    <x v="18"/>
    <x v="0"/>
    <n v="3"/>
    <x v="1"/>
    <n v="2"/>
    <x v="15"/>
    <n v="0.16669999999999999"/>
    <x v="19"/>
    <x v="4"/>
    <n v="2"/>
    <n v="168"/>
    <n v="170"/>
    <x v="1"/>
    <x v="4"/>
    <x v="1"/>
    <x v="1"/>
  </r>
  <r>
    <n v="896"/>
    <x v="39"/>
    <x v="0"/>
    <n v="0"/>
    <x v="1"/>
    <x v="19"/>
    <x v="0"/>
    <n v="3"/>
    <x v="1"/>
    <n v="3"/>
    <x v="14"/>
    <n v="0.1212"/>
    <x v="3"/>
    <x v="2"/>
    <n v="1"/>
    <n v="87"/>
    <n v="88"/>
    <x v="2"/>
    <x v="4"/>
    <x v="1"/>
    <x v="1"/>
  </r>
  <r>
    <n v="897"/>
    <x v="39"/>
    <x v="0"/>
    <n v="0"/>
    <x v="1"/>
    <x v="20"/>
    <x v="0"/>
    <n v="3"/>
    <x v="1"/>
    <n v="3"/>
    <x v="14"/>
    <n v="0.1515"/>
    <x v="3"/>
    <x v="8"/>
    <n v="0"/>
    <n v="84"/>
    <n v="84"/>
    <x v="2"/>
    <x v="4"/>
    <x v="1"/>
    <x v="1"/>
  </r>
  <r>
    <n v="898"/>
    <x v="39"/>
    <x v="0"/>
    <n v="0"/>
    <x v="1"/>
    <x v="21"/>
    <x v="0"/>
    <n v="3"/>
    <x v="1"/>
    <n v="2"/>
    <x v="14"/>
    <n v="0.1515"/>
    <x v="3"/>
    <x v="8"/>
    <n v="0"/>
    <n v="83"/>
    <n v="83"/>
    <x v="1"/>
    <x v="4"/>
    <x v="1"/>
    <x v="1"/>
  </r>
  <r>
    <n v="899"/>
    <x v="39"/>
    <x v="0"/>
    <n v="0"/>
    <x v="1"/>
    <x v="22"/>
    <x v="0"/>
    <n v="3"/>
    <x v="1"/>
    <n v="3"/>
    <x v="13"/>
    <n v="0.16669999999999999"/>
    <x v="1"/>
    <x v="8"/>
    <n v="4"/>
    <n v="42"/>
    <n v="46"/>
    <x v="2"/>
    <x v="4"/>
    <x v="1"/>
    <x v="1"/>
  </r>
  <r>
    <n v="900"/>
    <x v="39"/>
    <x v="0"/>
    <n v="0"/>
    <x v="1"/>
    <x v="23"/>
    <x v="0"/>
    <n v="3"/>
    <x v="1"/>
    <n v="3"/>
    <x v="13"/>
    <n v="0.1515"/>
    <x v="1"/>
    <x v="5"/>
    <n v="0"/>
    <n v="37"/>
    <n v="37"/>
    <x v="2"/>
    <x v="4"/>
    <x v="1"/>
    <x v="1"/>
  </r>
  <r>
    <n v="901"/>
    <x v="40"/>
    <x v="0"/>
    <n v="0"/>
    <x v="1"/>
    <x v="0"/>
    <x v="0"/>
    <n v="4"/>
    <x v="1"/>
    <n v="3"/>
    <x v="14"/>
    <n v="0.13639999999999999"/>
    <x v="3"/>
    <x v="5"/>
    <n v="0"/>
    <n v="16"/>
    <n v="16"/>
    <x v="2"/>
    <x v="5"/>
    <x v="1"/>
    <x v="1"/>
  </r>
  <r>
    <n v="902"/>
    <x v="40"/>
    <x v="0"/>
    <n v="0"/>
    <x v="1"/>
    <x v="1"/>
    <x v="0"/>
    <n v="4"/>
    <x v="1"/>
    <n v="3"/>
    <x v="14"/>
    <n v="0.1515"/>
    <x v="1"/>
    <x v="7"/>
    <n v="0"/>
    <n v="7"/>
    <n v="7"/>
    <x v="2"/>
    <x v="5"/>
    <x v="1"/>
    <x v="1"/>
  </r>
  <r>
    <n v="903"/>
    <x v="40"/>
    <x v="0"/>
    <n v="0"/>
    <x v="1"/>
    <x v="2"/>
    <x v="0"/>
    <n v="4"/>
    <x v="1"/>
    <n v="3"/>
    <x v="14"/>
    <n v="0.1515"/>
    <x v="1"/>
    <x v="7"/>
    <n v="0"/>
    <n v="3"/>
    <n v="3"/>
    <x v="2"/>
    <x v="5"/>
    <x v="1"/>
    <x v="1"/>
  </r>
  <r>
    <n v="904"/>
    <x v="40"/>
    <x v="0"/>
    <n v="0"/>
    <x v="1"/>
    <x v="4"/>
    <x v="0"/>
    <n v="4"/>
    <x v="1"/>
    <n v="2"/>
    <x v="14"/>
    <n v="0.13639999999999999"/>
    <x v="29"/>
    <x v="6"/>
    <n v="0"/>
    <n v="1"/>
    <n v="1"/>
    <x v="1"/>
    <x v="5"/>
    <x v="1"/>
    <x v="1"/>
  </r>
  <r>
    <n v="905"/>
    <x v="40"/>
    <x v="0"/>
    <n v="0"/>
    <x v="1"/>
    <x v="5"/>
    <x v="0"/>
    <n v="4"/>
    <x v="1"/>
    <n v="2"/>
    <x v="16"/>
    <n v="0.1212"/>
    <x v="20"/>
    <x v="6"/>
    <n v="0"/>
    <n v="6"/>
    <n v="6"/>
    <x v="1"/>
    <x v="5"/>
    <x v="1"/>
    <x v="1"/>
  </r>
  <r>
    <n v="906"/>
    <x v="40"/>
    <x v="0"/>
    <n v="0"/>
    <x v="1"/>
    <x v="6"/>
    <x v="0"/>
    <n v="4"/>
    <x v="1"/>
    <n v="2"/>
    <x v="16"/>
    <n v="0.1212"/>
    <x v="47"/>
    <x v="3"/>
    <n v="0"/>
    <n v="26"/>
    <n v="26"/>
    <x v="1"/>
    <x v="5"/>
    <x v="1"/>
    <x v="1"/>
  </r>
  <r>
    <n v="907"/>
    <x v="40"/>
    <x v="0"/>
    <n v="0"/>
    <x v="1"/>
    <x v="7"/>
    <x v="0"/>
    <n v="4"/>
    <x v="1"/>
    <n v="1"/>
    <x v="18"/>
    <n v="7.5800000000000006E-2"/>
    <x v="20"/>
    <x v="12"/>
    <n v="0"/>
    <n v="99"/>
    <n v="99"/>
    <x v="0"/>
    <x v="5"/>
    <x v="1"/>
    <x v="1"/>
  </r>
  <r>
    <n v="908"/>
    <x v="40"/>
    <x v="0"/>
    <n v="0"/>
    <x v="1"/>
    <x v="8"/>
    <x v="0"/>
    <n v="4"/>
    <x v="1"/>
    <n v="1"/>
    <x v="18"/>
    <n v="7.5800000000000006E-2"/>
    <x v="36"/>
    <x v="9"/>
    <n v="5"/>
    <n v="173"/>
    <n v="178"/>
    <x v="0"/>
    <x v="5"/>
    <x v="1"/>
    <x v="1"/>
  </r>
  <r>
    <n v="909"/>
    <x v="40"/>
    <x v="0"/>
    <n v="0"/>
    <x v="1"/>
    <x v="9"/>
    <x v="0"/>
    <n v="4"/>
    <x v="1"/>
    <n v="1"/>
    <x v="16"/>
    <n v="0.1061"/>
    <x v="16"/>
    <x v="11"/>
    <n v="1"/>
    <n v="121"/>
    <n v="122"/>
    <x v="0"/>
    <x v="5"/>
    <x v="1"/>
    <x v="1"/>
  </r>
  <r>
    <n v="910"/>
    <x v="40"/>
    <x v="0"/>
    <n v="0"/>
    <x v="1"/>
    <x v="10"/>
    <x v="0"/>
    <n v="4"/>
    <x v="1"/>
    <n v="1"/>
    <x v="16"/>
    <n v="0.1061"/>
    <x v="16"/>
    <x v="4"/>
    <n v="1"/>
    <n v="34"/>
    <n v="35"/>
    <x v="0"/>
    <x v="5"/>
    <x v="1"/>
    <x v="1"/>
  </r>
  <r>
    <n v="911"/>
    <x v="40"/>
    <x v="0"/>
    <n v="0"/>
    <x v="1"/>
    <x v="11"/>
    <x v="0"/>
    <n v="4"/>
    <x v="1"/>
    <n v="1"/>
    <x v="14"/>
    <n v="0.1212"/>
    <x v="17"/>
    <x v="11"/>
    <n v="1"/>
    <n v="44"/>
    <n v="45"/>
    <x v="0"/>
    <x v="5"/>
    <x v="1"/>
    <x v="1"/>
  </r>
  <r>
    <n v="912"/>
    <x v="40"/>
    <x v="0"/>
    <n v="0"/>
    <x v="1"/>
    <x v="12"/>
    <x v="0"/>
    <n v="4"/>
    <x v="1"/>
    <n v="1"/>
    <x v="13"/>
    <n v="0.13639999999999999"/>
    <x v="46"/>
    <x v="13"/>
    <n v="4"/>
    <n v="65"/>
    <n v="69"/>
    <x v="0"/>
    <x v="5"/>
    <x v="1"/>
    <x v="1"/>
  </r>
  <r>
    <n v="913"/>
    <x v="40"/>
    <x v="0"/>
    <n v="0"/>
    <x v="1"/>
    <x v="13"/>
    <x v="0"/>
    <n v="4"/>
    <x v="1"/>
    <n v="1"/>
    <x v="15"/>
    <n v="0.16669999999999999"/>
    <x v="44"/>
    <x v="4"/>
    <n v="3"/>
    <n v="59"/>
    <n v="62"/>
    <x v="0"/>
    <x v="5"/>
    <x v="1"/>
    <x v="1"/>
  </r>
  <r>
    <n v="914"/>
    <x v="40"/>
    <x v="0"/>
    <n v="0"/>
    <x v="1"/>
    <x v="14"/>
    <x v="0"/>
    <n v="4"/>
    <x v="1"/>
    <n v="1"/>
    <x v="2"/>
    <n v="0.18179999999999999"/>
    <x v="57"/>
    <x v="3"/>
    <n v="6"/>
    <n v="42"/>
    <n v="48"/>
    <x v="0"/>
    <x v="5"/>
    <x v="1"/>
    <x v="1"/>
  </r>
  <r>
    <n v="915"/>
    <x v="40"/>
    <x v="0"/>
    <n v="0"/>
    <x v="1"/>
    <x v="15"/>
    <x v="0"/>
    <n v="4"/>
    <x v="1"/>
    <n v="1"/>
    <x v="2"/>
    <n v="0.19700000000000001"/>
    <x v="59"/>
    <x v="2"/>
    <n v="0"/>
    <n v="50"/>
    <n v="50"/>
    <x v="0"/>
    <x v="5"/>
    <x v="1"/>
    <x v="1"/>
  </r>
  <r>
    <n v="916"/>
    <x v="40"/>
    <x v="0"/>
    <n v="0"/>
    <x v="1"/>
    <x v="16"/>
    <x v="0"/>
    <n v="4"/>
    <x v="1"/>
    <n v="1"/>
    <x v="2"/>
    <n v="0.18179999999999999"/>
    <x v="57"/>
    <x v="4"/>
    <n v="4"/>
    <n v="76"/>
    <n v="80"/>
    <x v="0"/>
    <x v="5"/>
    <x v="1"/>
    <x v="1"/>
  </r>
  <r>
    <n v="917"/>
    <x v="40"/>
    <x v="0"/>
    <n v="0"/>
    <x v="1"/>
    <x v="17"/>
    <x v="0"/>
    <n v="4"/>
    <x v="1"/>
    <n v="1"/>
    <x v="15"/>
    <n v="0.18179999999999999"/>
    <x v="60"/>
    <x v="5"/>
    <n v="6"/>
    <n v="159"/>
    <n v="165"/>
    <x v="0"/>
    <x v="5"/>
    <x v="1"/>
    <x v="1"/>
  </r>
  <r>
    <n v="918"/>
    <x v="40"/>
    <x v="0"/>
    <n v="0"/>
    <x v="1"/>
    <x v="18"/>
    <x v="0"/>
    <n v="4"/>
    <x v="1"/>
    <n v="1"/>
    <x v="13"/>
    <n v="0.18179999999999999"/>
    <x v="40"/>
    <x v="7"/>
    <n v="3"/>
    <n v="157"/>
    <n v="160"/>
    <x v="0"/>
    <x v="5"/>
    <x v="1"/>
    <x v="1"/>
  </r>
  <r>
    <n v="919"/>
    <x v="40"/>
    <x v="0"/>
    <n v="0"/>
    <x v="1"/>
    <x v="19"/>
    <x v="0"/>
    <n v="4"/>
    <x v="1"/>
    <n v="1"/>
    <x v="14"/>
    <n v="0.16669999999999999"/>
    <x v="40"/>
    <x v="14"/>
    <n v="2"/>
    <n v="110"/>
    <n v="112"/>
    <x v="0"/>
    <x v="5"/>
    <x v="1"/>
    <x v="1"/>
  </r>
  <r>
    <n v="920"/>
    <x v="40"/>
    <x v="0"/>
    <n v="0"/>
    <x v="1"/>
    <x v="20"/>
    <x v="0"/>
    <n v="4"/>
    <x v="1"/>
    <n v="1"/>
    <x v="14"/>
    <n v="0.18179999999999999"/>
    <x v="61"/>
    <x v="1"/>
    <n v="4"/>
    <n v="93"/>
    <n v="97"/>
    <x v="0"/>
    <x v="5"/>
    <x v="1"/>
    <x v="1"/>
  </r>
  <r>
    <n v="921"/>
    <x v="40"/>
    <x v="0"/>
    <n v="0"/>
    <x v="1"/>
    <x v="21"/>
    <x v="0"/>
    <n v="4"/>
    <x v="1"/>
    <n v="1"/>
    <x v="14"/>
    <n v="0.21210000000000001"/>
    <x v="17"/>
    <x v="0"/>
    <n v="2"/>
    <n v="70"/>
    <n v="72"/>
    <x v="0"/>
    <x v="5"/>
    <x v="1"/>
    <x v="1"/>
  </r>
  <r>
    <n v="922"/>
    <x v="40"/>
    <x v="0"/>
    <n v="0"/>
    <x v="1"/>
    <x v="22"/>
    <x v="0"/>
    <n v="4"/>
    <x v="1"/>
    <n v="1"/>
    <x v="16"/>
    <n v="0.19700000000000001"/>
    <x v="17"/>
    <x v="0"/>
    <n v="4"/>
    <n v="47"/>
    <n v="51"/>
    <x v="0"/>
    <x v="5"/>
    <x v="1"/>
    <x v="1"/>
  </r>
  <r>
    <n v="923"/>
    <x v="40"/>
    <x v="0"/>
    <n v="0"/>
    <x v="1"/>
    <x v="23"/>
    <x v="0"/>
    <n v="4"/>
    <x v="1"/>
    <n v="1"/>
    <x v="16"/>
    <n v="0.1515"/>
    <x v="16"/>
    <x v="14"/>
    <n v="1"/>
    <n v="33"/>
    <n v="34"/>
    <x v="0"/>
    <x v="5"/>
    <x v="1"/>
    <x v="1"/>
  </r>
  <r>
    <n v="924"/>
    <x v="41"/>
    <x v="0"/>
    <n v="0"/>
    <x v="1"/>
    <x v="0"/>
    <x v="0"/>
    <n v="5"/>
    <x v="1"/>
    <n v="1"/>
    <x v="18"/>
    <n v="0.13639999999999999"/>
    <x v="36"/>
    <x v="14"/>
    <n v="2"/>
    <n v="12"/>
    <n v="14"/>
    <x v="0"/>
    <x v="6"/>
    <x v="1"/>
    <x v="1"/>
  </r>
  <r>
    <n v="925"/>
    <x v="41"/>
    <x v="0"/>
    <n v="0"/>
    <x v="1"/>
    <x v="1"/>
    <x v="0"/>
    <n v="5"/>
    <x v="1"/>
    <n v="1"/>
    <x v="18"/>
    <n v="0.13639999999999999"/>
    <x v="47"/>
    <x v="1"/>
    <n v="1"/>
    <n v="6"/>
    <n v="7"/>
    <x v="0"/>
    <x v="6"/>
    <x v="1"/>
    <x v="1"/>
  </r>
  <r>
    <n v="926"/>
    <x v="41"/>
    <x v="0"/>
    <n v="0"/>
    <x v="1"/>
    <x v="2"/>
    <x v="0"/>
    <n v="5"/>
    <x v="1"/>
    <n v="1"/>
    <x v="18"/>
    <n v="0.13639999999999999"/>
    <x v="47"/>
    <x v="1"/>
    <n v="0"/>
    <n v="3"/>
    <n v="3"/>
    <x v="0"/>
    <x v="6"/>
    <x v="1"/>
    <x v="1"/>
  </r>
  <r>
    <n v="927"/>
    <x v="41"/>
    <x v="0"/>
    <n v="0"/>
    <x v="1"/>
    <x v="5"/>
    <x v="0"/>
    <n v="5"/>
    <x v="1"/>
    <n v="1"/>
    <x v="19"/>
    <n v="0.1212"/>
    <x v="30"/>
    <x v="1"/>
    <n v="0"/>
    <n v="4"/>
    <n v="4"/>
    <x v="0"/>
    <x v="6"/>
    <x v="1"/>
    <x v="1"/>
  </r>
  <r>
    <n v="928"/>
    <x v="41"/>
    <x v="0"/>
    <n v="0"/>
    <x v="1"/>
    <x v="6"/>
    <x v="0"/>
    <n v="5"/>
    <x v="1"/>
    <n v="1"/>
    <x v="18"/>
    <n v="0.18179999999999999"/>
    <x v="31"/>
    <x v="0"/>
    <n v="1"/>
    <n v="23"/>
    <n v="24"/>
    <x v="0"/>
    <x v="6"/>
    <x v="1"/>
    <x v="1"/>
  </r>
  <r>
    <n v="929"/>
    <x v="41"/>
    <x v="0"/>
    <n v="0"/>
    <x v="1"/>
    <x v="7"/>
    <x v="0"/>
    <n v="5"/>
    <x v="1"/>
    <n v="1"/>
    <x v="19"/>
    <n v="0.16669999999999999"/>
    <x v="62"/>
    <x v="0"/>
    <n v="1"/>
    <n v="73"/>
    <n v="74"/>
    <x v="0"/>
    <x v="6"/>
    <x v="1"/>
    <x v="1"/>
  </r>
  <r>
    <n v="930"/>
    <x v="41"/>
    <x v="0"/>
    <n v="0"/>
    <x v="1"/>
    <x v="8"/>
    <x v="0"/>
    <n v="5"/>
    <x v="1"/>
    <n v="1"/>
    <x v="18"/>
    <n v="0.1212"/>
    <x v="32"/>
    <x v="8"/>
    <n v="4"/>
    <n v="212"/>
    <n v="216"/>
    <x v="0"/>
    <x v="6"/>
    <x v="1"/>
    <x v="1"/>
  </r>
  <r>
    <n v="931"/>
    <x v="41"/>
    <x v="0"/>
    <n v="0"/>
    <x v="1"/>
    <x v="9"/>
    <x v="0"/>
    <n v="5"/>
    <x v="1"/>
    <n v="1"/>
    <x v="16"/>
    <n v="0.1212"/>
    <x v="32"/>
    <x v="6"/>
    <n v="8"/>
    <n v="132"/>
    <n v="140"/>
    <x v="0"/>
    <x v="6"/>
    <x v="1"/>
    <x v="1"/>
  </r>
  <r>
    <n v="932"/>
    <x v="41"/>
    <x v="0"/>
    <n v="0"/>
    <x v="1"/>
    <x v="10"/>
    <x v="0"/>
    <n v="5"/>
    <x v="1"/>
    <n v="1"/>
    <x v="14"/>
    <n v="0.13639999999999999"/>
    <x v="27"/>
    <x v="5"/>
    <n v="5"/>
    <n v="39"/>
    <n v="44"/>
    <x v="0"/>
    <x v="6"/>
    <x v="1"/>
    <x v="1"/>
  </r>
  <r>
    <n v="933"/>
    <x v="41"/>
    <x v="0"/>
    <n v="0"/>
    <x v="1"/>
    <x v="11"/>
    <x v="0"/>
    <n v="5"/>
    <x v="1"/>
    <n v="1"/>
    <x v="1"/>
    <n v="0.2273"/>
    <x v="19"/>
    <x v="7"/>
    <n v="12"/>
    <n v="52"/>
    <n v="64"/>
    <x v="0"/>
    <x v="6"/>
    <x v="1"/>
    <x v="1"/>
  </r>
  <r>
    <n v="934"/>
    <x v="41"/>
    <x v="0"/>
    <n v="0"/>
    <x v="1"/>
    <x v="12"/>
    <x v="0"/>
    <n v="5"/>
    <x v="1"/>
    <n v="1"/>
    <x v="1"/>
    <n v="0.2273"/>
    <x v="19"/>
    <x v="7"/>
    <n v="7"/>
    <n v="64"/>
    <n v="71"/>
    <x v="0"/>
    <x v="6"/>
    <x v="1"/>
    <x v="1"/>
  </r>
  <r>
    <n v="935"/>
    <x v="41"/>
    <x v="0"/>
    <n v="0"/>
    <x v="1"/>
    <x v="13"/>
    <x v="0"/>
    <n v="5"/>
    <x v="1"/>
    <n v="1"/>
    <x v="0"/>
    <n v="0.2273"/>
    <x v="23"/>
    <x v="5"/>
    <n v="21"/>
    <n v="89"/>
    <n v="110"/>
    <x v="0"/>
    <x v="6"/>
    <x v="1"/>
    <x v="1"/>
  </r>
  <r>
    <n v="936"/>
    <x v="41"/>
    <x v="0"/>
    <n v="0"/>
    <x v="1"/>
    <x v="14"/>
    <x v="0"/>
    <n v="5"/>
    <x v="1"/>
    <n v="1"/>
    <x v="11"/>
    <n v="0.28789999999999999"/>
    <x v="60"/>
    <x v="2"/>
    <n v="17"/>
    <n v="67"/>
    <n v="84"/>
    <x v="0"/>
    <x v="6"/>
    <x v="1"/>
    <x v="1"/>
  </r>
  <r>
    <n v="937"/>
    <x v="41"/>
    <x v="0"/>
    <n v="0"/>
    <x v="1"/>
    <x v="15"/>
    <x v="0"/>
    <n v="5"/>
    <x v="1"/>
    <n v="1"/>
    <x v="3"/>
    <n v="0.31819999999999998"/>
    <x v="58"/>
    <x v="8"/>
    <n v="12"/>
    <n v="62"/>
    <n v="74"/>
    <x v="0"/>
    <x v="6"/>
    <x v="1"/>
    <x v="1"/>
  </r>
  <r>
    <n v="938"/>
    <x v="41"/>
    <x v="0"/>
    <n v="0"/>
    <x v="1"/>
    <x v="16"/>
    <x v="0"/>
    <n v="5"/>
    <x v="1"/>
    <n v="1"/>
    <x v="11"/>
    <n v="0.28789999999999999"/>
    <x v="40"/>
    <x v="5"/>
    <n v="14"/>
    <n v="111"/>
    <n v="125"/>
    <x v="0"/>
    <x v="6"/>
    <x v="1"/>
    <x v="1"/>
  </r>
  <r>
    <n v="939"/>
    <x v="41"/>
    <x v="0"/>
    <n v="0"/>
    <x v="1"/>
    <x v="17"/>
    <x v="0"/>
    <n v="5"/>
    <x v="1"/>
    <n v="1"/>
    <x v="11"/>
    <n v="0.33329999999999999"/>
    <x v="63"/>
    <x v="0"/>
    <n v="18"/>
    <n v="193"/>
    <n v="211"/>
    <x v="0"/>
    <x v="6"/>
    <x v="1"/>
    <x v="1"/>
  </r>
  <r>
    <n v="940"/>
    <x v="41"/>
    <x v="0"/>
    <n v="0"/>
    <x v="1"/>
    <x v="18"/>
    <x v="0"/>
    <n v="5"/>
    <x v="1"/>
    <n v="1"/>
    <x v="17"/>
    <n v="0.31819999999999998"/>
    <x v="40"/>
    <x v="0"/>
    <n v="9"/>
    <n v="165"/>
    <n v="174"/>
    <x v="0"/>
    <x v="6"/>
    <x v="1"/>
    <x v="1"/>
  </r>
  <r>
    <n v="941"/>
    <x v="41"/>
    <x v="0"/>
    <n v="0"/>
    <x v="1"/>
    <x v="19"/>
    <x v="0"/>
    <n v="5"/>
    <x v="1"/>
    <n v="1"/>
    <x v="12"/>
    <n v="0.30299999999999999"/>
    <x v="39"/>
    <x v="0"/>
    <n v="7"/>
    <n v="94"/>
    <n v="101"/>
    <x v="0"/>
    <x v="6"/>
    <x v="1"/>
    <x v="1"/>
  </r>
  <r>
    <n v="942"/>
    <x v="41"/>
    <x v="0"/>
    <n v="0"/>
    <x v="1"/>
    <x v="20"/>
    <x v="0"/>
    <n v="5"/>
    <x v="1"/>
    <n v="1"/>
    <x v="1"/>
    <n v="0.2273"/>
    <x v="28"/>
    <x v="7"/>
    <n v="2"/>
    <n v="61"/>
    <n v="63"/>
    <x v="0"/>
    <x v="6"/>
    <x v="1"/>
    <x v="1"/>
  </r>
  <r>
    <n v="943"/>
    <x v="41"/>
    <x v="0"/>
    <n v="0"/>
    <x v="1"/>
    <x v="21"/>
    <x v="0"/>
    <n v="5"/>
    <x v="1"/>
    <n v="1"/>
    <x v="2"/>
    <n v="0.21210000000000001"/>
    <x v="29"/>
    <x v="7"/>
    <n v="1"/>
    <n v="46"/>
    <n v="47"/>
    <x v="0"/>
    <x v="6"/>
    <x v="1"/>
    <x v="1"/>
  </r>
  <r>
    <n v="944"/>
    <x v="41"/>
    <x v="0"/>
    <n v="0"/>
    <x v="1"/>
    <x v="22"/>
    <x v="0"/>
    <n v="5"/>
    <x v="1"/>
    <n v="1"/>
    <x v="2"/>
    <n v="0.2273"/>
    <x v="26"/>
    <x v="1"/>
    <n v="2"/>
    <n v="41"/>
    <n v="43"/>
    <x v="0"/>
    <x v="6"/>
    <x v="1"/>
    <x v="1"/>
  </r>
  <r>
    <n v="945"/>
    <x v="41"/>
    <x v="0"/>
    <n v="0"/>
    <x v="1"/>
    <x v="23"/>
    <x v="0"/>
    <n v="5"/>
    <x v="1"/>
    <n v="1"/>
    <x v="15"/>
    <n v="0.2424"/>
    <x v="27"/>
    <x v="0"/>
    <n v="5"/>
    <n v="48"/>
    <n v="53"/>
    <x v="0"/>
    <x v="6"/>
    <x v="1"/>
    <x v="1"/>
  </r>
  <r>
    <n v="946"/>
    <x v="42"/>
    <x v="0"/>
    <n v="0"/>
    <x v="1"/>
    <x v="0"/>
    <x v="0"/>
    <n v="6"/>
    <x v="0"/>
    <n v="1"/>
    <x v="13"/>
    <n v="0.19700000000000001"/>
    <x v="27"/>
    <x v="1"/>
    <n v="3"/>
    <n v="27"/>
    <n v="30"/>
    <x v="0"/>
    <x v="0"/>
    <x v="1"/>
    <x v="0"/>
  </r>
  <r>
    <n v="947"/>
    <x v="42"/>
    <x v="0"/>
    <n v="0"/>
    <x v="1"/>
    <x v="1"/>
    <x v="0"/>
    <n v="6"/>
    <x v="0"/>
    <n v="1"/>
    <x v="14"/>
    <n v="0.21210000000000001"/>
    <x v="3"/>
    <x v="0"/>
    <n v="2"/>
    <n v="22"/>
    <n v="24"/>
    <x v="0"/>
    <x v="0"/>
    <x v="1"/>
    <x v="0"/>
  </r>
  <r>
    <n v="948"/>
    <x v="42"/>
    <x v="0"/>
    <n v="0"/>
    <x v="1"/>
    <x v="2"/>
    <x v="0"/>
    <n v="6"/>
    <x v="0"/>
    <n v="1"/>
    <x v="14"/>
    <n v="0.21210000000000001"/>
    <x v="1"/>
    <x v="0"/>
    <n v="2"/>
    <n v="13"/>
    <n v="15"/>
    <x v="0"/>
    <x v="0"/>
    <x v="1"/>
    <x v="0"/>
  </r>
  <r>
    <n v="949"/>
    <x v="42"/>
    <x v="0"/>
    <n v="0"/>
    <x v="1"/>
    <x v="3"/>
    <x v="0"/>
    <n v="6"/>
    <x v="0"/>
    <n v="1"/>
    <x v="16"/>
    <n v="0.19700000000000001"/>
    <x v="1"/>
    <x v="0"/>
    <n v="3"/>
    <n v="7"/>
    <n v="10"/>
    <x v="0"/>
    <x v="0"/>
    <x v="1"/>
    <x v="0"/>
  </r>
  <r>
    <n v="950"/>
    <x v="42"/>
    <x v="0"/>
    <n v="0"/>
    <x v="1"/>
    <x v="4"/>
    <x v="0"/>
    <n v="6"/>
    <x v="0"/>
    <n v="1"/>
    <x v="16"/>
    <n v="0.16669999999999999"/>
    <x v="32"/>
    <x v="1"/>
    <n v="0"/>
    <n v="4"/>
    <n v="4"/>
    <x v="0"/>
    <x v="0"/>
    <x v="1"/>
    <x v="0"/>
  </r>
  <r>
    <n v="951"/>
    <x v="42"/>
    <x v="0"/>
    <n v="0"/>
    <x v="1"/>
    <x v="5"/>
    <x v="0"/>
    <n v="6"/>
    <x v="0"/>
    <n v="1"/>
    <x v="16"/>
    <n v="0.16669999999999999"/>
    <x v="32"/>
    <x v="1"/>
    <n v="0"/>
    <n v="1"/>
    <n v="1"/>
    <x v="0"/>
    <x v="0"/>
    <x v="1"/>
    <x v="0"/>
  </r>
  <r>
    <n v="952"/>
    <x v="42"/>
    <x v="0"/>
    <n v="0"/>
    <x v="1"/>
    <x v="6"/>
    <x v="0"/>
    <n v="6"/>
    <x v="0"/>
    <n v="1"/>
    <x v="16"/>
    <n v="0.13639999999999999"/>
    <x v="43"/>
    <x v="5"/>
    <n v="1"/>
    <n v="1"/>
    <n v="2"/>
    <x v="0"/>
    <x v="0"/>
    <x v="1"/>
    <x v="0"/>
  </r>
  <r>
    <n v="953"/>
    <x v="42"/>
    <x v="0"/>
    <n v="0"/>
    <x v="1"/>
    <x v="7"/>
    <x v="0"/>
    <n v="6"/>
    <x v="0"/>
    <n v="1"/>
    <x v="16"/>
    <n v="0.1515"/>
    <x v="1"/>
    <x v="14"/>
    <n v="2"/>
    <n v="9"/>
    <n v="11"/>
    <x v="0"/>
    <x v="0"/>
    <x v="1"/>
    <x v="0"/>
  </r>
  <r>
    <n v="954"/>
    <x v="42"/>
    <x v="0"/>
    <n v="0"/>
    <x v="1"/>
    <x v="8"/>
    <x v="0"/>
    <n v="6"/>
    <x v="0"/>
    <n v="1"/>
    <x v="14"/>
    <n v="0.1515"/>
    <x v="3"/>
    <x v="7"/>
    <n v="2"/>
    <n v="28"/>
    <n v="30"/>
    <x v="0"/>
    <x v="0"/>
    <x v="1"/>
    <x v="0"/>
  </r>
  <r>
    <n v="955"/>
    <x v="42"/>
    <x v="0"/>
    <n v="0"/>
    <x v="1"/>
    <x v="9"/>
    <x v="0"/>
    <n v="6"/>
    <x v="0"/>
    <n v="1"/>
    <x v="13"/>
    <n v="0.18179999999999999"/>
    <x v="26"/>
    <x v="7"/>
    <n v="5"/>
    <n v="38"/>
    <n v="43"/>
    <x v="0"/>
    <x v="0"/>
    <x v="1"/>
    <x v="0"/>
  </r>
  <r>
    <n v="956"/>
    <x v="42"/>
    <x v="0"/>
    <n v="0"/>
    <x v="1"/>
    <x v="10"/>
    <x v="0"/>
    <n v="6"/>
    <x v="0"/>
    <n v="1"/>
    <x v="1"/>
    <n v="0.21210000000000001"/>
    <x v="48"/>
    <x v="2"/>
    <n v="13"/>
    <n v="71"/>
    <n v="84"/>
    <x v="0"/>
    <x v="0"/>
    <x v="1"/>
    <x v="0"/>
  </r>
  <r>
    <n v="957"/>
    <x v="42"/>
    <x v="0"/>
    <n v="0"/>
    <x v="1"/>
    <x v="11"/>
    <x v="0"/>
    <n v="6"/>
    <x v="0"/>
    <n v="1"/>
    <x v="11"/>
    <n v="0.2727"/>
    <x v="40"/>
    <x v="9"/>
    <n v="30"/>
    <n v="84"/>
    <n v="114"/>
    <x v="0"/>
    <x v="0"/>
    <x v="1"/>
    <x v="0"/>
  </r>
  <r>
    <n v="958"/>
    <x v="42"/>
    <x v="0"/>
    <n v="0"/>
    <x v="1"/>
    <x v="12"/>
    <x v="0"/>
    <n v="6"/>
    <x v="0"/>
    <n v="1"/>
    <x v="11"/>
    <n v="0.2727"/>
    <x v="17"/>
    <x v="17"/>
    <n v="27"/>
    <n v="93"/>
    <n v="120"/>
    <x v="0"/>
    <x v="0"/>
    <x v="1"/>
    <x v="0"/>
  </r>
  <r>
    <n v="959"/>
    <x v="42"/>
    <x v="0"/>
    <n v="0"/>
    <x v="1"/>
    <x v="13"/>
    <x v="0"/>
    <n v="6"/>
    <x v="0"/>
    <n v="1"/>
    <x v="11"/>
    <n v="0.2727"/>
    <x v="17"/>
    <x v="12"/>
    <n v="32"/>
    <n v="103"/>
    <n v="135"/>
    <x v="0"/>
    <x v="0"/>
    <x v="1"/>
    <x v="0"/>
  </r>
  <r>
    <n v="960"/>
    <x v="42"/>
    <x v="0"/>
    <n v="0"/>
    <x v="1"/>
    <x v="14"/>
    <x v="0"/>
    <n v="6"/>
    <x v="0"/>
    <n v="1"/>
    <x v="10"/>
    <n v="0.31819999999999998"/>
    <x v="61"/>
    <x v="3"/>
    <n v="30"/>
    <n v="90"/>
    <n v="120"/>
    <x v="0"/>
    <x v="0"/>
    <x v="1"/>
    <x v="0"/>
  </r>
  <r>
    <n v="961"/>
    <x v="42"/>
    <x v="0"/>
    <n v="0"/>
    <x v="1"/>
    <x v="15"/>
    <x v="0"/>
    <n v="6"/>
    <x v="0"/>
    <n v="1"/>
    <x v="10"/>
    <n v="0.30299999999999999"/>
    <x v="44"/>
    <x v="12"/>
    <n v="47"/>
    <n v="127"/>
    <n v="174"/>
    <x v="0"/>
    <x v="0"/>
    <x v="1"/>
    <x v="0"/>
  </r>
  <r>
    <n v="962"/>
    <x v="42"/>
    <x v="0"/>
    <n v="0"/>
    <x v="1"/>
    <x v="16"/>
    <x v="0"/>
    <n v="6"/>
    <x v="0"/>
    <n v="1"/>
    <x v="10"/>
    <n v="0.30299999999999999"/>
    <x v="44"/>
    <x v="12"/>
    <n v="42"/>
    <n v="103"/>
    <n v="145"/>
    <x v="0"/>
    <x v="0"/>
    <x v="1"/>
    <x v="0"/>
  </r>
  <r>
    <n v="963"/>
    <x v="42"/>
    <x v="0"/>
    <n v="0"/>
    <x v="1"/>
    <x v="17"/>
    <x v="0"/>
    <n v="6"/>
    <x v="0"/>
    <n v="1"/>
    <x v="3"/>
    <n v="0.28789999999999999"/>
    <x v="61"/>
    <x v="18"/>
    <n v="24"/>
    <n v="113"/>
    <n v="137"/>
    <x v="0"/>
    <x v="0"/>
    <x v="1"/>
    <x v="0"/>
  </r>
  <r>
    <n v="964"/>
    <x v="42"/>
    <x v="0"/>
    <n v="0"/>
    <x v="1"/>
    <x v="18"/>
    <x v="0"/>
    <n v="6"/>
    <x v="0"/>
    <n v="1"/>
    <x v="17"/>
    <n v="0.2576"/>
    <x v="41"/>
    <x v="9"/>
    <n v="4"/>
    <n v="60"/>
    <n v="64"/>
    <x v="0"/>
    <x v="0"/>
    <x v="1"/>
    <x v="0"/>
  </r>
  <r>
    <n v="965"/>
    <x v="42"/>
    <x v="0"/>
    <n v="0"/>
    <x v="1"/>
    <x v="19"/>
    <x v="0"/>
    <n v="6"/>
    <x v="0"/>
    <n v="1"/>
    <x v="17"/>
    <n v="0.2727"/>
    <x v="41"/>
    <x v="8"/>
    <n v="2"/>
    <n v="39"/>
    <n v="41"/>
    <x v="0"/>
    <x v="0"/>
    <x v="1"/>
    <x v="0"/>
  </r>
  <r>
    <n v="966"/>
    <x v="42"/>
    <x v="0"/>
    <n v="0"/>
    <x v="1"/>
    <x v="20"/>
    <x v="0"/>
    <n v="6"/>
    <x v="0"/>
    <n v="1"/>
    <x v="12"/>
    <n v="0.2576"/>
    <x v="48"/>
    <x v="6"/>
    <n v="1"/>
    <n v="39"/>
    <n v="40"/>
    <x v="0"/>
    <x v="0"/>
    <x v="1"/>
    <x v="0"/>
  </r>
  <r>
    <n v="967"/>
    <x v="42"/>
    <x v="0"/>
    <n v="0"/>
    <x v="1"/>
    <x v="21"/>
    <x v="0"/>
    <n v="6"/>
    <x v="0"/>
    <n v="1"/>
    <x v="12"/>
    <n v="0.30299999999999999"/>
    <x v="48"/>
    <x v="0"/>
    <n v="9"/>
    <n v="42"/>
    <n v="51"/>
    <x v="0"/>
    <x v="0"/>
    <x v="1"/>
    <x v="0"/>
  </r>
  <r>
    <n v="968"/>
    <x v="42"/>
    <x v="0"/>
    <n v="0"/>
    <x v="1"/>
    <x v="22"/>
    <x v="0"/>
    <n v="6"/>
    <x v="0"/>
    <n v="1"/>
    <x v="0"/>
    <n v="0.2576"/>
    <x v="18"/>
    <x v="1"/>
    <n v="6"/>
    <n v="39"/>
    <n v="45"/>
    <x v="0"/>
    <x v="0"/>
    <x v="1"/>
    <x v="0"/>
  </r>
  <r>
    <n v="969"/>
    <x v="42"/>
    <x v="0"/>
    <n v="0"/>
    <x v="1"/>
    <x v="23"/>
    <x v="0"/>
    <n v="6"/>
    <x v="0"/>
    <n v="1"/>
    <x v="1"/>
    <n v="0.2273"/>
    <x v="33"/>
    <x v="7"/>
    <n v="1"/>
    <n v="31"/>
    <n v="32"/>
    <x v="0"/>
    <x v="0"/>
    <x v="1"/>
    <x v="0"/>
  </r>
  <r>
    <n v="970"/>
    <x v="43"/>
    <x v="0"/>
    <n v="0"/>
    <x v="1"/>
    <x v="0"/>
    <x v="0"/>
    <n v="0"/>
    <x v="0"/>
    <n v="1"/>
    <x v="2"/>
    <n v="0.2273"/>
    <x v="26"/>
    <x v="14"/>
    <n v="5"/>
    <n v="34"/>
    <n v="39"/>
    <x v="0"/>
    <x v="1"/>
    <x v="1"/>
    <x v="0"/>
  </r>
  <r>
    <n v="971"/>
    <x v="43"/>
    <x v="0"/>
    <n v="0"/>
    <x v="1"/>
    <x v="1"/>
    <x v="0"/>
    <n v="0"/>
    <x v="0"/>
    <n v="1"/>
    <x v="2"/>
    <n v="0.2273"/>
    <x v="29"/>
    <x v="1"/>
    <n v="1"/>
    <n v="23"/>
    <n v="24"/>
    <x v="0"/>
    <x v="1"/>
    <x v="1"/>
    <x v="0"/>
  </r>
  <r>
    <n v="972"/>
    <x v="43"/>
    <x v="0"/>
    <n v="0"/>
    <x v="1"/>
    <x v="2"/>
    <x v="0"/>
    <n v="0"/>
    <x v="0"/>
    <n v="2"/>
    <x v="2"/>
    <n v="0.2273"/>
    <x v="2"/>
    <x v="1"/>
    <n v="1"/>
    <n v="19"/>
    <n v="20"/>
    <x v="1"/>
    <x v="1"/>
    <x v="1"/>
    <x v="0"/>
  </r>
  <r>
    <n v="973"/>
    <x v="43"/>
    <x v="0"/>
    <n v="0"/>
    <x v="1"/>
    <x v="3"/>
    <x v="0"/>
    <n v="0"/>
    <x v="0"/>
    <n v="2"/>
    <x v="2"/>
    <n v="0.2273"/>
    <x v="27"/>
    <x v="14"/>
    <n v="4"/>
    <n v="8"/>
    <n v="12"/>
    <x v="1"/>
    <x v="1"/>
    <x v="1"/>
    <x v="0"/>
  </r>
  <r>
    <n v="974"/>
    <x v="43"/>
    <x v="0"/>
    <n v="0"/>
    <x v="1"/>
    <x v="4"/>
    <x v="0"/>
    <n v="0"/>
    <x v="0"/>
    <n v="2"/>
    <x v="2"/>
    <n v="0.21210000000000001"/>
    <x v="27"/>
    <x v="8"/>
    <n v="0"/>
    <n v="2"/>
    <n v="2"/>
    <x v="1"/>
    <x v="1"/>
    <x v="1"/>
    <x v="0"/>
  </r>
  <r>
    <n v="975"/>
    <x v="43"/>
    <x v="0"/>
    <n v="0"/>
    <x v="1"/>
    <x v="6"/>
    <x v="0"/>
    <n v="0"/>
    <x v="0"/>
    <n v="2"/>
    <x v="2"/>
    <n v="0.21210000000000001"/>
    <x v="27"/>
    <x v="7"/>
    <n v="2"/>
    <n v="3"/>
    <n v="5"/>
    <x v="1"/>
    <x v="1"/>
    <x v="1"/>
    <x v="0"/>
  </r>
  <r>
    <n v="976"/>
    <x v="43"/>
    <x v="0"/>
    <n v="0"/>
    <x v="1"/>
    <x v="7"/>
    <x v="0"/>
    <n v="0"/>
    <x v="0"/>
    <n v="2"/>
    <x v="1"/>
    <n v="0.2727"/>
    <x v="28"/>
    <x v="0"/>
    <n v="0"/>
    <n v="3"/>
    <n v="3"/>
    <x v="1"/>
    <x v="1"/>
    <x v="1"/>
    <x v="0"/>
  </r>
  <r>
    <n v="977"/>
    <x v="43"/>
    <x v="0"/>
    <n v="0"/>
    <x v="1"/>
    <x v="8"/>
    <x v="0"/>
    <n v="0"/>
    <x v="0"/>
    <n v="2"/>
    <x v="1"/>
    <n v="0.2273"/>
    <x v="26"/>
    <x v="5"/>
    <n v="1"/>
    <n v="11"/>
    <n v="12"/>
    <x v="1"/>
    <x v="1"/>
    <x v="1"/>
    <x v="0"/>
  </r>
  <r>
    <n v="978"/>
    <x v="43"/>
    <x v="0"/>
    <n v="0"/>
    <x v="1"/>
    <x v="9"/>
    <x v="0"/>
    <n v="0"/>
    <x v="0"/>
    <n v="2"/>
    <x v="0"/>
    <n v="0.2273"/>
    <x v="54"/>
    <x v="6"/>
    <n v="12"/>
    <n v="35"/>
    <n v="47"/>
    <x v="1"/>
    <x v="1"/>
    <x v="1"/>
    <x v="0"/>
  </r>
  <r>
    <n v="979"/>
    <x v="43"/>
    <x v="0"/>
    <n v="0"/>
    <x v="1"/>
    <x v="10"/>
    <x v="0"/>
    <n v="0"/>
    <x v="0"/>
    <n v="1"/>
    <x v="11"/>
    <n v="0.2727"/>
    <x v="49"/>
    <x v="9"/>
    <n v="19"/>
    <n v="86"/>
    <n v="105"/>
    <x v="0"/>
    <x v="1"/>
    <x v="1"/>
    <x v="0"/>
  </r>
  <r>
    <n v="980"/>
    <x v="43"/>
    <x v="0"/>
    <n v="0"/>
    <x v="1"/>
    <x v="11"/>
    <x v="0"/>
    <n v="0"/>
    <x v="0"/>
    <n v="1"/>
    <x v="3"/>
    <n v="0.28789999999999999"/>
    <x v="17"/>
    <x v="10"/>
    <n v="26"/>
    <n v="86"/>
    <n v="112"/>
    <x v="0"/>
    <x v="1"/>
    <x v="1"/>
    <x v="0"/>
  </r>
  <r>
    <n v="981"/>
    <x v="43"/>
    <x v="0"/>
    <n v="0"/>
    <x v="1"/>
    <x v="12"/>
    <x v="0"/>
    <n v="0"/>
    <x v="0"/>
    <n v="1"/>
    <x v="5"/>
    <n v="0.31819999999999998"/>
    <x v="25"/>
    <x v="17"/>
    <n v="58"/>
    <n v="94"/>
    <n v="152"/>
    <x v="0"/>
    <x v="1"/>
    <x v="1"/>
    <x v="0"/>
  </r>
  <r>
    <n v="982"/>
    <x v="43"/>
    <x v="0"/>
    <n v="0"/>
    <x v="1"/>
    <x v="13"/>
    <x v="0"/>
    <n v="0"/>
    <x v="0"/>
    <n v="1"/>
    <x v="4"/>
    <n v="0.39389999999999997"/>
    <x v="44"/>
    <x v="11"/>
    <n v="62"/>
    <n v="92"/>
    <n v="154"/>
    <x v="0"/>
    <x v="1"/>
    <x v="1"/>
    <x v="0"/>
  </r>
  <r>
    <n v="983"/>
    <x v="43"/>
    <x v="0"/>
    <n v="0"/>
    <x v="1"/>
    <x v="14"/>
    <x v="0"/>
    <n v="0"/>
    <x v="0"/>
    <n v="2"/>
    <x v="9"/>
    <n v="0.40910000000000002"/>
    <x v="24"/>
    <x v="12"/>
    <n v="51"/>
    <n v="110"/>
    <n v="161"/>
    <x v="1"/>
    <x v="1"/>
    <x v="1"/>
    <x v="0"/>
  </r>
  <r>
    <n v="984"/>
    <x v="43"/>
    <x v="0"/>
    <n v="0"/>
    <x v="1"/>
    <x v="15"/>
    <x v="0"/>
    <n v="0"/>
    <x v="0"/>
    <n v="2"/>
    <x v="9"/>
    <n v="0.40910000000000002"/>
    <x v="24"/>
    <x v="4"/>
    <n v="40"/>
    <n v="122"/>
    <n v="162"/>
    <x v="1"/>
    <x v="1"/>
    <x v="1"/>
    <x v="0"/>
  </r>
  <r>
    <n v="985"/>
    <x v="43"/>
    <x v="0"/>
    <n v="0"/>
    <x v="1"/>
    <x v="16"/>
    <x v="0"/>
    <n v="0"/>
    <x v="0"/>
    <n v="2"/>
    <x v="6"/>
    <n v="0.42420000000000002"/>
    <x v="40"/>
    <x v="9"/>
    <n v="28"/>
    <n v="106"/>
    <n v="134"/>
    <x v="1"/>
    <x v="1"/>
    <x v="1"/>
    <x v="0"/>
  </r>
  <r>
    <n v="986"/>
    <x v="43"/>
    <x v="0"/>
    <n v="0"/>
    <x v="1"/>
    <x v="17"/>
    <x v="0"/>
    <n v="0"/>
    <x v="0"/>
    <n v="1"/>
    <x v="6"/>
    <n v="0.42420000000000002"/>
    <x v="40"/>
    <x v="9"/>
    <n v="30"/>
    <n v="95"/>
    <n v="125"/>
    <x v="0"/>
    <x v="1"/>
    <x v="1"/>
    <x v="0"/>
  </r>
  <r>
    <n v="987"/>
    <x v="43"/>
    <x v="0"/>
    <n v="0"/>
    <x v="1"/>
    <x v="18"/>
    <x v="0"/>
    <n v="0"/>
    <x v="0"/>
    <n v="1"/>
    <x v="9"/>
    <n v="0.40910000000000002"/>
    <x v="25"/>
    <x v="4"/>
    <n v="17"/>
    <n v="78"/>
    <n v="95"/>
    <x v="0"/>
    <x v="1"/>
    <x v="1"/>
    <x v="0"/>
  </r>
  <r>
    <n v="988"/>
    <x v="43"/>
    <x v="0"/>
    <n v="0"/>
    <x v="1"/>
    <x v="19"/>
    <x v="0"/>
    <n v="0"/>
    <x v="0"/>
    <n v="1"/>
    <x v="9"/>
    <n v="0.40910000000000002"/>
    <x v="23"/>
    <x v="3"/>
    <n v="11"/>
    <n v="50"/>
    <n v="61"/>
    <x v="0"/>
    <x v="1"/>
    <x v="1"/>
    <x v="0"/>
  </r>
  <r>
    <n v="989"/>
    <x v="43"/>
    <x v="0"/>
    <n v="0"/>
    <x v="1"/>
    <x v="20"/>
    <x v="0"/>
    <n v="0"/>
    <x v="0"/>
    <n v="1"/>
    <x v="9"/>
    <n v="0.40910000000000002"/>
    <x v="23"/>
    <x v="9"/>
    <n v="15"/>
    <n v="32"/>
    <n v="47"/>
    <x v="0"/>
    <x v="1"/>
    <x v="1"/>
    <x v="0"/>
  </r>
  <r>
    <n v="990"/>
    <x v="43"/>
    <x v="0"/>
    <n v="0"/>
    <x v="1"/>
    <x v="21"/>
    <x v="0"/>
    <n v="0"/>
    <x v="0"/>
    <n v="1"/>
    <x v="9"/>
    <n v="0.40910000000000002"/>
    <x v="23"/>
    <x v="11"/>
    <n v="6"/>
    <n v="45"/>
    <n v="51"/>
    <x v="0"/>
    <x v="1"/>
    <x v="1"/>
    <x v="0"/>
  </r>
  <r>
    <n v="991"/>
    <x v="43"/>
    <x v="0"/>
    <n v="0"/>
    <x v="1"/>
    <x v="22"/>
    <x v="0"/>
    <n v="0"/>
    <x v="0"/>
    <n v="1"/>
    <x v="9"/>
    <n v="0.40910000000000002"/>
    <x v="23"/>
    <x v="4"/>
    <n v="5"/>
    <n v="31"/>
    <n v="36"/>
    <x v="0"/>
    <x v="1"/>
    <x v="1"/>
    <x v="0"/>
  </r>
  <r>
    <n v="992"/>
    <x v="43"/>
    <x v="0"/>
    <n v="0"/>
    <x v="1"/>
    <x v="23"/>
    <x v="0"/>
    <n v="0"/>
    <x v="0"/>
    <n v="1"/>
    <x v="9"/>
    <n v="0.40910000000000002"/>
    <x v="23"/>
    <x v="11"/>
    <n v="3"/>
    <n v="27"/>
    <n v="30"/>
    <x v="0"/>
    <x v="1"/>
    <x v="1"/>
    <x v="0"/>
  </r>
  <r>
    <n v="993"/>
    <x v="44"/>
    <x v="0"/>
    <n v="0"/>
    <x v="1"/>
    <x v="0"/>
    <x v="0"/>
    <n v="1"/>
    <x v="1"/>
    <n v="1"/>
    <x v="4"/>
    <n v="0.39389999999999997"/>
    <x v="38"/>
    <x v="11"/>
    <n v="3"/>
    <n v="8"/>
    <n v="11"/>
    <x v="0"/>
    <x v="2"/>
    <x v="1"/>
    <x v="1"/>
  </r>
  <r>
    <n v="994"/>
    <x v="44"/>
    <x v="0"/>
    <n v="0"/>
    <x v="1"/>
    <x v="1"/>
    <x v="0"/>
    <n v="1"/>
    <x v="1"/>
    <n v="1"/>
    <x v="4"/>
    <n v="0.39389999999999997"/>
    <x v="38"/>
    <x v="11"/>
    <n v="1"/>
    <n v="6"/>
    <n v="7"/>
    <x v="0"/>
    <x v="2"/>
    <x v="1"/>
    <x v="1"/>
  </r>
  <r>
    <n v="995"/>
    <x v="44"/>
    <x v="0"/>
    <n v="0"/>
    <x v="1"/>
    <x v="2"/>
    <x v="0"/>
    <n v="1"/>
    <x v="1"/>
    <n v="1"/>
    <x v="5"/>
    <n v="0.33329999999999999"/>
    <x v="22"/>
    <x v="4"/>
    <n v="0"/>
    <n v="2"/>
    <n v="2"/>
    <x v="0"/>
    <x v="2"/>
    <x v="1"/>
    <x v="1"/>
  </r>
  <r>
    <n v="996"/>
    <x v="44"/>
    <x v="0"/>
    <n v="0"/>
    <x v="1"/>
    <x v="3"/>
    <x v="0"/>
    <n v="1"/>
    <x v="1"/>
    <n v="1"/>
    <x v="10"/>
    <n v="0.31819999999999998"/>
    <x v="15"/>
    <x v="6"/>
    <n v="1"/>
    <n v="1"/>
    <n v="2"/>
    <x v="0"/>
    <x v="2"/>
    <x v="1"/>
    <x v="1"/>
  </r>
  <r>
    <n v="997"/>
    <x v="44"/>
    <x v="0"/>
    <n v="0"/>
    <x v="1"/>
    <x v="4"/>
    <x v="0"/>
    <n v="1"/>
    <x v="1"/>
    <n v="1"/>
    <x v="3"/>
    <n v="0.30299999999999999"/>
    <x v="45"/>
    <x v="3"/>
    <n v="0"/>
    <n v="2"/>
    <n v="2"/>
    <x v="0"/>
    <x v="2"/>
    <x v="1"/>
    <x v="1"/>
  </r>
  <r>
    <n v="998"/>
    <x v="44"/>
    <x v="0"/>
    <n v="0"/>
    <x v="1"/>
    <x v="5"/>
    <x v="0"/>
    <n v="1"/>
    <x v="1"/>
    <n v="1"/>
    <x v="3"/>
    <n v="0.30299999999999999"/>
    <x v="45"/>
    <x v="3"/>
    <n v="0"/>
    <n v="3"/>
    <n v="3"/>
    <x v="0"/>
    <x v="2"/>
    <x v="1"/>
    <x v="1"/>
  </r>
  <r>
    <n v="999"/>
    <x v="44"/>
    <x v="0"/>
    <n v="0"/>
    <x v="1"/>
    <x v="6"/>
    <x v="0"/>
    <n v="1"/>
    <x v="1"/>
    <n v="1"/>
    <x v="10"/>
    <n v="0.30299999999999999"/>
    <x v="15"/>
    <x v="4"/>
    <n v="1"/>
    <n v="25"/>
    <n v="26"/>
    <x v="0"/>
    <x v="2"/>
    <x v="1"/>
    <x v="1"/>
  </r>
  <r>
    <n v="1000"/>
    <x v="44"/>
    <x v="0"/>
    <n v="0"/>
    <x v="1"/>
    <x v="7"/>
    <x v="0"/>
    <n v="1"/>
    <x v="1"/>
    <n v="1"/>
    <x v="10"/>
    <n v="0.30299999999999999"/>
    <x v="15"/>
    <x v="4"/>
    <n v="2"/>
    <n v="96"/>
    <n v="98"/>
    <x v="0"/>
    <x v="2"/>
    <x v="1"/>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6D1C8EA-DB47-40D7-BFED-AA95443AC58F}"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Months">
  <location ref="C9:F12" firstHeaderRow="0" firstDataRow="1" firstDataCol="1"/>
  <pivotFields count="23">
    <pivotField showAll="0"/>
    <pivotField numFmtId="14"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showAll="0"/>
    <pivotField showAll="0"/>
    <pivotField showAll="0">
      <items count="3">
        <item x="0"/>
        <item x="1"/>
        <item t="default"/>
      </items>
    </pivotField>
    <pivotField showAll="0"/>
    <pivotField showAll="0"/>
    <pivotField showAll="0"/>
    <pivotField showAll="0"/>
    <pivotField showAll="0"/>
    <pivotField showAll="0">
      <items count="8">
        <item x="0"/>
        <item x="1"/>
        <item x="2"/>
        <item x="3"/>
        <item x="4"/>
        <item x="5"/>
        <item x="6"/>
        <item t="default"/>
      </items>
    </pivotField>
    <pivotField showAll="0"/>
    <pivotField showAll="0"/>
    <pivotField showAll="0"/>
    <pivotField dataField="1" showAll="0"/>
    <pivotField dataField="1" showAll="0"/>
    <pivotField dataField="1" showAll="0"/>
    <pivotField showAll="0"/>
    <pivotField showAll="0"/>
    <pivotField axis="axisRow" showAll="0">
      <items count="3">
        <item x="0"/>
        <item x="1"/>
        <item t="default"/>
      </items>
    </pivotField>
    <pivotField showAll="0"/>
    <pivotField showAll="0" defaultSubtotal="0"/>
    <pivotField showAll="0" defaultSubtotal="0">
      <items count="14">
        <item x="0"/>
        <item x="1"/>
        <item x="2"/>
        <item x="3"/>
        <item x="4"/>
        <item x="5"/>
        <item x="6"/>
        <item x="7"/>
        <item x="8"/>
        <item x="9"/>
        <item x="10"/>
        <item x="11"/>
        <item x="12"/>
        <item x="13"/>
      </items>
    </pivotField>
  </pivotFields>
  <rowFields count="1">
    <field x="19"/>
  </rowFields>
  <rowItems count="3">
    <i>
      <x/>
    </i>
    <i>
      <x v="1"/>
    </i>
    <i t="grand">
      <x/>
    </i>
  </rowItems>
  <colFields count="1">
    <field x="-2"/>
  </colFields>
  <colItems count="3">
    <i>
      <x/>
    </i>
    <i i="1">
      <x v="1"/>
    </i>
    <i i="2">
      <x v="2"/>
    </i>
  </colItems>
  <dataFields count="3">
    <dataField name="Average of Casual_Rentals" fld="14" subtotal="average" baseField="19" baseItem="0"/>
    <dataField name="Average of Registered_Rentals" fld="15" subtotal="average" baseField="19" baseItem="0"/>
    <dataField name="Average of Total_Rentals" fld="16" subtotal="average" baseField="19"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92A9428-7D85-4798-AB47-09B0D86DE0A5}" name="PivotTable7"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 rowHeaderCaption="Days">
  <location ref="C16:F24" firstHeaderRow="0" firstDataRow="1" firstDataCol="1"/>
  <pivotFields count="23">
    <pivotField showAll="0"/>
    <pivotField numFmtId="14"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showAll="0"/>
    <pivotField showAll="0"/>
    <pivotField showAll="0"/>
    <pivotField showAll="0"/>
    <pivotField showAll="0">
      <items count="3">
        <item x="0"/>
        <item x="1"/>
        <item t="default"/>
      </items>
    </pivotField>
    <pivotField showAll="0"/>
    <pivotField showAll="0">
      <items count="3">
        <item x="1"/>
        <item x="0"/>
        <item t="default"/>
      </items>
    </pivotField>
    <pivotField showAll="0"/>
    <pivotField showAll="0">
      <items count="8">
        <item x="0"/>
        <item x="1"/>
        <item x="2"/>
        <item x="3"/>
        <item x="4"/>
        <item x="5"/>
        <item x="6"/>
        <item t="default"/>
      </items>
    </pivotField>
    <pivotField showAll="0"/>
    <pivotField showAll="0"/>
    <pivotField showAll="0"/>
    <pivotField dataField="1" showAll="0"/>
    <pivotField dataField="1" showAll="0"/>
    <pivotField dataField="1" showAll="0"/>
    <pivotField showAll="0">
      <items count="5">
        <item x="0"/>
        <item x="1"/>
        <item x="3"/>
        <item x="2"/>
        <item t="default"/>
      </items>
    </pivotField>
    <pivotField axis="axisRow" showAll="0">
      <items count="8">
        <item x="1"/>
        <item x="2"/>
        <item x="3"/>
        <item x="4"/>
        <item x="5"/>
        <item x="6"/>
        <item x="0"/>
        <item t="default"/>
      </items>
    </pivotField>
    <pivotField showAll="0"/>
    <pivotField showAll="0"/>
    <pivotField showAll="0" defaultSubtotal="0">
      <items count="36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s>
    </pivotField>
    <pivotField showAll="0" defaultSubtotal="0">
      <items count="14">
        <item x="0"/>
        <item x="1"/>
        <item x="2"/>
        <item x="3"/>
        <item x="4"/>
        <item x="5"/>
        <item x="6"/>
        <item x="7"/>
        <item x="8"/>
        <item x="9"/>
        <item x="10"/>
        <item x="11"/>
        <item x="12"/>
        <item x="13"/>
      </items>
    </pivotField>
  </pivotFields>
  <rowFields count="1">
    <field x="18"/>
  </rowFields>
  <rowItems count="8">
    <i>
      <x/>
    </i>
    <i>
      <x v="1"/>
    </i>
    <i>
      <x v="2"/>
    </i>
    <i>
      <x v="3"/>
    </i>
    <i>
      <x v="4"/>
    </i>
    <i>
      <x v="5"/>
    </i>
    <i>
      <x v="6"/>
    </i>
    <i t="grand">
      <x/>
    </i>
  </rowItems>
  <colFields count="1">
    <field x="-2"/>
  </colFields>
  <colItems count="3">
    <i>
      <x/>
    </i>
    <i i="1">
      <x v="1"/>
    </i>
    <i i="2">
      <x v="2"/>
    </i>
  </colItems>
  <dataFields count="3">
    <dataField name="Average of Casual_Rentals" fld="14" subtotal="average" baseField="18" baseItem="0"/>
    <dataField name="Average of Registered_Rentals" fld="15" subtotal="average" baseField="18" baseItem="0"/>
    <dataField name="Average of Total_Rentals" fld="16" subtotal="average" baseField="18" baseItem="0"/>
  </dataFields>
  <chartFormats count="3">
    <chartFormat chart="3" format="6" series="1">
      <pivotArea type="data" outline="0" fieldPosition="0">
        <references count="1">
          <reference field="4294967294" count="1" selected="0">
            <x v="0"/>
          </reference>
        </references>
      </pivotArea>
    </chartFormat>
    <chartFormat chart="3" format="7" series="1">
      <pivotArea type="data" outline="0" fieldPosition="0">
        <references count="1">
          <reference field="4294967294" count="1" selected="0">
            <x v="1"/>
          </reference>
        </references>
      </pivotArea>
    </chartFormat>
    <chartFormat chart="3"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filters count="1">
    <filter fld="1" type="dateBetween" evalOrder="-1" id="239" name="Date">
      <autoFilter ref="A1">
        <filterColumn colId="0">
          <customFilters and="1">
            <customFilter operator="greaterThanOrEqual" val="40544"/>
            <customFilter operator="lessThanOrEqual" val="40755"/>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FFCD444-81FB-4C3F-AE66-6581B8E1D17E}" name="PivotTable8"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36" rowHeaderCaption="Weather">
  <location ref="C39:F44" firstHeaderRow="0" firstDataRow="1" firstDataCol="1"/>
  <pivotFields count="23">
    <pivotField showAll="0"/>
    <pivotField numFmtId="14"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showAll="0"/>
    <pivotField showAll="0"/>
    <pivotField showAll="0"/>
    <pivotField showAll="0"/>
    <pivotField showAll="0">
      <items count="3">
        <item x="0"/>
        <item x="1"/>
        <item t="default"/>
      </items>
    </pivotField>
    <pivotField showAll="0"/>
    <pivotField showAll="0">
      <items count="3">
        <item x="1"/>
        <item x="0"/>
        <item t="default"/>
      </items>
    </pivotField>
    <pivotField showAll="0"/>
    <pivotField showAll="0">
      <items count="8">
        <item x="0"/>
        <item x="1"/>
        <item x="2"/>
        <item x="3"/>
        <item x="4"/>
        <item x="5"/>
        <item x="6"/>
        <item t="default"/>
      </items>
    </pivotField>
    <pivotField showAll="0"/>
    <pivotField showAll="0"/>
    <pivotField showAll="0"/>
    <pivotField dataField="1" showAll="0"/>
    <pivotField dataField="1" showAll="0"/>
    <pivotField dataField="1" showAll="0"/>
    <pivotField axis="axisRow" showAll="0">
      <items count="5">
        <item x="0"/>
        <item x="1"/>
        <item x="2"/>
        <item x="3"/>
        <item t="default"/>
      </items>
    </pivotField>
    <pivotField showAll="0">
      <items count="8">
        <item x="1"/>
        <item x="2"/>
        <item x="3"/>
        <item x="4"/>
        <item x="5"/>
        <item x="6"/>
        <item x="0"/>
        <item t="default"/>
      </items>
    </pivotField>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7"/>
  </rowFields>
  <rowItems count="5">
    <i>
      <x/>
    </i>
    <i>
      <x v="1"/>
    </i>
    <i>
      <x v="2"/>
    </i>
    <i>
      <x v="3"/>
    </i>
    <i t="grand">
      <x/>
    </i>
  </rowItems>
  <colFields count="1">
    <field x="-2"/>
  </colFields>
  <colItems count="3">
    <i>
      <x/>
    </i>
    <i i="1">
      <x v="1"/>
    </i>
    <i i="2">
      <x v="2"/>
    </i>
  </colItems>
  <dataFields count="3">
    <dataField name="Average of Casual_Rentals" fld="14" subtotal="average" baseField="17" baseItem="0"/>
    <dataField name="Average of Registered_Rentals" fld="15" subtotal="average" baseField="17" baseItem="0"/>
    <dataField name="Average of Total_Rentals" fld="16" subtotal="average" baseField="17" baseItem="0"/>
  </dataFields>
  <chartFormats count="6">
    <chartFormat chart="10" format="15" series="1">
      <pivotArea type="data" outline="0" fieldPosition="0">
        <references count="1">
          <reference field="4294967294" count="1" selected="0">
            <x v="0"/>
          </reference>
        </references>
      </pivotArea>
    </chartFormat>
    <chartFormat chart="10" format="16" series="1">
      <pivotArea type="data" outline="0" fieldPosition="0">
        <references count="1">
          <reference field="4294967294" count="1" selected="0">
            <x v="1"/>
          </reference>
        </references>
      </pivotArea>
    </chartFormat>
    <chartFormat chart="10" format="17" series="1">
      <pivotArea type="data" outline="0" fieldPosition="0">
        <references count="1">
          <reference field="4294967294" count="1" selected="0">
            <x v="2"/>
          </reference>
        </references>
      </pivotArea>
    </chartFormat>
    <chartFormat chart="26" format="21" series="1">
      <pivotArea type="data" outline="0" fieldPosition="0">
        <references count="1">
          <reference field="4294967294" count="1" selected="0">
            <x v="0"/>
          </reference>
        </references>
      </pivotArea>
    </chartFormat>
    <chartFormat chart="26" format="22" series="1">
      <pivotArea type="data" outline="0" fieldPosition="0">
        <references count="1">
          <reference field="4294967294" count="1" selected="0">
            <x v="1"/>
          </reference>
        </references>
      </pivotArea>
    </chartFormat>
    <chartFormat chart="26" format="23"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filters count="1">
    <filter fld="1" type="dateBetween" evalOrder="-1" id="284" name="Date">
      <autoFilter ref="A1">
        <filterColumn colId="0">
          <customFilters and="1">
            <customFilter operator="greaterThanOrEqual" val="40544"/>
            <customFilter operator="lessThanOrEqual" val="40755"/>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47285D7-EB04-41F5-8872-E3B674E4E2BD}" name="PivotTable9" cacheId="0" dataPosition="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0" rowHeaderCaption="chart5">
  <location ref="J144:L169" firstHeaderRow="0" firstDataRow="1" firstDataCol="1"/>
  <pivotFields count="23">
    <pivotField showAll="0"/>
    <pivotField numFmtId="14"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showAll="0"/>
    <pivotField showAll="0"/>
    <pivotField showAll="0"/>
    <pivotField axis="axisRow" showAll="0">
      <items count="25">
        <item x="0"/>
        <item x="1"/>
        <item x="2"/>
        <item x="3"/>
        <item x="4"/>
        <item x="5"/>
        <item x="6"/>
        <item x="7"/>
        <item x="8"/>
        <item x="9"/>
        <item x="10"/>
        <item x="11"/>
        <item x="12"/>
        <item x="13"/>
        <item x="14"/>
        <item x="15"/>
        <item x="16"/>
        <item x="17"/>
        <item x="18"/>
        <item x="19"/>
        <item x="20"/>
        <item x="21"/>
        <item x="22"/>
        <item x="23"/>
        <item t="default"/>
      </items>
    </pivotField>
    <pivotField showAll="0">
      <items count="3">
        <item x="0"/>
        <item x="1"/>
        <item t="default"/>
      </items>
    </pivotField>
    <pivotField showAll="0"/>
    <pivotField showAll="0">
      <items count="3">
        <item x="1"/>
        <item x="0"/>
        <item t="default"/>
      </items>
    </pivotField>
    <pivotField showAll="0"/>
    <pivotField showAll="0">
      <items count="8">
        <item x="0"/>
        <item x="1"/>
        <item x="2"/>
        <item x="3"/>
        <item x="4"/>
        <item x="5"/>
        <item x="6"/>
        <item t="default"/>
      </items>
    </pivotField>
    <pivotField showAll="0"/>
    <pivotField showAll="0"/>
    <pivotField showAll="0"/>
    <pivotField dataField="1" showAll="0"/>
    <pivotField dataField="1" showAll="0"/>
    <pivotField showAll="0"/>
    <pivotField showAll="0">
      <items count="5">
        <item x="0"/>
        <item x="1"/>
        <item x="3"/>
        <item x="2"/>
        <item t="default"/>
      </items>
    </pivotField>
    <pivotField showAll="0">
      <items count="8">
        <item x="1"/>
        <item x="2"/>
        <item x="3"/>
        <item x="4"/>
        <item x="5"/>
        <item x="6"/>
        <item x="0"/>
        <item t="default"/>
      </items>
    </pivotField>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5"/>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Fields count="1">
    <field x="-2"/>
  </colFields>
  <colItems count="2">
    <i>
      <x/>
    </i>
    <i i="1">
      <x v="1"/>
    </i>
  </colItems>
  <dataFields count="2">
    <dataField name="Average of Casual_Rentals" fld="14" subtotal="average" baseField="5" baseItem="0"/>
    <dataField name="Average of Registered_Rentals" fld="15" subtotal="average" baseField="5" baseItem="0"/>
  </dataFields>
  <chartFormats count="28">
    <chartFormat chart="0" format="1" series="1">
      <pivotArea type="data" outline="0" fieldPosition="0">
        <references count="1">
          <reference field="4294967294" count="1" selected="0">
            <x v="0"/>
          </reference>
        </references>
      </pivotArea>
    </chartFormat>
    <chartFormat chart="0" format="2" series="1">
      <pivotArea type="data" outline="0" fieldPosition="0">
        <references count="1">
          <reference field="4294967294" count="1" selected="0">
            <x v="1"/>
          </reference>
        </references>
      </pivotArea>
    </chartFormat>
    <chartFormat chart="6" format="5" series="1">
      <pivotArea type="data" outline="0" fieldPosition="0">
        <references count="1">
          <reference field="4294967294" count="1" selected="0">
            <x v="0"/>
          </reference>
        </references>
      </pivotArea>
    </chartFormat>
    <chartFormat chart="6" format="6" series="1">
      <pivotArea type="data" outline="0" fieldPosition="0">
        <references count="1">
          <reference field="4294967294" count="1" selected="0">
            <x v="1"/>
          </reference>
        </references>
      </pivotArea>
    </chartFormat>
    <chartFormat chart="7" format="5" series="1">
      <pivotArea type="data" outline="0" fieldPosition="0">
        <references count="1">
          <reference field="4294967294" count="1" selected="0">
            <x v="0"/>
          </reference>
        </references>
      </pivotArea>
    </chartFormat>
    <chartFormat chart="7" format="6" series="1">
      <pivotArea type="data" outline="0" fieldPosition="0">
        <references count="1">
          <reference field="4294967294" count="1" selected="0">
            <x v="1"/>
          </reference>
        </references>
      </pivotArea>
    </chartFormat>
    <chartFormat chart="7" format="7" series="1">
      <pivotArea type="data" outline="0" fieldPosition="0">
        <references count="2">
          <reference field="4294967294" count="1" selected="0">
            <x v="0"/>
          </reference>
          <reference field="5" count="1" selected="0">
            <x v="2"/>
          </reference>
        </references>
      </pivotArea>
    </chartFormat>
    <chartFormat chart="7" format="8" series="1">
      <pivotArea type="data" outline="0" fieldPosition="0">
        <references count="2">
          <reference field="4294967294" count="1" selected="0">
            <x v="0"/>
          </reference>
          <reference field="5" count="1" selected="0">
            <x v="3"/>
          </reference>
        </references>
      </pivotArea>
    </chartFormat>
    <chartFormat chart="7" format="9" series="1">
      <pivotArea type="data" outline="0" fieldPosition="0">
        <references count="2">
          <reference field="4294967294" count="1" selected="0">
            <x v="0"/>
          </reference>
          <reference field="5" count="1" selected="0">
            <x v="4"/>
          </reference>
        </references>
      </pivotArea>
    </chartFormat>
    <chartFormat chart="7" format="10" series="1">
      <pivotArea type="data" outline="0" fieldPosition="0">
        <references count="2">
          <reference field="4294967294" count="1" selected="0">
            <x v="0"/>
          </reference>
          <reference field="5" count="1" selected="0">
            <x v="5"/>
          </reference>
        </references>
      </pivotArea>
    </chartFormat>
    <chartFormat chart="7" format="11" series="1">
      <pivotArea type="data" outline="0" fieldPosition="0">
        <references count="2">
          <reference field="4294967294" count="1" selected="0">
            <x v="0"/>
          </reference>
          <reference field="5" count="1" selected="0">
            <x v="6"/>
          </reference>
        </references>
      </pivotArea>
    </chartFormat>
    <chartFormat chart="7" format="12" series="1">
      <pivotArea type="data" outline="0" fieldPosition="0">
        <references count="2">
          <reference field="4294967294" count="1" selected="0">
            <x v="0"/>
          </reference>
          <reference field="5" count="1" selected="0">
            <x v="7"/>
          </reference>
        </references>
      </pivotArea>
    </chartFormat>
    <chartFormat chart="7" format="13" series="1">
      <pivotArea type="data" outline="0" fieldPosition="0">
        <references count="2">
          <reference field="4294967294" count="1" selected="0">
            <x v="0"/>
          </reference>
          <reference field="5" count="1" selected="0">
            <x v="8"/>
          </reference>
        </references>
      </pivotArea>
    </chartFormat>
    <chartFormat chart="7" format="14" series="1">
      <pivotArea type="data" outline="0" fieldPosition="0">
        <references count="2">
          <reference field="4294967294" count="1" selected="0">
            <x v="0"/>
          </reference>
          <reference field="5" count="1" selected="0">
            <x v="9"/>
          </reference>
        </references>
      </pivotArea>
    </chartFormat>
    <chartFormat chart="7" format="15" series="1">
      <pivotArea type="data" outline="0" fieldPosition="0">
        <references count="2">
          <reference field="4294967294" count="1" selected="0">
            <x v="0"/>
          </reference>
          <reference field="5" count="1" selected="0">
            <x v="10"/>
          </reference>
        </references>
      </pivotArea>
    </chartFormat>
    <chartFormat chart="7" format="16" series="1">
      <pivotArea type="data" outline="0" fieldPosition="0">
        <references count="2">
          <reference field="4294967294" count="1" selected="0">
            <x v="0"/>
          </reference>
          <reference field="5" count="1" selected="0">
            <x v="11"/>
          </reference>
        </references>
      </pivotArea>
    </chartFormat>
    <chartFormat chart="7" format="17" series="1">
      <pivotArea type="data" outline="0" fieldPosition="0">
        <references count="2">
          <reference field="4294967294" count="1" selected="0">
            <x v="0"/>
          </reference>
          <reference field="5" count="1" selected="0">
            <x v="12"/>
          </reference>
        </references>
      </pivotArea>
    </chartFormat>
    <chartFormat chart="7" format="18" series="1">
      <pivotArea type="data" outline="0" fieldPosition="0">
        <references count="2">
          <reference field="4294967294" count="1" selected="0">
            <x v="0"/>
          </reference>
          <reference field="5" count="1" selected="0">
            <x v="13"/>
          </reference>
        </references>
      </pivotArea>
    </chartFormat>
    <chartFormat chart="7" format="19" series="1">
      <pivotArea type="data" outline="0" fieldPosition="0">
        <references count="2">
          <reference field="4294967294" count="1" selected="0">
            <x v="0"/>
          </reference>
          <reference field="5" count="1" selected="0">
            <x v="14"/>
          </reference>
        </references>
      </pivotArea>
    </chartFormat>
    <chartFormat chart="7" format="20" series="1">
      <pivotArea type="data" outline="0" fieldPosition="0">
        <references count="2">
          <reference field="4294967294" count="1" selected="0">
            <x v="0"/>
          </reference>
          <reference field="5" count="1" selected="0">
            <x v="15"/>
          </reference>
        </references>
      </pivotArea>
    </chartFormat>
    <chartFormat chart="7" format="21" series="1">
      <pivotArea type="data" outline="0" fieldPosition="0">
        <references count="2">
          <reference field="4294967294" count="1" selected="0">
            <x v="0"/>
          </reference>
          <reference field="5" count="1" selected="0">
            <x v="16"/>
          </reference>
        </references>
      </pivotArea>
    </chartFormat>
    <chartFormat chart="7" format="22" series="1">
      <pivotArea type="data" outline="0" fieldPosition="0">
        <references count="2">
          <reference field="4294967294" count="1" selected="0">
            <x v="0"/>
          </reference>
          <reference field="5" count="1" selected="0">
            <x v="17"/>
          </reference>
        </references>
      </pivotArea>
    </chartFormat>
    <chartFormat chart="7" format="23" series="1">
      <pivotArea type="data" outline="0" fieldPosition="0">
        <references count="2">
          <reference field="4294967294" count="1" selected="0">
            <x v="0"/>
          </reference>
          <reference field="5" count="1" selected="0">
            <x v="18"/>
          </reference>
        </references>
      </pivotArea>
    </chartFormat>
    <chartFormat chart="7" format="24" series="1">
      <pivotArea type="data" outline="0" fieldPosition="0">
        <references count="2">
          <reference field="4294967294" count="1" selected="0">
            <x v="0"/>
          </reference>
          <reference field="5" count="1" selected="0">
            <x v="19"/>
          </reference>
        </references>
      </pivotArea>
    </chartFormat>
    <chartFormat chart="7" format="25" series="1">
      <pivotArea type="data" outline="0" fieldPosition="0">
        <references count="2">
          <reference field="4294967294" count="1" selected="0">
            <x v="0"/>
          </reference>
          <reference field="5" count="1" selected="0">
            <x v="20"/>
          </reference>
        </references>
      </pivotArea>
    </chartFormat>
    <chartFormat chart="7" format="26" series="1">
      <pivotArea type="data" outline="0" fieldPosition="0">
        <references count="2">
          <reference field="4294967294" count="1" selected="0">
            <x v="0"/>
          </reference>
          <reference field="5" count="1" selected="0">
            <x v="21"/>
          </reference>
        </references>
      </pivotArea>
    </chartFormat>
    <chartFormat chart="7" format="27" series="1">
      <pivotArea type="data" outline="0" fieldPosition="0">
        <references count="2">
          <reference field="4294967294" count="1" selected="0">
            <x v="0"/>
          </reference>
          <reference field="5" count="1" selected="0">
            <x v="22"/>
          </reference>
        </references>
      </pivotArea>
    </chartFormat>
    <chartFormat chart="7" format="28" series="1">
      <pivotArea type="data" outline="0" fieldPosition="0">
        <references count="2">
          <reference field="4294967294" count="1" selected="0">
            <x v="0"/>
          </reference>
          <reference field="5" count="1" selected="0">
            <x v="23"/>
          </reference>
        </references>
      </pivotArea>
    </chartFormat>
  </chartFormats>
  <pivotTableStyleInfo name="PivotStyleLight16" showRowHeaders="1" showColHeaders="1" showRowStripes="0" showColStripes="0" showLastColumn="1"/>
  <filters count="1">
    <filter fld="1" type="dateBetween" evalOrder="-1" id="284" name="Date">
      <autoFilter ref="A1">
        <filterColumn colId="0">
          <customFilters and="1">
            <customFilter operator="greaterThanOrEqual" val="40544"/>
            <customFilter operator="lessThanOrEqual" val="40755"/>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4B9C105-1A20-4729-926C-1339A5038650}" name="PivotTable3"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D171:R294" firstHeaderRow="0" firstDataRow="1" firstDataCol="1"/>
  <pivotFields count="23">
    <pivotField showAll="0"/>
    <pivotField dataField="1" numFmtId="14"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axis="axisRow" showAll="0">
      <items count="2">
        <item x="0"/>
        <item t="default"/>
      </items>
    </pivotField>
    <pivotField dataField="1" showAll="0"/>
    <pivotField dataField="1" showAll="0"/>
    <pivotField dataField="1" showAll="0"/>
    <pivotField axis="axisRow" showAll="0">
      <items count="3">
        <item x="0"/>
        <item x="1"/>
        <item t="default"/>
      </items>
    </pivotField>
    <pivotField dataField="1" showAll="0"/>
    <pivotField axis="axisRow" showAll="0">
      <items count="3">
        <item x="1"/>
        <item x="0"/>
        <item t="default"/>
      </items>
    </pivotField>
    <pivotField dataField="1" showAll="0"/>
    <pivotField dataField="1" showAll="0">
      <items count="8">
        <item x="0"/>
        <item x="1"/>
        <item x="2"/>
        <item x="3"/>
        <item x="4"/>
        <item x="5"/>
        <item x="6"/>
        <item t="default"/>
      </items>
    </pivotField>
    <pivotField dataField="1" showAll="0"/>
    <pivotField dataField="1" showAll="0"/>
    <pivotField dataField="1" showAll="0"/>
    <pivotField dataField="1" showAll="0"/>
    <pivotField dataField="1" showAll="0"/>
    <pivotField dataField="1" showAll="0"/>
    <pivotField axis="axisRow" showAll="0">
      <items count="5">
        <item x="0"/>
        <item x="1"/>
        <item x="2"/>
        <item x="3"/>
        <item t="default"/>
      </items>
    </pivotField>
    <pivotField axis="axisRow" dataField="1" showAll="0">
      <items count="8">
        <item x="1"/>
        <item x="2"/>
        <item x="3"/>
        <item x="4"/>
        <item x="5"/>
        <item x="6"/>
        <item x="0"/>
        <item t="default"/>
      </items>
    </pivotField>
    <pivotField axis="axisRow" showAll="0">
      <items count="3">
        <item x="0"/>
        <item x="1"/>
        <item t="default"/>
      </items>
    </pivotField>
    <pivotField axis="axisRow" showAll="0">
      <items count="3">
        <item x="0"/>
        <item x="1"/>
        <item t="default"/>
      </items>
    </pivotField>
    <pivotField axis="axisRow" showAll="0" defaultSubtotal="0">
      <items count="368">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s>
    </pivotField>
    <pivotField axis="axisRow" showAll="0" defaultSubtotal="0">
      <items count="14">
        <item sd="0" x="0"/>
        <item sd="0" x="1"/>
        <item sd="0" x="2"/>
        <item sd="0" x="3"/>
        <item sd="0" x="4"/>
        <item sd="0" x="5"/>
        <item sd="0" x="6"/>
        <item sd="0" x="7"/>
        <item sd="0" x="8"/>
        <item sd="0" x="9"/>
        <item sd="0" x="10"/>
        <item sd="0" x="11"/>
        <item sd="0" x="12"/>
        <item sd="0" x="13"/>
      </items>
    </pivotField>
  </pivotFields>
  <rowFields count="9">
    <field x="17"/>
    <field x="18"/>
    <field x="21"/>
    <field x="8"/>
    <field x="2"/>
    <field x="20"/>
    <field x="6"/>
    <field x="22"/>
    <field x="19"/>
  </rowFields>
  <rowItems count="123">
    <i>
      <x/>
    </i>
    <i r="1">
      <x/>
    </i>
    <i r="2">
      <x v="2"/>
    </i>
    <i r="2">
      <x v="9"/>
    </i>
    <i r="2">
      <x v="16"/>
    </i>
    <i r="2">
      <x v="23"/>
    </i>
    <i r="2">
      <x v="30"/>
    </i>
    <i r="2">
      <x v="37"/>
    </i>
    <i r="2">
      <x v="44"/>
    </i>
    <i r="1">
      <x v="1"/>
    </i>
    <i r="2">
      <x v="3"/>
    </i>
    <i r="2">
      <x v="10"/>
    </i>
    <i r="2">
      <x v="17"/>
    </i>
    <i r="2">
      <x v="24"/>
    </i>
    <i r="2">
      <x v="31"/>
    </i>
    <i r="2">
      <x v="38"/>
    </i>
    <i r="2">
      <x v="45"/>
    </i>
    <i r="1">
      <x v="2"/>
    </i>
    <i r="2">
      <x v="4"/>
    </i>
    <i r="2">
      <x v="11"/>
    </i>
    <i r="2">
      <x v="25"/>
    </i>
    <i r="2">
      <x v="39"/>
    </i>
    <i r="1">
      <x v="3"/>
    </i>
    <i r="2">
      <x v="5"/>
    </i>
    <i r="2">
      <x v="12"/>
    </i>
    <i r="2">
      <x v="19"/>
    </i>
    <i r="2">
      <x v="33"/>
    </i>
    <i r="2">
      <x v="40"/>
    </i>
    <i r="1">
      <x v="4"/>
    </i>
    <i r="2">
      <x v="6"/>
    </i>
    <i r="2">
      <x v="13"/>
    </i>
    <i r="2">
      <x v="20"/>
    </i>
    <i r="2">
      <x v="27"/>
    </i>
    <i r="2">
      <x v="34"/>
    </i>
    <i r="2">
      <x v="41"/>
    </i>
    <i r="1">
      <x v="5"/>
    </i>
    <i r="2">
      <x v="7"/>
    </i>
    <i r="2">
      <x v="14"/>
    </i>
    <i r="2">
      <x v="21"/>
    </i>
    <i r="2">
      <x v="28"/>
    </i>
    <i r="2">
      <x v="35"/>
    </i>
    <i r="2">
      <x v="42"/>
    </i>
    <i r="1">
      <x v="6"/>
    </i>
    <i r="2">
      <x v="1"/>
    </i>
    <i r="2">
      <x v="8"/>
    </i>
    <i r="2">
      <x v="15"/>
    </i>
    <i r="2">
      <x v="22"/>
    </i>
    <i r="2">
      <x v="29"/>
    </i>
    <i r="2">
      <x v="36"/>
    </i>
    <i r="2">
      <x v="43"/>
    </i>
    <i>
      <x v="1"/>
    </i>
    <i r="1">
      <x/>
    </i>
    <i r="2">
      <x v="2"/>
    </i>
    <i r="2">
      <x v="16"/>
    </i>
    <i r="2">
      <x v="23"/>
    </i>
    <i r="2">
      <x v="30"/>
    </i>
    <i r="2">
      <x v="44"/>
    </i>
    <i r="1">
      <x v="1"/>
    </i>
    <i r="2">
      <x v="10"/>
    </i>
    <i r="2">
      <x v="17"/>
    </i>
    <i r="2">
      <x v="24"/>
    </i>
    <i r="2">
      <x v="31"/>
    </i>
    <i r="2">
      <x v="38"/>
    </i>
    <i r="1">
      <x v="2"/>
    </i>
    <i r="2">
      <x v="4"/>
    </i>
    <i r="2">
      <x v="11"/>
    </i>
    <i r="2">
      <x v="18"/>
    </i>
    <i r="2">
      <x v="25"/>
    </i>
    <i r="2">
      <x v="32"/>
    </i>
    <i r="2">
      <x v="39"/>
    </i>
    <i r="1">
      <x v="3"/>
    </i>
    <i r="2">
      <x v="12"/>
    </i>
    <i r="2">
      <x v="19"/>
    </i>
    <i r="2">
      <x v="26"/>
    </i>
    <i r="2">
      <x v="33"/>
    </i>
    <i r="2">
      <x v="40"/>
    </i>
    <i r="1">
      <x v="4"/>
    </i>
    <i r="2">
      <x v="6"/>
    </i>
    <i r="2">
      <x v="13"/>
    </i>
    <i r="2">
      <x v="20"/>
    </i>
    <i r="2">
      <x v="41"/>
    </i>
    <i r="1">
      <x v="5"/>
    </i>
    <i r="2">
      <x v="7"/>
    </i>
    <i r="2">
      <x v="14"/>
    </i>
    <i r="2">
      <x v="21"/>
    </i>
    <i r="2">
      <x v="28"/>
    </i>
    <i r="2">
      <x v="35"/>
    </i>
    <i r="1">
      <x v="6"/>
    </i>
    <i r="2">
      <x v="1"/>
    </i>
    <i r="2">
      <x v="8"/>
    </i>
    <i r="2">
      <x v="15"/>
    </i>
    <i r="2">
      <x v="22"/>
    </i>
    <i r="2">
      <x v="29"/>
    </i>
    <i r="2">
      <x v="36"/>
    </i>
    <i>
      <x v="2"/>
    </i>
    <i r="1">
      <x/>
    </i>
    <i r="2">
      <x v="2"/>
    </i>
    <i r="1">
      <x v="1"/>
    </i>
    <i r="2">
      <x v="17"/>
    </i>
    <i r="2">
      <x v="31"/>
    </i>
    <i r="1">
      <x v="2"/>
    </i>
    <i r="2">
      <x v="11"/>
    </i>
    <i r="2">
      <x v="32"/>
    </i>
    <i r="2">
      <x v="39"/>
    </i>
    <i r="1">
      <x v="3"/>
    </i>
    <i r="2">
      <x v="19"/>
    </i>
    <i r="2">
      <x v="26"/>
    </i>
    <i r="2">
      <x v="33"/>
    </i>
    <i r="2">
      <x v="40"/>
    </i>
    <i r="1">
      <x v="4"/>
    </i>
    <i r="2">
      <x v="41"/>
    </i>
    <i r="1">
      <x v="5"/>
    </i>
    <i r="2">
      <x v="7"/>
    </i>
    <i r="2">
      <x v="21"/>
    </i>
    <i r="2">
      <x v="28"/>
    </i>
    <i r="1">
      <x v="6"/>
    </i>
    <i r="2">
      <x v="1"/>
    </i>
    <i r="2">
      <x v="8"/>
    </i>
    <i r="2">
      <x v="36"/>
    </i>
    <i>
      <x v="3"/>
    </i>
    <i r="1">
      <x v="3"/>
    </i>
    <i r="2">
      <x v="26"/>
    </i>
    <i t="grand">
      <x/>
    </i>
  </rowItems>
  <colFields count="1">
    <field x="-2"/>
  </colFields>
  <colItems count="14">
    <i>
      <x/>
    </i>
    <i i="1">
      <x v="1"/>
    </i>
    <i i="2">
      <x v="2"/>
    </i>
    <i i="3">
      <x v="3"/>
    </i>
    <i i="4">
      <x v="4"/>
    </i>
    <i i="5">
      <x v="5"/>
    </i>
    <i i="6">
      <x v="6"/>
    </i>
    <i i="7">
      <x v="7"/>
    </i>
    <i i="8">
      <x v="8"/>
    </i>
    <i i="9">
      <x v="9"/>
    </i>
    <i i="10">
      <x v="10"/>
    </i>
    <i i="11">
      <x v="11"/>
    </i>
    <i i="12">
      <x v="12"/>
    </i>
    <i i="13">
      <x v="13"/>
    </i>
  </colItems>
  <dataFields count="14">
    <dataField name="Count of Date" fld="1" subtotal="count" baseField="0" baseItem="0"/>
    <dataField name="Count of Day_Name" fld="18" subtotal="count" baseField="0" baseItem="0"/>
    <dataField name="Count of Temperature" fld="10" subtotal="count" baseField="0" baseItem="0"/>
    <dataField name="Count of Humidity" fld="12" subtotal="count" baseField="0" baseItem="0"/>
    <dataField name="Count of Wind_Speed" fld="13" subtotal="count" baseField="0" baseItem="0"/>
    <dataField name="Sum of Year" fld="3" baseField="0" baseItem="0"/>
    <dataField name="Sum of Month" fld="4" baseField="0" baseItem="0"/>
    <dataField name="Sum of Hour" fld="5" baseField="0" baseItem="0"/>
    <dataField name="Sum of Day_Code" fld="7" baseField="0" baseItem="0"/>
    <dataField name="Sum of Weather_Code" fld="9" baseField="0" baseItem="0"/>
    <dataField name="Sum of Assumed_Temperature" fld="11" baseField="0" baseItem="0"/>
    <dataField name="Sum of Casual_Rentals" fld="14" baseField="0" baseItem="0"/>
    <dataField name="Sum of Registered_Rentals" fld="15" baseField="0" baseItem="0"/>
    <dataField name="Sum of Total_Rentals" fld="16" baseField="0" baseItem="0"/>
  </dataFields>
  <pivotTableStyleInfo name="PivotStyleLight16" showRowHeaders="1" showColHeaders="1" showRowStripes="0" showColStripes="0" showLastColumn="1"/>
  <filters count="1">
    <filter fld="1" type="dateBetween" evalOrder="-1" id="239" name="Date">
      <autoFilter ref="A1">
        <filterColumn colId="0">
          <customFilters and="1">
            <customFilter operator="greaterThanOrEqual" val="40544"/>
            <customFilter operator="lessThanOrEqual" val="40755"/>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D234F30-7033-4C9A-AD92-6480399E2B11}" name="PivotTable 10"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rowHeaderCaption="Hour" colHeaderCaption="Working Days">
  <location ref="C73:F79" firstHeaderRow="1" firstDataRow="2" firstDataCol="1"/>
  <pivotFields count="23">
    <pivotField showAll="0"/>
    <pivotField numFmtId="14"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showAll="0"/>
    <pivotField showAll="0"/>
    <pivotField showAll="0"/>
    <pivotField showAll="0"/>
    <pivotField showAll="0">
      <items count="3">
        <item x="0"/>
        <item x="1"/>
        <item t="default"/>
      </items>
    </pivotField>
    <pivotField showAll="0"/>
    <pivotField showAll="0">
      <items count="3">
        <item x="1"/>
        <item x="0"/>
        <item t="default"/>
      </items>
    </pivotField>
    <pivotField showAll="0"/>
    <pivotField showAll="0">
      <items count="8">
        <item x="0"/>
        <item x="1"/>
        <item x="2"/>
        <item x="3"/>
        <item x="4"/>
        <item x="5"/>
        <item x="6"/>
        <item t="default"/>
      </items>
    </pivotField>
    <pivotField showAll="0"/>
    <pivotField showAll="0"/>
    <pivotField showAll="0"/>
    <pivotField showAll="0"/>
    <pivotField showAll="0"/>
    <pivotField dataField="1" showAll="0"/>
    <pivotField axis="axisRow" showAll="0">
      <items count="5">
        <item x="0"/>
        <item x="1"/>
        <item x="2"/>
        <item x="3"/>
        <item t="default"/>
      </items>
    </pivotField>
    <pivotField showAll="0">
      <items count="8">
        <item x="1"/>
        <item x="2"/>
        <item x="3"/>
        <item x="4"/>
        <item x="5"/>
        <item x="6"/>
        <item x="0"/>
        <item t="default"/>
      </items>
    </pivotField>
    <pivotField showAll="0"/>
    <pivotField axis="axisCol" showAll="0">
      <items count="3">
        <item x="0"/>
        <item x="1"/>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7"/>
  </rowFields>
  <rowItems count="5">
    <i>
      <x/>
    </i>
    <i>
      <x v="1"/>
    </i>
    <i>
      <x v="2"/>
    </i>
    <i>
      <x v="3"/>
    </i>
    <i t="grand">
      <x/>
    </i>
  </rowItems>
  <colFields count="1">
    <field x="20"/>
  </colFields>
  <colItems count="3">
    <i>
      <x/>
    </i>
    <i>
      <x v="1"/>
    </i>
    <i t="grand">
      <x/>
    </i>
  </colItems>
  <dataFields count="1">
    <dataField name="Weather Conditions" fld="16" subtotal="average" baseField="5" baseItem="0"/>
  </dataFields>
  <pivotTableStyleInfo name="PivotStyleLight16" showRowHeaders="1" showColHeaders="1" showRowStripes="0" showColStripes="0" showLastColumn="1"/>
  <filters count="1">
    <filter fld="1" type="dateBetween" evalOrder="-1" id="284" name="Date">
      <autoFilter ref="A1">
        <filterColumn colId="0">
          <customFilters and="1">
            <customFilter operator="greaterThanOrEqual" val="40544"/>
            <customFilter operator="lessThanOrEqual" val="40755"/>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9B1DF4B-EE47-4542-B726-33DC2441791E}" name="PivotTable 6"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3" rowHeaderCaption="Humidity">
  <location ref="H50:K55" firstHeaderRow="0" firstDataRow="1" firstDataCol="1"/>
  <pivotFields count="23">
    <pivotField showAll="0"/>
    <pivotField numFmtId="14"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showAll="0"/>
    <pivotField showAll="0"/>
    <pivotField showAll="0"/>
    <pivotField showAll="0"/>
    <pivotField showAll="0">
      <items count="3">
        <item x="0"/>
        <item x="1"/>
        <item t="default"/>
      </items>
    </pivotField>
    <pivotField showAll="0"/>
    <pivotField showAll="0">
      <items count="3">
        <item x="1"/>
        <item x="0"/>
        <item t="default"/>
      </items>
    </pivotField>
    <pivotField showAll="0"/>
    <pivotField showAll="0">
      <items count="8">
        <item x="0"/>
        <item x="1"/>
        <item x="2"/>
        <item x="3"/>
        <item x="4"/>
        <item x="5"/>
        <item x="6"/>
        <item t="default"/>
      </items>
    </pivotField>
    <pivotField showAll="0"/>
    <pivotField axis="axisRow" showAll="0">
      <items count="8">
        <item x="0"/>
        <item x="1"/>
        <item x="2"/>
        <item x="3"/>
        <item x="4"/>
        <item x="5"/>
        <item x="6"/>
        <item t="default"/>
      </items>
    </pivotField>
    <pivotField showAll="0"/>
    <pivotField dataField="1" showAll="0"/>
    <pivotField dataField="1" showAll="0"/>
    <pivotField dataField="1" showAll="0"/>
    <pivotField showAll="0">
      <items count="5">
        <item x="0"/>
        <item x="1"/>
        <item x="3"/>
        <item x="2"/>
        <item t="default"/>
      </items>
    </pivotField>
    <pivotField showAll="0">
      <items count="8">
        <item x="1"/>
        <item x="2"/>
        <item x="3"/>
        <item x="4"/>
        <item x="5"/>
        <item x="6"/>
        <item x="0"/>
        <item t="default"/>
      </items>
    </pivotField>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2"/>
  </rowFields>
  <rowItems count="5">
    <i>
      <x v="2"/>
    </i>
    <i>
      <x v="3"/>
    </i>
    <i>
      <x v="4"/>
    </i>
    <i>
      <x v="5"/>
    </i>
    <i t="grand">
      <x/>
    </i>
  </rowItems>
  <colFields count="1">
    <field x="-2"/>
  </colFields>
  <colItems count="3">
    <i>
      <x/>
    </i>
    <i i="1">
      <x v="1"/>
    </i>
    <i i="2">
      <x v="2"/>
    </i>
  </colItems>
  <dataFields count="3">
    <dataField name="Average of Casual_Rentals" fld="14" subtotal="average" baseField="12" baseItem="0"/>
    <dataField name="Average of Registered_Rentals" fld="15" subtotal="average" baseField="12" baseItem="0"/>
    <dataField name="Average of Total_Rentals" fld="16" subtotal="average" baseField="12" baseItem="2"/>
  </dataFields>
  <chartFormats count="3">
    <chartFormat chart="3" format="39" series="1">
      <pivotArea type="data" outline="0" fieldPosition="0">
        <references count="1">
          <reference field="4294967294" count="1" selected="0">
            <x v="0"/>
          </reference>
        </references>
      </pivotArea>
    </chartFormat>
    <chartFormat chart="3" format="40" series="1">
      <pivotArea type="data" outline="0" fieldPosition="0">
        <references count="1">
          <reference field="4294967294" count="1" selected="0">
            <x v="1"/>
          </reference>
        </references>
      </pivotArea>
    </chartFormat>
    <chartFormat chart="3" format="41"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filters count="1">
    <filter fld="1" type="dateBetween" evalOrder="-1" id="284" name="Date">
      <autoFilter ref="A1">
        <filterColumn colId="0">
          <customFilters and="1">
            <customFilter operator="greaterThanOrEqual" val="40544"/>
            <customFilter operator="lessThanOrEqual" val="40755"/>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BE95839-D19E-41DF-B13B-1D4642B5E765}" name="PivotTable 5"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rowHeaderCaption="Windspeed">
  <location ref="H59:K66" firstHeaderRow="0" firstDataRow="1" firstDataCol="1"/>
  <pivotFields count="23">
    <pivotField showAll="0"/>
    <pivotField numFmtId="14"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showAll="0"/>
    <pivotField showAll="0"/>
    <pivotField showAll="0"/>
    <pivotField showAll="0"/>
    <pivotField showAll="0">
      <items count="3">
        <item x="0"/>
        <item x="1"/>
        <item t="default"/>
      </items>
    </pivotField>
    <pivotField showAll="0"/>
    <pivotField showAll="0">
      <items count="3">
        <item x="1"/>
        <item x="0"/>
        <item t="default"/>
      </items>
    </pivotField>
    <pivotField showAll="0"/>
    <pivotField showAll="0">
      <items count="8">
        <item x="0"/>
        <item x="1"/>
        <item x="2"/>
        <item x="3"/>
        <item x="4"/>
        <item x="5"/>
        <item x="6"/>
        <item t="default"/>
      </items>
    </pivotField>
    <pivotField showAll="0"/>
    <pivotField showAll="0"/>
    <pivotField axis="axisRow" showAll="0">
      <items count="9">
        <item x="0"/>
        <item x="1"/>
        <item x="2"/>
        <item x="3"/>
        <item x="4"/>
        <item x="5"/>
        <item x="6"/>
        <item x="7"/>
        <item t="default"/>
      </items>
    </pivotField>
    <pivotField dataField="1" showAll="0"/>
    <pivotField dataField="1" showAll="0"/>
    <pivotField dataField="1" showAll="0"/>
    <pivotField showAll="0">
      <items count="5">
        <item x="0"/>
        <item x="1"/>
        <item x="3"/>
        <item x="2"/>
        <item t="default"/>
      </items>
    </pivotField>
    <pivotField showAll="0">
      <items count="8">
        <item x="1"/>
        <item x="2"/>
        <item x="3"/>
        <item x="4"/>
        <item x="5"/>
        <item x="6"/>
        <item x="0"/>
        <item t="default"/>
      </items>
    </pivotField>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3"/>
  </rowFields>
  <rowItems count="7">
    <i>
      <x v="1"/>
    </i>
    <i>
      <x v="2"/>
    </i>
    <i>
      <x v="3"/>
    </i>
    <i>
      <x v="4"/>
    </i>
    <i>
      <x v="5"/>
    </i>
    <i>
      <x v="6"/>
    </i>
    <i t="grand">
      <x/>
    </i>
  </rowItems>
  <colFields count="1">
    <field x="-2"/>
  </colFields>
  <colItems count="3">
    <i>
      <x/>
    </i>
    <i i="1">
      <x v="1"/>
    </i>
    <i i="2">
      <x v="2"/>
    </i>
  </colItems>
  <dataFields count="3">
    <dataField name="Average of Casual_Rentals" fld="14" subtotal="average" baseField="13" baseItem="0"/>
    <dataField name="Average of Registered_Rentals" fld="15" subtotal="average" baseField="13" baseItem="0"/>
    <dataField name="Average of Total_Rentals" fld="16" subtotal="average" baseField="13" baseItem="2"/>
  </dataFields>
  <pivotTableStyleInfo name="PivotStyleLight16" showRowHeaders="1" showColHeaders="1" showRowStripes="0" showColStripes="0" showLastColumn="1"/>
  <filters count="1">
    <filter fld="1" type="dateBetween" evalOrder="-1" id="284" name="Date">
      <autoFilter ref="A1">
        <filterColumn colId="0">
          <customFilters and="1">
            <customFilter operator="greaterThanOrEqual" val="40544"/>
            <customFilter operator="lessThanOrEqual" val="40755"/>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C56CB9F-9938-45E3-BD3E-CA90899808D3}" name="PivotTable 4"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rowHeaderCaption="Temperature">
  <location ref="H39:K45" firstHeaderRow="0" firstDataRow="1" firstDataCol="1"/>
  <pivotFields count="23">
    <pivotField showAll="0"/>
    <pivotField numFmtId="14"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showAll="0"/>
    <pivotField showAll="0"/>
    <pivotField showAll="0"/>
    <pivotField showAll="0"/>
    <pivotField showAll="0">
      <items count="3">
        <item x="0"/>
        <item x="1"/>
        <item t="default"/>
      </items>
    </pivotField>
    <pivotField showAll="0"/>
    <pivotField showAll="0">
      <items count="3">
        <item x="1"/>
        <item x="0"/>
        <item t="default"/>
      </items>
    </pivotField>
    <pivotField showAll="0"/>
    <pivotField axis="axisRow" showAll="0">
      <items count="8">
        <item x="0"/>
        <item x="1"/>
        <item x="2"/>
        <item x="3"/>
        <item x="4"/>
        <item x="5"/>
        <item x="6"/>
        <item t="default"/>
      </items>
    </pivotField>
    <pivotField showAll="0"/>
    <pivotField showAll="0"/>
    <pivotField showAll="0"/>
    <pivotField dataField="1" showAll="0"/>
    <pivotField dataField="1" showAll="0"/>
    <pivotField dataField="1" showAll="0"/>
    <pivotField showAll="0">
      <items count="5">
        <item x="0"/>
        <item x="1"/>
        <item x="3"/>
        <item x="2"/>
        <item t="default"/>
      </items>
    </pivotField>
    <pivotField showAll="0">
      <items count="8">
        <item x="1"/>
        <item x="2"/>
        <item x="3"/>
        <item x="4"/>
        <item x="5"/>
        <item x="6"/>
        <item x="0"/>
        <item t="default"/>
      </items>
    </pivotField>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0"/>
  </rowFields>
  <rowItems count="6">
    <i>
      <x v="1"/>
    </i>
    <i>
      <x v="2"/>
    </i>
    <i>
      <x v="3"/>
    </i>
    <i>
      <x v="4"/>
    </i>
    <i>
      <x v="5"/>
    </i>
    <i t="grand">
      <x/>
    </i>
  </rowItems>
  <colFields count="1">
    <field x="-2"/>
  </colFields>
  <colItems count="3">
    <i>
      <x/>
    </i>
    <i i="1">
      <x v="1"/>
    </i>
    <i i="2">
      <x v="2"/>
    </i>
  </colItems>
  <dataFields count="3">
    <dataField name="Average of Casual_Rentals" fld="14" subtotal="average" baseField="5" baseItem="0"/>
    <dataField name="Average of Registered_Rentals" fld="15" subtotal="average" baseField="5" baseItem="0"/>
    <dataField name="Average of Total_Rentals" fld="16" subtotal="average" baseField="10" baseItem="1"/>
  </dataFields>
  <pivotTableStyleInfo name="PivotStyleLight16" showRowHeaders="1" showColHeaders="1" showRowStripes="0" showColStripes="0" showLastColumn="1"/>
  <filters count="1">
    <filter fld="1" type="dateBetween" evalOrder="-1" id="284" name="Date">
      <autoFilter ref="A1">
        <filterColumn colId="0">
          <customFilters and="1">
            <customFilter operator="greaterThanOrEqual" val="40544"/>
            <customFilter operator="lessThanOrEqual" val="40755"/>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5D885C88-E529-4DD3-932C-3CB8724126D9}" name="PivotTable2"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G136:H168" firstHeaderRow="1" firstDataRow="1" firstDataCol="1"/>
  <pivotFields count="23">
    <pivotField showAll="0"/>
    <pivotField axis="axisRow" numFmtId="14"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showAll="0"/>
    <pivotField showAll="0"/>
    <pivotField showAll="0"/>
    <pivotField showAll="0"/>
    <pivotField showAll="0">
      <items count="3">
        <item x="0"/>
        <item x="1"/>
        <item t="default"/>
      </items>
    </pivotField>
    <pivotField showAll="0"/>
    <pivotField showAll="0">
      <items count="3">
        <item x="1"/>
        <item x="0"/>
        <item t="default"/>
      </items>
    </pivotField>
    <pivotField showAll="0"/>
    <pivotField showAll="0">
      <items count="8">
        <item x="0"/>
        <item x="1"/>
        <item x="2"/>
        <item x="3"/>
        <item x="4"/>
        <item x="5"/>
        <item x="6"/>
        <item t="default"/>
      </items>
    </pivotField>
    <pivotField showAll="0"/>
    <pivotField showAll="0"/>
    <pivotField showAll="0"/>
    <pivotField showAll="0"/>
    <pivotField showAll="0"/>
    <pivotField dataField="1" showAll="0"/>
    <pivotField showAll="0">
      <items count="5">
        <item x="0"/>
        <item x="1"/>
        <item x="3"/>
        <item x="2"/>
        <item t="default"/>
      </items>
    </pivotField>
    <pivotField showAll="0">
      <items count="8">
        <item x="1"/>
        <item x="2"/>
        <item x="3"/>
        <item x="4"/>
        <item x="5"/>
        <item x="6"/>
        <item x="0"/>
        <item t="default"/>
      </items>
    </pivotField>
    <pivotField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1"/>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Sum of Total_Rentals" fld="16" baseField="0" baseItem="0"/>
  </dataFields>
  <pivotTableStyleInfo name="PivotStyleLight16" showRowHeaders="1" showColHeaders="1" showRowStripes="0" showColStripes="0" showLastColumn="1"/>
  <filters count="1">
    <filter fld="1" type="dateBetween" evalOrder="-1" id="203" name="Date">
      <autoFilter ref="A1">
        <filterColumn colId="0">
          <customFilters and="1">
            <customFilter operator="greaterThanOrEqual" val="40544"/>
            <customFilter operator="lessThanOrEqual" val="40574"/>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95C5FDC2-FB81-4F6F-B23E-0E8EDEDED808}" name="PivotTable 8"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6" rowHeaderCaption="Hours" colHeaderCaption="Data_Type">
  <location ref="J73:M99" firstHeaderRow="1" firstDataRow="2" firstDataCol="1"/>
  <pivotFields count="23">
    <pivotField showAll="0"/>
    <pivotField numFmtId="14"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showAll="0"/>
    <pivotField showAll="0"/>
    <pivotField showAll="0"/>
    <pivotField axis="axisRow" showAll="0">
      <items count="25">
        <item x="0"/>
        <item x="1"/>
        <item x="2"/>
        <item x="3"/>
        <item x="4"/>
        <item x="5"/>
        <item x="6"/>
        <item x="7"/>
        <item x="8"/>
        <item x="9"/>
        <item x="10"/>
        <item x="11"/>
        <item x="12"/>
        <item x="13"/>
        <item x="14"/>
        <item x="15"/>
        <item x="16"/>
        <item x="17"/>
        <item x="18"/>
        <item x="19"/>
        <item x="20"/>
        <item x="21"/>
        <item x="22"/>
        <item x="23"/>
        <item t="default"/>
      </items>
    </pivotField>
    <pivotField showAll="0">
      <items count="3">
        <item x="0"/>
        <item x="1"/>
        <item t="default"/>
      </items>
    </pivotField>
    <pivotField showAll="0"/>
    <pivotField axis="axisCol" showAll="0">
      <items count="3">
        <item x="1"/>
        <item x="0"/>
        <item t="default"/>
      </items>
    </pivotField>
    <pivotField showAll="0"/>
    <pivotField showAll="0">
      <items count="8">
        <item x="0"/>
        <item x="1"/>
        <item x="2"/>
        <item x="3"/>
        <item x="4"/>
        <item x="5"/>
        <item x="6"/>
        <item t="default"/>
      </items>
    </pivotField>
    <pivotField showAll="0"/>
    <pivotField showAll="0"/>
    <pivotField showAll="0"/>
    <pivotField showAll="0"/>
    <pivotField showAll="0"/>
    <pivotField dataField="1" showAll="0"/>
    <pivotField showAll="0">
      <items count="5">
        <item x="0"/>
        <item x="1"/>
        <item x="3"/>
        <item x="2"/>
        <item t="default"/>
      </items>
    </pivotField>
    <pivotField showAll="0">
      <items count="8">
        <item x="1"/>
        <item x="2"/>
        <item x="3"/>
        <item x="4"/>
        <item x="5"/>
        <item x="6"/>
        <item x="0"/>
        <item t="default"/>
      </items>
    </pivotField>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5"/>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Fields count="1">
    <field x="8"/>
  </colFields>
  <colItems count="3">
    <i>
      <x/>
    </i>
    <i>
      <x v="1"/>
    </i>
    <i t="grand">
      <x/>
    </i>
  </colItems>
  <dataFields count="1">
    <dataField name="Hour " fld="16" subtotal="average" baseField="8" baseItem="0"/>
  </dataFields>
  <conditionalFormats count="1">
    <conditionalFormat priority="1">
      <pivotAreas count="1">
        <pivotArea type="data" collapsedLevelsAreSubtotals="1" fieldPosition="0">
          <references count="3">
            <reference field="4294967294" count="1" selected="0">
              <x v="0"/>
            </reference>
            <reference field="5" count="24">
              <x v="0"/>
              <x v="1"/>
              <x v="2"/>
              <x v="3"/>
              <x v="4"/>
              <x v="5"/>
              <x v="6"/>
              <x v="7"/>
              <x v="8"/>
              <x v="9"/>
              <x v="10"/>
              <x v="11"/>
              <x v="12"/>
              <x v="13"/>
              <x v="14"/>
              <x v="15"/>
              <x v="16"/>
              <x v="17"/>
              <x v="18"/>
              <x v="19"/>
              <x v="20"/>
              <x v="21"/>
              <x v="22"/>
              <x v="23"/>
            </reference>
            <reference field="8" count="2" selected="0">
              <x v="0"/>
              <x v="1"/>
            </reference>
          </references>
        </pivotArea>
      </pivotAreas>
    </conditionalFormat>
  </conditionalFormats>
  <chartFormats count="2">
    <chartFormat chart="3" format="15" series="1">
      <pivotArea type="data" outline="0" fieldPosition="0">
        <references count="2">
          <reference field="4294967294" count="1" selected="0">
            <x v="0"/>
          </reference>
          <reference field="8" count="1" selected="0">
            <x v="0"/>
          </reference>
        </references>
      </pivotArea>
    </chartFormat>
    <chartFormat chart="3" format="16" series="1">
      <pivotArea type="data" outline="0" fieldPosition="0">
        <references count="2">
          <reference field="4294967294" count="1" selected="0">
            <x v="0"/>
          </reference>
          <reference field="8" count="1" selected="0">
            <x v="1"/>
          </reference>
        </references>
      </pivotArea>
    </chartFormat>
  </chartFormats>
  <pivotTableStyleInfo name="PivotStyleLight16" showRowHeaders="1" showColHeaders="1" showRowStripes="0" showColStripes="0" showLastColumn="1"/>
  <filters count="1">
    <filter fld="1" type="dateBetween" evalOrder="-1" id="284" name="Date">
      <autoFilter ref="A1">
        <filterColumn colId="0">
          <customFilters and="1">
            <customFilter operator="greaterThanOrEqual" val="40544"/>
            <customFilter operator="lessThanOrEqual" val="40755"/>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497D818F-D0CC-4246-B4DF-A0CB5535F865}" name="PivotTable5"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30" rowHeaderCaption="Working Day">
  <location ref="C54:F57" firstHeaderRow="0" firstDataRow="1" firstDataCol="1"/>
  <pivotFields count="23">
    <pivotField showAll="0"/>
    <pivotField numFmtId="14"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showAll="0"/>
    <pivotField showAll="0"/>
    <pivotField showAll="0"/>
    <pivotField showAll="0"/>
    <pivotField showAll="0">
      <items count="3">
        <item x="0"/>
        <item x="1"/>
        <item t="default"/>
      </items>
    </pivotField>
    <pivotField showAll="0"/>
    <pivotField showAll="0">
      <items count="3">
        <item x="1"/>
        <item x="0"/>
        <item t="default"/>
      </items>
    </pivotField>
    <pivotField showAll="0"/>
    <pivotField showAll="0">
      <items count="8">
        <item x="0"/>
        <item x="1"/>
        <item x="2"/>
        <item x="3"/>
        <item x="4"/>
        <item x="5"/>
        <item x="6"/>
        <item t="default"/>
      </items>
    </pivotField>
    <pivotField showAll="0"/>
    <pivotField showAll="0"/>
    <pivotField showAll="0"/>
    <pivotField dataField="1" showAll="0"/>
    <pivotField dataField="1" showAll="0"/>
    <pivotField dataField="1" showAll="0"/>
    <pivotField showAll="0">
      <items count="5">
        <item x="0"/>
        <item x="1"/>
        <item x="3"/>
        <item x="2"/>
        <item t="default"/>
      </items>
    </pivotField>
    <pivotField showAll="0">
      <items count="8">
        <item x="1"/>
        <item x="2"/>
        <item x="3"/>
        <item x="4"/>
        <item x="5"/>
        <item x="6"/>
        <item x="0"/>
        <item t="default"/>
      </items>
    </pivotField>
    <pivotField showAll="0"/>
    <pivotField axis="axisRow" showAll="0">
      <items count="3">
        <item x="0"/>
        <item x="1"/>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20"/>
  </rowFields>
  <rowItems count="3">
    <i>
      <x/>
    </i>
    <i>
      <x v="1"/>
    </i>
    <i t="grand">
      <x/>
    </i>
  </rowItems>
  <colFields count="1">
    <field x="-2"/>
  </colFields>
  <colItems count="3">
    <i>
      <x/>
    </i>
    <i i="1">
      <x v="1"/>
    </i>
    <i i="2">
      <x v="2"/>
    </i>
  </colItems>
  <dataFields count="3">
    <dataField name="Average of Casual_Rentals" fld="14" subtotal="average" baseField="20" baseItem="0"/>
    <dataField name="Average of Registered_Rentals" fld="15" subtotal="average" baseField="20" baseItem="0"/>
    <dataField name="Average of Total_Rentals" fld="16" subtotal="average" baseField="20" baseItem="0"/>
  </dataFields>
  <chartFormats count="6">
    <chartFormat chart="3" format="6" series="1">
      <pivotArea type="data" outline="0" fieldPosition="0">
        <references count="1">
          <reference field="4294967294" count="1" selected="0">
            <x v="0"/>
          </reference>
        </references>
      </pivotArea>
    </chartFormat>
    <chartFormat chart="3" format="7" series="1">
      <pivotArea type="data" outline="0" fieldPosition="0">
        <references count="1">
          <reference field="4294967294" count="1" selected="0">
            <x v="1"/>
          </reference>
        </references>
      </pivotArea>
    </chartFormat>
    <chartFormat chart="3" format="8" series="1">
      <pivotArea type="data" outline="0" fieldPosition="0">
        <references count="1">
          <reference field="4294967294" count="1" selected="0">
            <x v="2"/>
          </reference>
        </references>
      </pivotArea>
    </chartFormat>
    <chartFormat chart="6" format="21" series="1">
      <pivotArea type="data" outline="0" fieldPosition="0">
        <references count="1">
          <reference field="4294967294" count="1" selected="0">
            <x v="0"/>
          </reference>
        </references>
      </pivotArea>
    </chartFormat>
    <chartFormat chart="6" format="22" series="1">
      <pivotArea type="data" outline="0" fieldPosition="0">
        <references count="1">
          <reference field="4294967294" count="1" selected="0">
            <x v="1"/>
          </reference>
        </references>
      </pivotArea>
    </chartFormat>
    <chartFormat chart="6" format="23"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filters count="1">
    <filter fld="1" type="dateBetween" evalOrder="-1" id="284" name="Date">
      <autoFilter ref="A1">
        <filterColumn colId="0">
          <customFilters and="1">
            <customFilter operator="greaterThanOrEqual" val="40544"/>
            <customFilter operator="lessThanOrEqual" val="40755"/>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8E175B7C-FDEA-4EDD-BD08-1B7CED3E4518}" name="PivotTable 2"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1" rowHeaderCaption="Hours">
  <location ref="H8:K33" firstHeaderRow="0" firstDataRow="1" firstDataCol="1"/>
  <pivotFields count="23">
    <pivotField showAll="0"/>
    <pivotField numFmtId="14"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showAll="0"/>
    <pivotField showAll="0"/>
    <pivotField showAll="0"/>
    <pivotField axis="axisRow" showAll="0">
      <items count="25">
        <item x="0"/>
        <item x="1"/>
        <item x="2"/>
        <item x="3"/>
        <item x="4"/>
        <item x="5"/>
        <item x="6"/>
        <item x="7"/>
        <item x="8"/>
        <item x="9"/>
        <item x="10"/>
        <item x="11"/>
        <item x="12"/>
        <item x="13"/>
        <item x="14"/>
        <item x="15"/>
        <item x="16"/>
        <item x="17"/>
        <item x="18"/>
        <item x="19"/>
        <item x="20"/>
        <item x="21"/>
        <item x="22"/>
        <item x="23"/>
        <item t="default"/>
      </items>
    </pivotField>
    <pivotField showAll="0">
      <items count="3">
        <item x="0"/>
        <item x="1"/>
        <item t="default"/>
      </items>
    </pivotField>
    <pivotField showAll="0"/>
    <pivotField showAll="0">
      <items count="3">
        <item x="1"/>
        <item x="0"/>
        <item t="default"/>
      </items>
    </pivotField>
    <pivotField showAll="0"/>
    <pivotField showAll="0">
      <items count="8">
        <item x="0"/>
        <item x="1"/>
        <item x="2"/>
        <item x="3"/>
        <item x="4"/>
        <item x="5"/>
        <item x="6"/>
        <item t="default"/>
      </items>
    </pivotField>
    <pivotField showAll="0"/>
    <pivotField showAll="0"/>
    <pivotField showAll="0"/>
    <pivotField dataField="1" showAll="0"/>
    <pivotField dataField="1" showAll="0"/>
    <pivotField dataField="1" showAll="0"/>
    <pivotField showAll="0">
      <items count="5">
        <item x="0"/>
        <item x="1"/>
        <item x="3"/>
        <item x="2"/>
        <item t="default"/>
      </items>
    </pivotField>
    <pivotField showAll="0">
      <items count="8">
        <item x="1"/>
        <item x="2"/>
        <item x="3"/>
        <item x="4"/>
        <item x="5"/>
        <item x="6"/>
        <item x="0"/>
        <item t="default"/>
      </items>
    </pivotField>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5"/>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Fields count="1">
    <field x="-2"/>
  </colFields>
  <colItems count="3">
    <i>
      <x/>
    </i>
    <i i="1">
      <x v="1"/>
    </i>
    <i i="2">
      <x v="2"/>
    </i>
  </colItems>
  <dataFields count="3">
    <dataField name="Average of Casual_Rentals" fld="14" subtotal="average" baseField="5" baseItem="0"/>
    <dataField name="Average of Registered_Rentals" fld="15" subtotal="average" baseField="5" baseItem="0"/>
    <dataField name="Average of Total_Rentals" fld="16" subtotal="average" baseField="5" baseItem="9"/>
  </dataFields>
  <conditionalFormats count="1">
    <conditionalFormat priority="2">
      <pivotAreas count="1">
        <pivotArea type="data" collapsedLevelsAreSubtotals="1" fieldPosition="0">
          <references count="2">
            <reference field="4294967294" count="1" selected="0">
              <x v="2"/>
            </reference>
            <reference field="5" count="24">
              <x v="0"/>
              <x v="1"/>
              <x v="2"/>
              <x v="3"/>
              <x v="4"/>
              <x v="5"/>
              <x v="6"/>
              <x v="7"/>
              <x v="8"/>
              <x v="9"/>
              <x v="10"/>
              <x v="11"/>
              <x v="12"/>
              <x v="13"/>
              <x v="14"/>
              <x v="15"/>
              <x v="16"/>
              <x v="17"/>
              <x v="18"/>
              <x v="19"/>
              <x v="20"/>
              <x v="21"/>
              <x v="22"/>
              <x v="23"/>
            </reference>
          </references>
        </pivotArea>
      </pivotAreas>
    </conditionalFormat>
  </conditionalFormats>
  <chartFormats count="12">
    <chartFormat chart="7" format="0"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1"/>
          </reference>
        </references>
      </pivotArea>
    </chartFormat>
    <chartFormat chart="13" format="5" series="1">
      <pivotArea type="data" outline="0" fieldPosition="0">
        <references count="1">
          <reference field="4294967294" count="1" selected="0">
            <x v="0"/>
          </reference>
        </references>
      </pivotArea>
    </chartFormat>
    <chartFormat chart="13" format="6" series="1">
      <pivotArea type="data" outline="0" fieldPosition="0">
        <references count="1">
          <reference field="4294967294" count="1" selected="0">
            <x v="1"/>
          </reference>
        </references>
      </pivotArea>
    </chartFormat>
    <chartFormat chart="13" format="7" series="1">
      <pivotArea type="data" outline="0" fieldPosition="0">
        <references count="1">
          <reference field="4294967294" count="1" selected="0">
            <x v="2"/>
          </reference>
        </references>
      </pivotArea>
    </chartFormat>
    <chartFormat chart="7" format="3" series="1">
      <pivotArea type="data" outline="0" fieldPosition="0">
        <references count="1">
          <reference field="4294967294" count="1" selected="0">
            <x v="2"/>
          </reference>
        </references>
      </pivotArea>
    </chartFormat>
    <chartFormat chart="35" format="12" series="1">
      <pivotArea type="data" outline="0" fieldPosition="0">
        <references count="1">
          <reference field="4294967294" count="1" selected="0">
            <x v="0"/>
          </reference>
        </references>
      </pivotArea>
    </chartFormat>
    <chartFormat chart="35" format="13" series="1">
      <pivotArea type="data" outline="0" fieldPosition="0">
        <references count="1">
          <reference field="4294967294" count="1" selected="0">
            <x v="1"/>
          </reference>
        </references>
      </pivotArea>
    </chartFormat>
    <chartFormat chart="35" format="14" series="1">
      <pivotArea type="data" outline="0" fieldPosition="0">
        <references count="1">
          <reference field="4294967294" count="1" selected="0">
            <x v="2"/>
          </reference>
        </references>
      </pivotArea>
    </chartFormat>
    <chartFormat chart="38" format="18" series="1">
      <pivotArea type="data" outline="0" fieldPosition="0">
        <references count="1">
          <reference field="4294967294" count="1" selected="0">
            <x v="0"/>
          </reference>
        </references>
      </pivotArea>
    </chartFormat>
    <chartFormat chart="38" format="19" series="1">
      <pivotArea type="data" outline="0" fieldPosition="0">
        <references count="1">
          <reference field="4294967294" count="1" selected="0">
            <x v="1"/>
          </reference>
        </references>
      </pivotArea>
    </chartFormat>
    <chartFormat chart="38" format="20"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filters count="1">
    <filter fld="1" type="dateBetween" evalOrder="-1" id="284" name="Date">
      <autoFilter ref="A1">
        <filterColumn colId="0">
          <customFilters and="1">
            <customFilter operator="greaterThanOrEqual" val="40544"/>
            <customFilter operator="lessThanOrEqual" val="40755"/>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F03B501A-50AA-49A9-83CD-5614A50DD2FE}" name="PivotTable6"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rowHeaderCaption="Temperature" colHeaderCaption="Humidity">
  <location ref="C87:H94" firstHeaderRow="1" firstDataRow="2" firstDataCol="1"/>
  <pivotFields count="23">
    <pivotField showAll="0"/>
    <pivotField numFmtId="14"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showAll="0"/>
    <pivotField showAll="0"/>
    <pivotField showAll="0"/>
    <pivotField showAll="0"/>
    <pivotField showAll="0">
      <items count="3">
        <item x="0"/>
        <item x="1"/>
        <item t="default"/>
      </items>
    </pivotField>
    <pivotField showAll="0"/>
    <pivotField showAll="0">
      <items count="3">
        <item x="1"/>
        <item x="0"/>
        <item t="default"/>
      </items>
    </pivotField>
    <pivotField showAll="0"/>
    <pivotField axis="axisRow" showAll="0">
      <items count="8">
        <item x="0"/>
        <item x="1"/>
        <item x="2"/>
        <item x="3"/>
        <item x="4"/>
        <item x="5"/>
        <item x="6"/>
        <item t="default"/>
      </items>
    </pivotField>
    <pivotField showAll="0"/>
    <pivotField axis="axisCol" showAll="0">
      <items count="8">
        <item x="0"/>
        <item x="1"/>
        <item x="2"/>
        <item x="3"/>
        <item x="4"/>
        <item x="5"/>
        <item x="6"/>
        <item t="default"/>
      </items>
    </pivotField>
    <pivotField showAll="0"/>
    <pivotField showAll="0"/>
    <pivotField showAll="0"/>
    <pivotField dataField="1" showAll="0"/>
    <pivotField showAll="0">
      <items count="5">
        <item x="0"/>
        <item x="1"/>
        <item x="3"/>
        <item x="2"/>
        <item t="default"/>
      </items>
    </pivotField>
    <pivotField showAll="0">
      <items count="8">
        <item x="1"/>
        <item x="2"/>
        <item x="3"/>
        <item x="4"/>
        <item x="5"/>
        <item x="6"/>
        <item x="0"/>
        <item t="default"/>
      </items>
    </pivotField>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0"/>
  </rowFields>
  <rowItems count="6">
    <i>
      <x v="1"/>
    </i>
    <i>
      <x v="2"/>
    </i>
    <i>
      <x v="3"/>
    </i>
    <i>
      <x v="4"/>
    </i>
    <i>
      <x v="5"/>
    </i>
    <i t="grand">
      <x/>
    </i>
  </rowItems>
  <colFields count="1">
    <field x="12"/>
  </colFields>
  <colItems count="5">
    <i>
      <x v="2"/>
    </i>
    <i>
      <x v="3"/>
    </i>
    <i>
      <x v="4"/>
    </i>
    <i>
      <x v="5"/>
    </i>
    <i t="grand">
      <x/>
    </i>
  </colItems>
  <dataFields count="1">
    <dataField name="Temp" fld="16" subtotal="average" baseField="10" baseItem="1"/>
  </dataFields>
  <pivotTableStyleInfo name="PivotStyleLight16" showRowHeaders="1" showColHeaders="1" showRowStripes="0" showColStripes="0" showLastColumn="1"/>
  <filters count="1">
    <filter fld="1" type="dateBetween" evalOrder="-1" id="284" name="Date">
      <autoFilter ref="A1">
        <filterColumn colId="0">
          <customFilters and="1">
            <customFilter operator="greaterThanOrEqual" val="40544"/>
            <customFilter operator="lessThanOrEqual" val="40755"/>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659F3100-F5D7-481E-8701-B1978869AEEE}" autoFormatId="16" applyNumberFormats="0" applyBorderFormats="0" applyFontFormats="0" applyPatternFormats="0" applyAlignmentFormats="0" applyWidthHeightFormats="0">
  <queryTableRefresh nextId="11">
    <queryTableFields count="10">
      <queryTableField id="1" name="instant" tableColumnId="11"/>
      <queryTableField id="2" name="dteday" tableColumnId="2"/>
      <queryTableField id="3" name="season" tableColumnId="3"/>
      <queryTableField id="4" name="yr" tableColumnId="4"/>
      <queryTableField id="5" name="mnth" tableColumnId="5"/>
      <queryTableField id="6" name="hr" tableColumnId="6"/>
      <queryTableField id="7" name="holiday" tableColumnId="7"/>
      <queryTableField id="8" name="weekday" tableColumnId="8"/>
      <queryTableField id="9" name="weathersit" tableColumnId="9"/>
      <queryTableField id="10" name="temp" tableColumnId="10"/>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2" xr16:uid="{38824C1D-A5E0-4723-ADE7-581C53C1CC01}" autoFormatId="16" applyNumberFormats="0" applyBorderFormats="0" applyFontFormats="0" applyPatternFormats="0" applyAlignmentFormats="0" applyWidthHeightFormats="0">
  <queryTableRefresh nextId="8">
    <queryTableFields count="7">
      <queryTableField id="1" name="instant" tableColumnId="8"/>
      <queryTableField id="2" name="atemp" tableColumnId="2"/>
      <queryTableField id="3" name="hum" tableColumnId="3"/>
      <queryTableField id="4" name="windspeed" tableColumnId="4"/>
      <queryTableField id="5" name="casual" tableColumnId="5"/>
      <queryTableField id="6" name="registered" tableColumnId="6"/>
      <queryTableField id="7" name="cnt" tableColumnId="7"/>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connectionId="3" xr16:uid="{830C23A1-0165-48E2-BFED-5FD2B1342B52}" autoFormatId="16" applyNumberFormats="0" applyBorderFormats="0" applyFontFormats="0" applyPatternFormats="0" applyAlignmentFormats="0" applyWidthHeightFormats="0">
  <queryTableRefresh nextId="19">
    <queryTableFields count="16">
      <queryTableField id="1" name="Record_ID" tableColumnId="17"/>
      <queryTableField id="2" name="Date" tableColumnId="2"/>
      <queryTableField id="3" name="Season_Code" tableColumnId="3"/>
      <queryTableField id="4" name="Year" tableColumnId="4"/>
      <queryTableField id="5" name="Month" tableColumnId="5"/>
      <queryTableField id="6" name="Hour" tableColumnId="6"/>
      <queryTableField id="7" name="Is_Holiday" tableColumnId="7"/>
      <queryTableField id="8" name="Day_Code" tableColumnId="8"/>
      <queryTableField id="9" name="Weather_Code" tableColumnId="9"/>
      <queryTableField id="10" name="Temperature" tableColumnId="10"/>
      <queryTableField id="17" name="Assumed_Temperature" tableColumnId="18"/>
      <queryTableField id="12" name="Humidity" tableColumnId="12"/>
      <queryTableField id="13" name="Wind_Speed" tableColumnId="13"/>
      <queryTableField id="14" name="Casual_Rentals" tableColumnId="14"/>
      <queryTableField id="15" name="Registered_Rentals" tableColumnId="15"/>
      <queryTableField id="16" name="Total_Rentals" tableColumnId="16"/>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1" connectionId="4" xr16:uid="{44345688-9C2C-46A7-B191-568357A285E9}" autoFormatId="16" applyNumberFormats="0" applyBorderFormats="0" applyFontFormats="0" applyPatternFormats="0" applyAlignmentFormats="0" applyWidthHeightFormats="0">
  <queryTableRefresh nextId="19">
    <queryTableFields count="16">
      <queryTableField id="1" name="Record_ID" tableColumnId="17"/>
      <queryTableField id="2" name="Date" tableColumnId="2"/>
      <queryTableField id="3" name="Season_Code" tableColumnId="3"/>
      <queryTableField id="4" name="Year" tableColumnId="4"/>
      <queryTableField id="5" name="Month" tableColumnId="5"/>
      <queryTableField id="6" name="Hour" tableColumnId="6"/>
      <queryTableField id="7" name="Is_Holiday" tableColumnId="7"/>
      <queryTableField id="8" name="Day_Code" tableColumnId="8"/>
      <queryTableField id="9" name="Weather_Code" tableColumnId="9"/>
      <queryTableField id="10" name="Temperature" tableColumnId="10"/>
      <queryTableField id="17" name="Assumed_Temperature" tableColumnId="18"/>
      <queryTableField id="12" name="Humidity" tableColumnId="12"/>
      <queryTableField id="13" name="Wind_Speed" tableColumnId="13"/>
      <queryTableField id="14" name="Casual_Rentals" tableColumnId="14"/>
      <queryTableField id="15" name="Registered_Rentals" tableColumnId="15"/>
      <queryTableField id="16" name="Total_Rentals" tableColumnId="16"/>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1" connectionId="5" xr16:uid="{CB44AC65-B158-4771-ADD3-E3252DE1FF04}" autoFormatId="16" applyNumberFormats="0" applyBorderFormats="0" applyFontFormats="0" applyPatternFormats="0" applyAlignmentFormats="0" applyWidthHeightFormats="0">
  <queryTableRefresh nextId="24" unboundColumnsRight="4">
    <queryTableFields count="21">
      <queryTableField id="1" name="Record_ID" tableColumnId="17"/>
      <queryTableField id="2" name="Date" tableColumnId="2"/>
      <queryTableField id="3" name="Season_Code" tableColumnId="3"/>
      <queryTableField id="4" name="Year" tableColumnId="4"/>
      <queryTableField id="5" name="Month" tableColumnId="5"/>
      <queryTableField id="6" name="Hour" tableColumnId="6"/>
      <queryTableField id="7" name="Is_Holiday" tableColumnId="7"/>
      <queryTableField id="8" name="Day_Code" tableColumnId="8"/>
      <queryTableField id="19" dataBound="0" tableColumnId="20"/>
      <queryTableField id="9" name="Weather_Code" tableColumnId="9"/>
      <queryTableField id="10" name="Temperature" tableColumnId="10"/>
      <queryTableField id="22" name="Assumed_Temperature" tableColumnId="24"/>
      <queryTableField id="12" name="Humidity" tableColumnId="12"/>
      <queryTableField id="13" name="Wind_Speed" tableColumnId="13"/>
      <queryTableField id="14" name="Casual_Rentals" tableColumnId="14"/>
      <queryTableField id="15" name="Registered_Rentals" tableColumnId="15"/>
      <queryTableField id="16" name="Total_Rentals" tableColumnId="19"/>
      <queryTableField id="17" dataBound="0" tableColumnId="18"/>
      <queryTableField id="20" dataBound="0" tableColumnId="22"/>
      <queryTableField id="21" dataBound="0" tableColumnId="23"/>
      <queryTableField id="18" dataBound="0" tableColumnId="16"/>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y_Type1" xr10:uid="{AE4BDA9D-50EF-44F1-B0CE-98D55562E48F}" sourceName="Day_Type">
  <pivotTables>
    <pivotTable tabId="6" name="PivotTable3"/>
    <pivotTable tabId="6" name="PivotTable 2"/>
    <pivotTable tabId="6" name="PivotTable9"/>
    <pivotTable tabId="6" name="PivotTable 10"/>
    <pivotTable tabId="6" name="PivotTable 4"/>
    <pivotTable tabId="6" name="PivotTable 5"/>
    <pivotTable tabId="6" name="PivotTable 6"/>
    <pivotTable tabId="6" name="PivotTable 8"/>
    <pivotTable tabId="6" name="PivotTable2"/>
    <pivotTable tabId="6" name="PivotTable5"/>
    <pivotTable tabId="6" name="PivotTable6"/>
    <pivotTable tabId="6" name="PivotTable8"/>
    <pivotTable tabId="6" name="PivotTable7"/>
  </pivotTables>
  <data>
    <tabular pivotCacheId="939723136">
      <items count="2">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s_Holiday1" xr10:uid="{C37B4F43-01B5-422E-BD5B-9CD6587381C1}" sourceName="Is_Holiday">
  <pivotTables>
    <pivotTable tabId="6" name="PivotTable3"/>
    <pivotTable tabId="6" name="PivotTable 10"/>
    <pivotTable tabId="6" name="PivotTable 2"/>
    <pivotTable tabId="6" name="PivotTable 4"/>
    <pivotTable tabId="6" name="PivotTable 5"/>
    <pivotTable tabId="6" name="PivotTable 6"/>
    <pivotTable tabId="6" name="PivotTable 8"/>
    <pivotTable tabId="6" name="PivotTable2"/>
    <pivotTable tabId="6" name="PivotTable5"/>
    <pivotTable tabId="6" name="PivotTable6"/>
    <pivotTable tabId="6" name="PivotTable8"/>
    <pivotTable tabId="6" name="PivotTable9"/>
    <pivotTable tabId="6" name="PivotTable7"/>
  </pivotTables>
  <data>
    <tabular pivotCacheId="939723136">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emperature1" xr10:uid="{20C59900-6401-4E67-AE34-6B8883FD0CE8}" sourceName="Temperature">
  <pivotTables>
    <pivotTable tabId="6" name="PivotTable3"/>
    <pivotTable tabId="6" name="PivotTable 10"/>
    <pivotTable tabId="6" name="PivotTable 2"/>
    <pivotTable tabId="6" name="PivotTable 4"/>
    <pivotTable tabId="6" name="PivotTable 5"/>
    <pivotTable tabId="6" name="PivotTable 6"/>
    <pivotTable tabId="6" name="PivotTable 8"/>
    <pivotTable tabId="6" name="PivotTable10"/>
    <pivotTable tabId="6" name="PivotTable2"/>
    <pivotTable tabId="6" name="PivotTable5"/>
    <pivotTable tabId="6" name="PivotTable6"/>
    <pivotTable tabId="6" name="PivotTable7"/>
    <pivotTable tabId="6" name="PivotTable8"/>
    <pivotTable tabId="6" name="PivotTable9"/>
  </pivotTables>
  <data>
    <tabular pivotCacheId="939723136">
      <items count="7">
        <i x="2" s="1"/>
        <i x="3" s="1"/>
        <i x="4" s="1"/>
        <i x="5" s="1"/>
        <i x="1" s="1"/>
        <i x="0" s="1" nd="1"/>
        <i x="6" s="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y_Name1" xr10:uid="{488ED28D-580B-46AC-8A31-950196589E94}" sourceName="Day_Name">
  <pivotTables>
    <pivotTable tabId="6" name="PivotTable3"/>
    <pivotTable tabId="6" name="PivotTable 10"/>
    <pivotTable tabId="6" name="PivotTable 2"/>
    <pivotTable tabId="6" name="PivotTable 4"/>
    <pivotTable tabId="6" name="PivotTable 6"/>
    <pivotTable tabId="6" name="PivotTable 8"/>
    <pivotTable tabId="6" name="PivotTable2"/>
    <pivotTable tabId="6" name="PivotTable6"/>
    <pivotTable tabId="6" name="PivotTable8"/>
    <pivotTable tabId="6" name="PivotTable9"/>
    <pivotTable tabId="6" name="PivotTable 5"/>
    <pivotTable tabId="6" name="PivotTable5"/>
    <pivotTable tabId="6" name="PivotTable7"/>
  </pivotTables>
  <data>
    <tabular pivotCacheId="939723136">
      <items count="7">
        <i x="1" s="1"/>
        <i x="2" s="1"/>
        <i x="3" s="1"/>
        <i x="4" s="1"/>
        <i x="5" s="1"/>
        <i x="6" s="1"/>
        <i x="0"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ather_Description" xr10:uid="{1EA6B146-8039-4981-8E9E-3C8BEA72EB31}" sourceName="Weather_Description">
  <pivotTables>
    <pivotTable tabId="6" name="PivotTable3"/>
    <pivotTable tabId="6" name="PivotTable 10"/>
    <pivotTable tabId="6" name="PivotTable 2"/>
    <pivotTable tabId="6" name="PivotTable 4"/>
    <pivotTable tabId="6" name="PivotTable 5"/>
    <pivotTable tabId="6" name="PivotTable 6"/>
    <pivotTable tabId="6" name="PivotTable 8"/>
    <pivotTable tabId="6" name="PivotTable2"/>
    <pivotTable tabId="6" name="PivotTable5"/>
    <pivotTable tabId="6" name="PivotTable6"/>
    <pivotTable tabId="6" name="PivotTable8"/>
    <pivotTable tabId="6" name="PivotTable9"/>
    <pivotTable tabId="6" name="PivotTable7"/>
  </pivotTables>
  <data>
    <tabular pivotCacheId="939723136">
      <items count="4">
        <i x="0" s="1"/>
        <i x="1" s="1"/>
        <i x="3"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y_Type 1" xr10:uid="{56618554-0DCE-4789-B6B4-1B71BE93A05F}" cache="Slicer_Day_Type1" caption="Day_Type" columnCount="2" rowHeight="245835"/>
  <slicer name="Is_Holiday 1" xr10:uid="{E54B639D-A35A-4D69-A861-E820252CF69E}" cache="Slicer_Is_Holiday1" caption="Is_Holiday" columnCount="2" rowHeight="245835"/>
  <slicer name="Temperature 1" xr10:uid="{0EAFD4ED-DBC4-4FD7-9311-DBF9474DF559}" cache="Slicer_Temperature1" caption="Temperature" columnCount="2" rowHeight="245835"/>
  <slicer name="Day_Name 1" xr10:uid="{556275C5-2E1E-4665-A4BB-78424F4E4A1C}" cache="Slicer_Day_Name1" caption="Day_Name" columnCount="2" rowHeight="245835"/>
  <slicer name="Weather_Description" xr10:uid="{67B4DDAD-FD90-42D2-8A4D-C0D1EBE1B113}" cache="Slicer_Weather_Description" caption="Weather_Description" columnCount="2" rowHeight="245835"/>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CBDE175-4948-41E5-BE8D-6E5A46FCE879}" name="Cleaned_dataset1" displayName="Cleaned_dataset1" ref="A1:J611" tableType="queryTable">
  <autoFilter ref="A1:J611" xr:uid="{ACBDE175-4948-41E5-BE8D-6E5A46FCE879}"/>
  <tableColumns count="10">
    <tableColumn id="11" xr3:uid="{22AE9BAC-0415-4A1F-A6DA-9DA20DF66F8B}" uniqueName="11" name="instant" totalsRowLabel="Total" queryTableFieldId="1"/>
    <tableColumn id="2" xr3:uid="{17AF98F1-1E0B-4A57-AA97-BDA547A26899}" uniqueName="2" name="dteday" queryTableFieldId="2" dataDxfId="38"/>
    <tableColumn id="3" xr3:uid="{B473BC33-3DAC-47FA-9BD4-B3D7D7C50C2F}" uniqueName="3" name="season" queryTableFieldId="3"/>
    <tableColumn id="4" xr3:uid="{467A5824-CF24-4C1B-AE12-1CF33E271C66}" uniqueName="4" name="yr" queryTableFieldId="4"/>
    <tableColumn id="5" xr3:uid="{BF54D9BB-80C4-49BB-AD51-7576FA5BB78C}" uniqueName="5" name="mnth" queryTableFieldId="5"/>
    <tableColumn id="6" xr3:uid="{EAA34E49-5951-4F98-B90E-24E851685833}" uniqueName="6" name="hr" queryTableFieldId="6"/>
    <tableColumn id="7" xr3:uid="{E09C6537-B656-487F-A6F6-7CDF6FBAED6A}" uniqueName="7" name="holiday" queryTableFieldId="7"/>
    <tableColumn id="8" xr3:uid="{FEFB9CA2-E0A2-40C9-AF43-DCB0F866C87B}" uniqueName="8" name="weekday" queryTableFieldId="8"/>
    <tableColumn id="9" xr3:uid="{A1D07FD8-8684-488C-A718-1986C0AA5E53}" uniqueName="9" name="weathersit" queryTableFieldId="9"/>
    <tableColumn id="10" xr3:uid="{9600613F-4A92-429B-84A1-42C7A68E1EEB}" uniqueName="10" name="temp" totalsRowFunction="sum" queryTableFieldId="10"/>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5B4A8EF-A8F4-4AE7-A85C-1ED1259FF6AA}" name="Cleaned_dataset2" displayName="Cleaned_dataset2" ref="A1:G611" tableType="queryTable" totalsRowShown="0">
  <autoFilter ref="A1:G611" xr:uid="{A5B4A8EF-A8F4-4AE7-A85C-1ED1259FF6AA}"/>
  <tableColumns count="7">
    <tableColumn id="8" xr3:uid="{3F76F290-D2B7-45EE-AF2A-A10F6EC43BF5}" uniqueName="8" name="instant" queryTableFieldId="1"/>
    <tableColumn id="2" xr3:uid="{CFAF9A37-99CC-46F6-A4B1-ACA75E16CBD6}" uniqueName="2" name="atemp" queryTableFieldId="2"/>
    <tableColumn id="3" xr3:uid="{BBAEB0A6-8F55-4B53-8300-A7843F022C7D}" uniqueName="3" name="hum" queryTableFieldId="3"/>
    <tableColumn id="4" xr3:uid="{1871C623-F960-4365-83DC-F2CE40ADA5D7}" uniqueName="4" name="windspeed" queryTableFieldId="4"/>
    <tableColumn id="5" xr3:uid="{8BE5F2E5-4ECA-4A3B-B2A0-85A7EAE095BC}" uniqueName="5" name="casual" queryTableFieldId="5"/>
    <tableColumn id="6" xr3:uid="{415EA81E-6195-4C35-829B-C955806AAAB4}" uniqueName="6" name="registered" queryTableFieldId="6"/>
    <tableColumn id="7" xr3:uid="{4DDE5155-5287-4DA9-A4B7-AC2A65877EB8}" uniqueName="7" name="cnt" queryTableFieldId="7"/>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7F77A91E-098A-48BF-A347-A3DDD8CB92BB}" name="Cleaned_dataset3" displayName="Cleaned_dataset3" ref="A1:P391" tableType="queryTable" totalsRowShown="0">
  <autoFilter ref="A1:P391" xr:uid="{7F77A91E-098A-48BF-A347-A3DDD8CB92BB}"/>
  <tableColumns count="16">
    <tableColumn id="17" xr3:uid="{EF9017E6-C086-48FC-9AFF-BC8689BB81CE}" uniqueName="17" name="Record_ID" queryTableFieldId="1"/>
    <tableColumn id="2" xr3:uid="{A0FD17BC-CBCD-4666-A7BB-822B5B39E96A}" uniqueName="2" name="Date" queryTableFieldId="2" dataDxfId="37"/>
    <tableColumn id="3" xr3:uid="{20B8BF5C-4AA4-4DFF-9B75-932902AEADB2}" uniqueName="3" name="Season_Code" queryTableFieldId="3"/>
    <tableColumn id="4" xr3:uid="{085D2F0D-7DC6-4CBB-A516-F0A796D99853}" uniqueName="4" name="Year" queryTableFieldId="4"/>
    <tableColumn id="5" xr3:uid="{4A381230-6B2C-4F33-9965-6FF74877A6BF}" uniqueName="5" name="Month" queryTableFieldId="5"/>
    <tableColumn id="6" xr3:uid="{326E2C63-E6AA-41AD-AEC7-065924E6D062}" uniqueName="6" name="Hour" queryTableFieldId="6"/>
    <tableColumn id="7" xr3:uid="{6B1A4D84-48CD-4A6E-A26C-57EA4ADD1D0D}" uniqueName="7" name="Is_Holiday" queryTableFieldId="7"/>
    <tableColumn id="8" xr3:uid="{75F90C40-F6CF-4A7B-A9B7-633006683C1B}" uniqueName="8" name="Day_Code" queryTableFieldId="8"/>
    <tableColumn id="9" xr3:uid="{3FB7DDB0-6130-4BF4-A5F8-10189F03CF20}" uniqueName="9" name="Weather_Code" queryTableFieldId="9"/>
    <tableColumn id="10" xr3:uid="{6C092ECD-280B-4382-B76A-D4D2C3434E00}" uniqueName="10" name="Temperature" queryTableFieldId="10"/>
    <tableColumn id="18" xr3:uid="{41F7F526-58CA-4389-96CC-91F593AE8F30}" uniqueName="18" name="Assumed_Temperature" queryTableFieldId="17"/>
    <tableColumn id="12" xr3:uid="{D8C51E75-B605-40F9-A7C2-C6CD1F6D4B94}" uniqueName="12" name="Humidity" queryTableFieldId="12"/>
    <tableColumn id="13" xr3:uid="{4C748729-0C5A-4E8A-B5CF-39616A6EABF5}" uniqueName="13" name="Wind_Speed" queryTableFieldId="13"/>
    <tableColumn id="14" xr3:uid="{3A181D56-DA57-455D-8834-D4020E5C85CC}" uniqueName="14" name="Casual_Rentals" queryTableFieldId="14"/>
    <tableColumn id="15" xr3:uid="{5CCBEFA7-781A-47B4-8864-EAC83D5F5886}" uniqueName="15" name="Registered_Rentals" queryTableFieldId="15"/>
    <tableColumn id="16" xr3:uid="{46EF2BE3-43CC-4E43-81CF-5F8D7869AC43}" uniqueName="16" name="Total_Rentals" queryTableFieldId="16"/>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1E4ED6F8-CD17-4C2B-8197-CCFB15577153}" name="Cleaned_datasetA" displayName="Cleaned_datasetA" ref="A1:P611" tableType="queryTable" totalsRowShown="0">
  <autoFilter ref="A1:P611" xr:uid="{1E4ED6F8-CD17-4C2B-8197-CCFB15577153}"/>
  <tableColumns count="16">
    <tableColumn id="17" xr3:uid="{34CBDB32-BD1C-47D7-8A45-60FFBCC24562}" uniqueName="17" name="Record_ID" queryTableFieldId="1"/>
    <tableColumn id="2" xr3:uid="{9D0D2C99-D4BA-47B0-91DF-A4D59F32916F}" uniqueName="2" name="Date" queryTableFieldId="2" dataDxfId="36"/>
    <tableColumn id="3" xr3:uid="{0C84FECA-E720-4C95-A906-AF99FC7E1181}" uniqueName="3" name="Season_Code" queryTableFieldId="3"/>
    <tableColumn id="4" xr3:uid="{D45157BB-418E-426F-AD62-7E12EFFA25BD}" uniqueName="4" name="Year" queryTableFieldId="4"/>
    <tableColumn id="5" xr3:uid="{55D1A0C1-515D-43F5-BFFD-F0341EAC976A}" uniqueName="5" name="Month" queryTableFieldId="5"/>
    <tableColumn id="6" xr3:uid="{02D3896D-93CD-4530-BCCD-86EA5FB1006F}" uniqueName="6" name="Hour" queryTableFieldId="6"/>
    <tableColumn id="7" xr3:uid="{E1AAF6E1-E043-49BD-B982-EAD33CD03EF3}" uniqueName="7" name="Is_Holiday" queryTableFieldId="7"/>
    <tableColumn id="8" xr3:uid="{22255823-56A3-4004-85F9-0DD4531916E4}" uniqueName="8" name="Day_Code" queryTableFieldId="8"/>
    <tableColumn id="9" xr3:uid="{DA09BCAF-BC68-46FD-B12C-324BA1022FF7}" uniqueName="9" name="Weather_Code" queryTableFieldId="9"/>
    <tableColumn id="10" xr3:uid="{661BCA15-C262-4A9A-92A3-6E6396EEE97F}" uniqueName="10" name="Temperature" queryTableFieldId="10"/>
    <tableColumn id="18" xr3:uid="{F19001D0-D1D7-403E-A031-980187E69182}" uniqueName="18" name="Assumed_Temperature" queryTableFieldId="17"/>
    <tableColumn id="12" xr3:uid="{53A2EF1B-263A-45D5-9C94-2715EA1ED0A2}" uniqueName="12" name="Humidity" queryTableFieldId="12"/>
    <tableColumn id="13" xr3:uid="{F4A90B1A-7804-404B-B934-E4FFD48EB419}" uniqueName="13" name="Wind_Speed" queryTableFieldId="13"/>
    <tableColumn id="14" xr3:uid="{DCD0BE53-E423-4467-9079-E3ED999ED6AA}" uniqueName="14" name="Casual_Rentals" queryTableFieldId="14"/>
    <tableColumn id="15" xr3:uid="{A8992C3E-7E6B-44A0-9461-26C4A31BB257}" uniqueName="15" name="Registered_Rentals" queryTableFieldId="15"/>
    <tableColumn id="16" xr3:uid="{CB971261-CC6D-4942-A22F-94B230388C8D}" uniqueName="16" name="Total_Rentals" queryTableFieldId="16"/>
  </tableColumns>
  <tableStyleInfo name="TableStyleLight1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160FBA59-E92E-474B-8DFC-C558C1321FD4}" name="Cleaned_datasetB" displayName="Cleaned_datasetB" ref="A1:U1001" tableType="queryTable" totalsRowShown="0" headerRowDxfId="35" dataDxfId="34">
  <autoFilter ref="A1:U1001" xr:uid="{160FBA59-E92E-474B-8DFC-C558C1321FD4}"/>
  <tableColumns count="21">
    <tableColumn id="17" xr3:uid="{6C63D028-A7F7-401A-BC3C-6612B17C90B9}" uniqueName="17" name="Record_ID" queryTableFieldId="1" dataDxfId="33"/>
    <tableColumn id="2" xr3:uid="{E8B55EC6-7529-4E6E-87DB-ECF89E394E92}" uniqueName="2" name="Date" queryTableFieldId="2" dataDxfId="32"/>
    <tableColumn id="3" xr3:uid="{82CCF0DF-0CDE-4698-98F3-A8F182A24EA0}" uniqueName="3" name="Season_Code" queryTableFieldId="3" dataDxfId="31"/>
    <tableColumn id="4" xr3:uid="{3F1E5380-5164-4553-B1B1-F09B83B8A84D}" uniqueName="4" name="Year" queryTableFieldId="4" dataDxfId="30"/>
    <tableColumn id="5" xr3:uid="{BF277CAA-03CC-4DA6-BE43-9B37ACA3C3CB}" uniqueName="5" name="Month" queryTableFieldId="5" dataDxfId="29"/>
    <tableColumn id="6" xr3:uid="{C12FD77B-8369-407A-B4A8-A4DEC545F9A3}" uniqueName="6" name="Hour" queryTableFieldId="6" dataDxfId="28"/>
    <tableColumn id="7" xr3:uid="{F4B4FFC4-5AAE-40C5-82B5-C144EFE349CC}" uniqueName="7" name="Is_Holiday" queryTableFieldId="7" dataDxfId="27"/>
    <tableColumn id="8" xr3:uid="{6D5C74BE-F500-4726-B731-518F4B054C03}" uniqueName="8" name="Day_Code" queryTableFieldId="8" dataDxfId="26"/>
    <tableColumn id="20" xr3:uid="{11CF1F91-7037-469F-A8A3-5F3C68E29946}" uniqueName="20" name="Day_Type" queryTableFieldId="19" dataDxfId="25">
      <calculatedColumnFormula>IF(OR(Cleaned_datasetB[[#This Row],[Day_Code]]=0,Cleaned_datasetB[[#This Row],[Day_Code]]=6),"Weekend","Weekday")</calculatedColumnFormula>
    </tableColumn>
    <tableColumn id="9" xr3:uid="{C66A70B5-3F31-48B9-BA7C-876E866A9425}" uniqueName="9" name="Weather_Code" queryTableFieldId="9" dataDxfId="24"/>
    <tableColumn id="10" xr3:uid="{22B95801-5F1D-4A69-B129-C8B68FF801AC}" uniqueName="10" name="Temperature" queryTableFieldId="10" dataDxfId="23"/>
    <tableColumn id="24" xr3:uid="{661A5569-63CB-4274-A202-83A570D81B16}" uniqueName="24" name="Assumed_Temperature" queryTableFieldId="22"/>
    <tableColumn id="12" xr3:uid="{EEBF92BF-B1A3-425D-8DB9-EF6B7D69CE81}" uniqueName="12" name="Humidity" queryTableFieldId="12" dataDxfId="22"/>
    <tableColumn id="13" xr3:uid="{4EF259DF-DCE9-40CF-BB0A-B496AD926B0A}" uniqueName="13" name="Wind_Speed" queryTableFieldId="13" dataDxfId="21"/>
    <tableColumn id="14" xr3:uid="{0713326C-6993-4565-B371-678296839040}" uniqueName="14" name="Casual_Rentals" queryTableFieldId="14" dataDxfId="20"/>
    <tableColumn id="15" xr3:uid="{E7EC6A46-FFA7-4A73-AD18-5513D95098A9}" uniqueName="15" name="Registered_Rentals" queryTableFieldId="15" dataDxfId="19"/>
    <tableColumn id="19" xr3:uid="{D06C8310-5C47-449C-B927-3615C6F6A3C2}" uniqueName="19" name="Total_Rentals" queryTableFieldId="16" dataDxfId="18"/>
    <tableColumn id="18" xr3:uid="{97A9E566-F9A6-4374-9622-C39E4FF67D87}" uniqueName="18" name="Weather_Description" queryTableFieldId="17" dataDxfId="17">
      <calculatedColumnFormula>VLOOKUP(Cleaned_datasetB[[#This Row],[Weather_Code]],Lookup_Tables!$E$9:$F$13,2,FALSE)</calculatedColumnFormula>
    </tableColumn>
    <tableColumn id="22" xr3:uid="{80A97508-C8DB-421A-8EDD-20612C944674}" uniqueName="22" name="Day_Name" queryTableFieldId="20" dataDxfId="16">
      <calculatedColumnFormula>INDEX(Lookup_Tables!$I$10:$I$16,MATCH(Cleaned_datasetB[[#This Row],[Day_Code]],Lookup_Tables!$H$10:$H$16,0))</calculatedColumnFormula>
    </tableColumn>
    <tableColumn id="23" xr3:uid="{E3726BD5-8940-4FE2-9A58-3228064B4303}" uniqueName="23" name="Month_Name" queryTableFieldId="21" dataDxfId="15">
      <calculatedColumnFormula>VLOOKUP(Cleaned_datasetB[[#This Row],[Month]], Lookup_Tables!$K$8:$L$19, 2, FALSE)</calculatedColumnFormula>
    </tableColumn>
    <tableColumn id="16" xr3:uid="{6BEC500F-5F57-4E82-BD1B-470F0DDAC766}" uniqueName="16" name="Working_Day" queryTableFieldId="18" dataDxfId="14">
      <calculatedColumnFormula>IF(AND(Cleaned_datasetB[[#This Row],[Day_Type]]="Weekday",Cleaned_datasetB[[#This Row],[Is_Holiday]]=FALSE),"Working Day","Non-Working Day")</calculatedColumnFormula>
    </tableColumn>
  </tableColumns>
  <tableStyleInfo name="TableStyleLight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D3B55714-B372-4A1A-A338-5539F65FF6EA}" name="Table36" displayName="Table36" ref="G8:K74" totalsRowShown="0" headerRowDxfId="13" dataDxfId="12">
  <autoFilter ref="G8:K74" xr:uid="{D3B55714-B372-4A1A-A338-5539F65FF6EA}"/>
  <tableColumns count="5">
    <tableColumn id="1" xr3:uid="{E8FC9EED-3042-40C9-AC43-19FD0E8542DE}" name="Date" dataDxfId="11"/>
    <tableColumn id="2" xr3:uid="{0D5AD0CD-CB09-4DFE-B9DB-BA57A1FC6735}" name="Historical Trend" dataDxfId="10"/>
    <tableColumn id="3" xr3:uid="{10298850-6D38-4630-BDFC-C857AFD1375F}" name="Forecast">
      <calculatedColumnFormula>_xlfn.FORECAST.ETS(G9,$B$2:$B$53,$A$2:$A$53,1,1)</calculatedColumnFormula>
    </tableColumn>
    <tableColumn id="4" xr3:uid="{B33E178E-9194-4431-A934-3F79E1EC4AA8}" name="Lower Bound" dataDxfId="9">
      <calculatedColumnFormula>I9-_xlfn.FORECAST.ETS.CONFINT(G9,$B$2:$B$53,$A$2:$A$53,0.95,1,1)</calculatedColumnFormula>
    </tableColumn>
    <tableColumn id="5" xr3:uid="{0233CC9B-6E2F-477E-BB42-D5B38BEE7D23}" name="Upper Bound" dataDxfId="8">
      <calculatedColumnFormula>I9+_xlfn.FORECAST.ETS.CONFINT(G9,$B$2:$B$53,$A$2:$A$53,0.95,1,1)</calculatedColumnFormula>
    </tableColumn>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4479D95-9E71-4503-9B60-44DACFE1B5E6}" name="Table3" displayName="Table3" ref="A1:E67" totalsRowShown="0">
  <autoFilter ref="A1:E67" xr:uid="{F4479D95-9E71-4503-9B60-44DACFE1B5E6}"/>
  <tableColumns count="5">
    <tableColumn id="1" xr3:uid="{E4E5376D-3E31-485A-A04E-D2407E51A445}" name="Date" dataDxfId="7"/>
    <tableColumn id="2" xr3:uid="{869E40C6-21BA-4A68-9D1A-337E54F2068F}" name="Forecast Total"/>
    <tableColumn id="3" xr3:uid="{56572948-1772-4389-BD84-A2A64476CF51}" name="Forecast(Forecast Total)">
      <calculatedColumnFormula>_xlfn.FORECAST.ETS(A2,$B$2:$B$53,$A$2:$A$53,1,1)</calculatedColumnFormula>
    </tableColumn>
    <tableColumn id="4" xr3:uid="{CB931EA4-174D-4A15-854B-28AAF234DF92}" name="Lower Confidence Bound(Forecast Total)" dataDxfId="6">
      <calculatedColumnFormula>C2-_xlfn.FORECAST.ETS.CONFINT(A2,$B$2:$B$53,$A$2:$A$53,0.95,1,1)</calculatedColumnFormula>
    </tableColumn>
    <tableColumn id="5" xr3:uid="{28F31B47-61C0-4882-B1E0-EFA7537534FF}" name="Upper Confidence Bound(Forecast Total)" dataDxfId="5">
      <calculatedColumnFormula>C2+_xlfn.FORECAST.ETS.CONFINT(A2,$B$2:$B$53,$A$2:$A$53,0.95,1,1)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D6F39CCA-8A3B-4512-9700-C8D44E5065A7}" sourceName="Date">
  <pivotTables>
    <pivotTable tabId="6" name="PivotTable 10"/>
    <pivotTable tabId="6" name="PivotTable 2"/>
    <pivotTable tabId="6" name="PivotTable 4"/>
    <pivotTable tabId="6" name="PivotTable 5"/>
    <pivotTable tabId="6" name="PivotTable 6"/>
    <pivotTable tabId="6" name="PivotTable 8"/>
    <pivotTable tabId="6" name="PivotTable5"/>
    <pivotTable tabId="6" name="PivotTable6"/>
    <pivotTable tabId="6" name="PivotTable8"/>
    <pivotTable tabId="6" name="PivotTable9"/>
    <pivotTable tabId="6" name="PivotTable7"/>
    <pivotTable tabId="6" name="PivotTable3"/>
  </pivotTables>
  <state minimalRefreshVersion="6" lastRefreshVersion="6" pivotCacheId="939723136" filterType="dateBetween">
    <selection startDate="2011-01-01T00:00:00" endDate="2011-07-31T00:00:00"/>
    <bounds startDate="2011-01-01T00:00:00" endDate="2012-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979EC1DE-7E39-4C93-9FD0-4579AF528F21}" cache="NativeTimeline_Date" caption="Date" level="2" selectionLevel="2" scrollPosition="2011-01-01T00:00:00"/>
</timeline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rinterSettings" Target="../printerSettings/printerSettings7.bin"/><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8.bin"/></Relationships>
</file>

<file path=xl/worksheets/_rels/sheet11.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drawing" Target="../drawings/drawing3.xm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9.bin"/></Relationships>
</file>

<file path=xl/worksheets/_rels/sheet13.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5.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472A64-D234-463C-8B39-B77B9704D205}">
  <dimension ref="C2:M24"/>
  <sheetViews>
    <sheetView zoomScale="119" workbookViewId="0">
      <selection activeCell="E26" sqref="E26"/>
    </sheetView>
  </sheetViews>
  <sheetFormatPr defaultRowHeight="14.6"/>
  <cols>
    <col min="1" max="16384" width="9.23046875" style="80"/>
  </cols>
  <sheetData>
    <row r="2" spans="3:13" ht="15" thickBot="1">
      <c r="C2" s="92" t="s">
        <v>288</v>
      </c>
      <c r="D2" s="93"/>
      <c r="E2" s="93"/>
      <c r="F2" s="93"/>
      <c r="G2" s="93"/>
      <c r="H2" s="93"/>
      <c r="I2" s="93"/>
      <c r="J2" s="93"/>
      <c r="K2" s="93"/>
      <c r="L2" s="93"/>
      <c r="M2" s="93"/>
    </row>
    <row r="3" spans="3:13" ht="15.45" thickTop="1" thickBot="1">
      <c r="C3" s="93"/>
      <c r="D3" s="93"/>
      <c r="E3" s="93"/>
      <c r="F3" s="93"/>
      <c r="G3" s="93"/>
      <c r="H3" s="93"/>
      <c r="I3" s="93"/>
      <c r="J3" s="93"/>
      <c r="K3" s="93"/>
      <c r="L3" s="93"/>
      <c r="M3" s="93"/>
    </row>
    <row r="4" spans="3:13" ht="15" thickTop="1"/>
    <row r="5" spans="3:13" ht="19.75" thickBot="1">
      <c r="C5" s="91" t="s">
        <v>289</v>
      </c>
      <c r="D5" s="91"/>
      <c r="E5" s="91"/>
      <c r="F5" s="91"/>
    </row>
    <row r="6" spans="3:13" ht="14.6" customHeight="1" thickTop="1">
      <c r="C6" s="94" t="s">
        <v>290</v>
      </c>
      <c r="D6" s="94"/>
      <c r="E6" s="94"/>
      <c r="F6" s="94"/>
      <c r="G6" s="94"/>
      <c r="H6" s="94"/>
      <c r="I6" s="94"/>
      <c r="J6" s="94"/>
      <c r="K6" s="94"/>
      <c r="L6" s="94"/>
      <c r="M6" s="94"/>
    </row>
    <row r="7" spans="3:13">
      <c r="C7" s="94"/>
      <c r="D7" s="94"/>
      <c r="E7" s="94"/>
      <c r="F7" s="94"/>
      <c r="G7" s="94"/>
      <c r="H7" s="94"/>
      <c r="I7" s="94"/>
      <c r="J7" s="94"/>
      <c r="K7" s="94"/>
      <c r="L7" s="94"/>
      <c r="M7" s="94"/>
    </row>
    <row r="8" spans="3:13">
      <c r="C8" s="81"/>
      <c r="D8" s="81"/>
      <c r="E8" s="81"/>
      <c r="F8" s="81"/>
      <c r="G8" s="81"/>
      <c r="H8" s="81"/>
      <c r="I8" s="81"/>
      <c r="J8" s="81"/>
      <c r="K8" s="81"/>
      <c r="L8" s="81"/>
      <c r="M8" s="81"/>
    </row>
    <row r="9" spans="3:13" ht="19.75" thickBot="1">
      <c r="C9" s="91" t="s">
        <v>31</v>
      </c>
      <c r="D9" s="91"/>
      <c r="E9" s="91"/>
      <c r="F9" s="91"/>
    </row>
    <row r="10" spans="3:13" ht="15" thickTop="1">
      <c r="C10" s="95" t="s">
        <v>291</v>
      </c>
      <c r="D10" s="95"/>
      <c r="E10" s="95"/>
      <c r="F10" s="95"/>
      <c r="G10" s="95"/>
      <c r="H10" s="95"/>
      <c r="I10" s="95"/>
      <c r="J10" s="95"/>
      <c r="K10" s="95"/>
      <c r="L10" s="95"/>
      <c r="M10" s="95"/>
    </row>
    <row r="11" spans="3:13">
      <c r="C11" s="95"/>
      <c r="D11" s="95"/>
      <c r="E11" s="95"/>
      <c r="F11" s="95"/>
      <c r="G11" s="95"/>
      <c r="H11" s="95"/>
      <c r="I11" s="95"/>
      <c r="J11" s="95"/>
      <c r="K11" s="95"/>
      <c r="L11" s="95"/>
      <c r="M11" s="95"/>
    </row>
    <row r="13" spans="3:13" ht="19.75" thickBot="1">
      <c r="C13" s="91" t="s">
        <v>292</v>
      </c>
      <c r="D13" s="91"/>
      <c r="E13" s="91"/>
      <c r="F13" s="91"/>
    </row>
    <row r="14" spans="3:13" ht="15.45" thickTop="1" thickBot="1"/>
    <row r="15" spans="3:13" ht="15" thickBot="1">
      <c r="C15" s="89" t="s">
        <v>293</v>
      </c>
      <c r="D15" s="89"/>
      <c r="E15" s="89" t="s">
        <v>31</v>
      </c>
      <c r="F15" s="89"/>
      <c r="G15" s="89"/>
      <c r="H15" s="89"/>
      <c r="I15" s="89"/>
    </row>
    <row r="16" spans="3:13" ht="15" thickBot="1">
      <c r="C16" s="90" t="s">
        <v>294</v>
      </c>
      <c r="D16" s="90"/>
      <c r="E16" s="90" t="s">
        <v>295</v>
      </c>
      <c r="F16" s="90"/>
      <c r="G16" s="90"/>
      <c r="H16" s="90"/>
      <c r="I16" s="90"/>
    </row>
    <row r="17" spans="3:9" ht="15" thickBot="1">
      <c r="C17" s="89" t="s">
        <v>296</v>
      </c>
      <c r="D17" s="89"/>
      <c r="E17" s="89" t="s">
        <v>297</v>
      </c>
      <c r="F17" s="89"/>
      <c r="G17" s="89"/>
      <c r="H17" s="89"/>
      <c r="I17" s="89"/>
    </row>
    <row r="18" spans="3:9" ht="15" thickBot="1">
      <c r="C18" s="90" t="s">
        <v>16</v>
      </c>
      <c r="D18" s="90"/>
      <c r="E18" s="90" t="s">
        <v>298</v>
      </c>
      <c r="F18" s="90"/>
      <c r="G18" s="90"/>
      <c r="H18" s="90"/>
      <c r="I18" s="90"/>
    </row>
    <row r="19" spans="3:9" ht="15" thickBot="1">
      <c r="C19" s="89" t="s">
        <v>299</v>
      </c>
      <c r="D19" s="89"/>
      <c r="E19" s="89" t="s">
        <v>300</v>
      </c>
      <c r="F19" s="89"/>
      <c r="G19" s="89"/>
      <c r="H19" s="89"/>
      <c r="I19" s="89"/>
    </row>
    <row r="20" spans="3:9" ht="15" thickBot="1">
      <c r="C20" s="90" t="s">
        <v>301</v>
      </c>
      <c r="D20" s="90"/>
      <c r="E20" s="90" t="s">
        <v>302</v>
      </c>
      <c r="F20" s="90"/>
      <c r="G20" s="90"/>
      <c r="H20" s="90"/>
      <c r="I20" s="90"/>
    </row>
    <row r="21" spans="3:9" ht="15" thickBot="1">
      <c r="C21" s="89" t="s">
        <v>303</v>
      </c>
      <c r="D21" s="89"/>
      <c r="E21" s="89" t="s">
        <v>304</v>
      </c>
      <c r="F21" s="89"/>
      <c r="G21" s="89"/>
      <c r="H21" s="89"/>
      <c r="I21" s="89"/>
    </row>
    <row r="22" spans="3:9" ht="15" thickBot="1">
      <c r="C22" s="90" t="s">
        <v>196</v>
      </c>
      <c r="D22" s="90"/>
      <c r="E22" s="90" t="s">
        <v>305</v>
      </c>
      <c r="F22" s="90"/>
      <c r="G22" s="90"/>
      <c r="H22" s="90"/>
      <c r="I22" s="90"/>
    </row>
    <row r="23" spans="3:9" ht="15" thickBot="1">
      <c r="C23" s="89" t="s">
        <v>306</v>
      </c>
      <c r="D23" s="89"/>
      <c r="E23" s="89" t="s">
        <v>307</v>
      </c>
      <c r="F23" s="89"/>
      <c r="G23" s="89"/>
      <c r="H23" s="89"/>
      <c r="I23" s="89"/>
    </row>
    <row r="24" spans="3:9" ht="15" thickBot="1">
      <c r="C24" s="90" t="s">
        <v>308</v>
      </c>
      <c r="D24" s="90"/>
      <c r="E24" s="90" t="s">
        <v>309</v>
      </c>
      <c r="F24" s="90"/>
      <c r="G24" s="90"/>
      <c r="H24" s="90"/>
      <c r="I24" s="90"/>
    </row>
  </sheetData>
  <mergeCells count="26">
    <mergeCell ref="C2:M3"/>
    <mergeCell ref="C5:F5"/>
    <mergeCell ref="C6:M7"/>
    <mergeCell ref="C9:F9"/>
    <mergeCell ref="C10:M11"/>
    <mergeCell ref="C13:F13"/>
    <mergeCell ref="C16:D16"/>
    <mergeCell ref="C15:D15"/>
    <mergeCell ref="C17:D17"/>
    <mergeCell ref="C18:D18"/>
    <mergeCell ref="E16:I16"/>
    <mergeCell ref="E17:I17"/>
    <mergeCell ref="E23:I23"/>
    <mergeCell ref="E24:I24"/>
    <mergeCell ref="C23:D23"/>
    <mergeCell ref="C24:D24"/>
    <mergeCell ref="E15:I15"/>
    <mergeCell ref="E18:I18"/>
    <mergeCell ref="E19:I19"/>
    <mergeCell ref="E20:I20"/>
    <mergeCell ref="E21:I21"/>
    <mergeCell ref="E22:I22"/>
    <mergeCell ref="C19:D19"/>
    <mergeCell ref="C20:D20"/>
    <mergeCell ref="C21:D21"/>
    <mergeCell ref="C22:D22"/>
  </mergeCell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972118-2D2C-4CFD-8EA4-2672D22942B9}">
  <dimension ref="A1:J611"/>
  <sheetViews>
    <sheetView topLeftCell="A590" workbookViewId="0">
      <selection activeCell="H14" sqref="H14"/>
    </sheetView>
  </sheetViews>
  <sheetFormatPr defaultColWidth="11.53515625" defaultRowHeight="14.6"/>
  <cols>
    <col min="1" max="1" width="8.84375" bestFit="1" customWidth="1"/>
    <col min="2" max="2" width="10.07421875" bestFit="1" customWidth="1"/>
    <col min="3" max="3" width="8.765625" bestFit="1" customWidth="1"/>
    <col min="4" max="4" width="4.69140625" bestFit="1" customWidth="1"/>
    <col min="5" max="5" width="7.53515625" bestFit="1" customWidth="1"/>
    <col min="6" max="6" width="4.84375" bestFit="1" customWidth="1"/>
    <col min="7" max="7" width="9.15234375" bestFit="1" customWidth="1"/>
    <col min="8" max="8" width="10.4609375" bestFit="1" customWidth="1"/>
    <col min="9" max="9" width="11.921875" bestFit="1" customWidth="1"/>
    <col min="10" max="10" width="7.4609375" bestFit="1" customWidth="1"/>
  </cols>
  <sheetData>
    <row r="1" spans="1:10">
      <c r="A1" s="1" t="s">
        <v>0</v>
      </c>
      <c r="B1" s="1" t="s">
        <v>1</v>
      </c>
      <c r="C1" s="1" t="s">
        <v>2</v>
      </c>
      <c r="D1" s="1" t="s">
        <v>3</v>
      </c>
      <c r="E1" s="1" t="s">
        <v>4</v>
      </c>
      <c r="F1" s="1" t="s">
        <v>5</v>
      </c>
      <c r="G1" s="1" t="s">
        <v>6</v>
      </c>
      <c r="H1" s="1" t="s">
        <v>7</v>
      </c>
      <c r="I1" s="1" t="s">
        <v>8</v>
      </c>
      <c r="J1" s="1" t="s">
        <v>9</v>
      </c>
    </row>
    <row r="2" spans="1:10">
      <c r="A2" s="1">
        <v>1</v>
      </c>
      <c r="B2" s="2">
        <v>40544</v>
      </c>
      <c r="C2" s="1">
        <v>1</v>
      </c>
      <c r="D2" s="1">
        <v>0</v>
      </c>
      <c r="E2" s="1">
        <v>1</v>
      </c>
      <c r="F2" s="1">
        <v>0</v>
      </c>
      <c r="G2" s="1" t="b">
        <v>0</v>
      </c>
      <c r="H2" s="1">
        <v>6</v>
      </c>
      <c r="I2" s="1">
        <v>1</v>
      </c>
      <c r="J2" s="1">
        <v>0.24</v>
      </c>
    </row>
    <row r="3" spans="1:10">
      <c r="A3" s="1">
        <v>2</v>
      </c>
      <c r="B3" s="2">
        <v>40544</v>
      </c>
      <c r="C3" s="1">
        <v>1</v>
      </c>
      <c r="D3" s="1">
        <v>0</v>
      </c>
      <c r="E3" s="1">
        <v>1</v>
      </c>
      <c r="F3" s="1">
        <v>1</v>
      </c>
      <c r="G3" s="1" t="b">
        <v>0</v>
      </c>
      <c r="H3" s="1">
        <v>6</v>
      </c>
      <c r="I3" s="1">
        <v>1</v>
      </c>
      <c r="J3" s="1">
        <v>0.22</v>
      </c>
    </row>
    <row r="4" spans="1:10">
      <c r="A4" s="1">
        <v>3</v>
      </c>
      <c r="B4" s="2">
        <v>40544</v>
      </c>
      <c r="C4" s="1">
        <v>1</v>
      </c>
      <c r="D4" s="1">
        <v>0</v>
      </c>
      <c r="E4" s="1">
        <v>1</v>
      </c>
      <c r="F4" s="1">
        <v>2</v>
      </c>
      <c r="G4" s="1" t="b">
        <v>0</v>
      </c>
      <c r="H4" s="1">
        <v>6</v>
      </c>
      <c r="I4" s="1">
        <v>1</v>
      </c>
      <c r="J4" s="1">
        <v>0.22</v>
      </c>
    </row>
    <row r="5" spans="1:10">
      <c r="A5" s="1">
        <v>4</v>
      </c>
      <c r="B5" s="2">
        <v>40544</v>
      </c>
      <c r="C5" s="1">
        <v>1</v>
      </c>
      <c r="D5" s="1">
        <v>0</v>
      </c>
      <c r="E5" s="1">
        <v>1</v>
      </c>
      <c r="F5" s="1">
        <v>3</v>
      </c>
      <c r="G5" s="1" t="b">
        <v>0</v>
      </c>
      <c r="H5" s="1">
        <v>6</v>
      </c>
      <c r="I5" s="1">
        <v>1</v>
      </c>
      <c r="J5" s="1">
        <v>0.24</v>
      </c>
    </row>
    <row r="6" spans="1:10">
      <c r="A6" s="1">
        <v>5</v>
      </c>
      <c r="B6" s="2">
        <v>40544</v>
      </c>
      <c r="C6" s="1">
        <v>1</v>
      </c>
      <c r="D6" s="1">
        <v>0</v>
      </c>
      <c r="E6" s="1">
        <v>1</v>
      </c>
      <c r="F6" s="1">
        <v>4</v>
      </c>
      <c r="G6" s="1" t="b">
        <v>0</v>
      </c>
      <c r="H6" s="1">
        <v>6</v>
      </c>
      <c r="I6" s="1">
        <v>1</v>
      </c>
      <c r="J6" s="1">
        <v>0.24</v>
      </c>
    </row>
    <row r="7" spans="1:10">
      <c r="A7" s="1">
        <v>6</v>
      </c>
      <c r="B7" s="2">
        <v>40544</v>
      </c>
      <c r="C7" s="1">
        <v>1</v>
      </c>
      <c r="D7" s="1">
        <v>0</v>
      </c>
      <c r="E7" s="1">
        <v>1</v>
      </c>
      <c r="F7" s="1">
        <v>5</v>
      </c>
      <c r="G7" s="1" t="b">
        <v>0</v>
      </c>
      <c r="H7" s="1">
        <v>6</v>
      </c>
      <c r="I7" s="1">
        <v>2</v>
      </c>
      <c r="J7" s="1">
        <v>0.24</v>
      </c>
    </row>
    <row r="8" spans="1:10">
      <c r="A8" s="1">
        <v>7</v>
      </c>
      <c r="B8" s="2">
        <v>40544</v>
      </c>
      <c r="C8" s="1">
        <v>1</v>
      </c>
      <c r="D8" s="1">
        <v>0</v>
      </c>
      <c r="E8" s="1">
        <v>1</v>
      </c>
      <c r="F8" s="1">
        <v>6</v>
      </c>
      <c r="G8" s="1" t="b">
        <v>0</v>
      </c>
      <c r="H8" s="1">
        <v>6</v>
      </c>
      <c r="I8" s="1">
        <v>1</v>
      </c>
      <c r="J8" s="1">
        <v>0.22</v>
      </c>
    </row>
    <row r="9" spans="1:10">
      <c r="A9" s="1">
        <v>8</v>
      </c>
      <c r="B9" s="2">
        <v>40544</v>
      </c>
      <c r="C9" s="1">
        <v>1</v>
      </c>
      <c r="D9" s="1">
        <v>0</v>
      </c>
      <c r="E9" s="1">
        <v>1</v>
      </c>
      <c r="F9" s="1">
        <v>7</v>
      </c>
      <c r="G9" s="1" t="b">
        <v>0</v>
      </c>
      <c r="H9" s="1">
        <v>6</v>
      </c>
      <c r="I9" s="1">
        <v>1</v>
      </c>
      <c r="J9" s="1">
        <v>0.2</v>
      </c>
    </row>
    <row r="10" spans="1:10">
      <c r="A10" s="1">
        <v>9</v>
      </c>
      <c r="B10" s="2">
        <v>40544</v>
      </c>
      <c r="C10" s="1">
        <v>1</v>
      </c>
      <c r="D10" s="1">
        <v>0</v>
      </c>
      <c r="E10" s="1">
        <v>1</v>
      </c>
      <c r="F10" s="1">
        <v>8</v>
      </c>
      <c r="G10" s="1" t="b">
        <v>0</v>
      </c>
      <c r="H10" s="1">
        <v>6</v>
      </c>
      <c r="I10" s="1">
        <v>1</v>
      </c>
      <c r="J10" s="1">
        <v>0.24</v>
      </c>
    </row>
    <row r="11" spans="1:10">
      <c r="A11" s="1">
        <v>10</v>
      </c>
      <c r="B11" s="2">
        <v>40544</v>
      </c>
      <c r="C11" s="1">
        <v>1</v>
      </c>
      <c r="D11" s="1">
        <v>0</v>
      </c>
      <c r="E11" s="1">
        <v>1</v>
      </c>
      <c r="F11" s="1">
        <v>9</v>
      </c>
      <c r="G11" s="1" t="b">
        <v>0</v>
      </c>
      <c r="H11" s="1">
        <v>6</v>
      </c>
      <c r="I11" s="1">
        <v>1</v>
      </c>
      <c r="J11" s="1">
        <v>0.32</v>
      </c>
    </row>
    <row r="12" spans="1:10">
      <c r="A12" s="1">
        <v>11</v>
      </c>
      <c r="B12" s="2">
        <v>40544</v>
      </c>
      <c r="C12" s="1">
        <v>1</v>
      </c>
      <c r="D12" s="1">
        <v>0</v>
      </c>
      <c r="E12" s="1">
        <v>1</v>
      </c>
      <c r="F12" s="1">
        <v>10</v>
      </c>
      <c r="G12" s="1" t="b">
        <v>0</v>
      </c>
      <c r="H12" s="1">
        <v>6</v>
      </c>
      <c r="I12" s="1">
        <v>1</v>
      </c>
      <c r="J12" s="1">
        <v>0.38</v>
      </c>
    </row>
    <row r="13" spans="1:10">
      <c r="A13" s="1">
        <v>12</v>
      </c>
      <c r="B13" s="2">
        <v>40544</v>
      </c>
      <c r="C13" s="1">
        <v>1</v>
      </c>
      <c r="D13" s="1">
        <v>0</v>
      </c>
      <c r="E13" s="1">
        <v>1</v>
      </c>
      <c r="F13" s="1">
        <v>11</v>
      </c>
      <c r="G13" s="1" t="b">
        <v>0</v>
      </c>
      <c r="H13" s="1">
        <v>6</v>
      </c>
      <c r="I13" s="1">
        <v>1</v>
      </c>
      <c r="J13" s="1">
        <v>0.36</v>
      </c>
    </row>
    <row r="14" spans="1:10">
      <c r="A14" s="1">
        <v>13</v>
      </c>
      <c r="B14" s="2">
        <v>40544</v>
      </c>
      <c r="C14" s="1">
        <v>1</v>
      </c>
      <c r="D14" s="1">
        <v>0</v>
      </c>
      <c r="E14" s="1">
        <v>1</v>
      </c>
      <c r="F14" s="1">
        <v>12</v>
      </c>
      <c r="G14" s="1" t="b">
        <v>0</v>
      </c>
      <c r="H14" s="1">
        <v>6</v>
      </c>
      <c r="I14" s="1">
        <v>1</v>
      </c>
      <c r="J14" s="1">
        <v>0.42</v>
      </c>
    </row>
    <row r="15" spans="1:10">
      <c r="A15" s="1">
        <v>14</v>
      </c>
      <c r="B15" s="2">
        <v>40544</v>
      </c>
      <c r="C15" s="1">
        <v>1</v>
      </c>
      <c r="D15" s="1">
        <v>0</v>
      </c>
      <c r="E15" s="1">
        <v>1</v>
      </c>
      <c r="F15" s="1">
        <v>13</v>
      </c>
      <c r="G15" s="1" t="b">
        <v>0</v>
      </c>
      <c r="H15" s="1">
        <v>6</v>
      </c>
      <c r="I15" s="1">
        <v>2</v>
      </c>
      <c r="J15" s="1">
        <v>0.46</v>
      </c>
    </row>
    <row r="16" spans="1:10">
      <c r="A16" s="1">
        <v>15</v>
      </c>
      <c r="B16" s="2">
        <v>40544</v>
      </c>
      <c r="C16" s="1">
        <v>1</v>
      </c>
      <c r="D16" s="1">
        <v>0</v>
      </c>
      <c r="E16" s="1">
        <v>1</v>
      </c>
      <c r="F16" s="1">
        <v>14</v>
      </c>
      <c r="G16" s="1" t="b">
        <v>0</v>
      </c>
      <c r="H16" s="1">
        <v>6</v>
      </c>
      <c r="I16" s="1">
        <v>2</v>
      </c>
      <c r="J16" s="1">
        <v>0.46</v>
      </c>
    </row>
    <row r="17" spans="1:10">
      <c r="A17" s="1">
        <v>16</v>
      </c>
      <c r="B17" s="2">
        <v>40544</v>
      </c>
      <c r="C17" s="1">
        <v>1</v>
      </c>
      <c r="D17" s="1">
        <v>0</v>
      </c>
      <c r="E17" s="1">
        <v>1</v>
      </c>
      <c r="F17" s="1">
        <v>15</v>
      </c>
      <c r="G17" s="1" t="b">
        <v>0</v>
      </c>
      <c r="H17" s="1">
        <v>6</v>
      </c>
      <c r="I17" s="1">
        <v>2</v>
      </c>
      <c r="J17" s="1">
        <v>0.44</v>
      </c>
    </row>
    <row r="18" spans="1:10">
      <c r="A18" s="1">
        <v>17</v>
      </c>
      <c r="B18" s="2">
        <v>40544</v>
      </c>
      <c r="C18" s="1">
        <v>1</v>
      </c>
      <c r="D18" s="1">
        <v>0</v>
      </c>
      <c r="E18" s="1">
        <v>1</v>
      </c>
      <c r="F18" s="1">
        <v>16</v>
      </c>
      <c r="G18" s="1" t="b">
        <v>0</v>
      </c>
      <c r="H18" s="1">
        <v>6</v>
      </c>
      <c r="I18" s="1">
        <v>2</v>
      </c>
      <c r="J18" s="1">
        <v>0.42</v>
      </c>
    </row>
    <row r="19" spans="1:10">
      <c r="A19" s="1">
        <v>18</v>
      </c>
      <c r="B19" s="2">
        <v>40544</v>
      </c>
      <c r="C19" s="1">
        <v>1</v>
      </c>
      <c r="D19" s="1">
        <v>0</v>
      </c>
      <c r="E19" s="1">
        <v>1</v>
      </c>
      <c r="F19" s="1">
        <v>17</v>
      </c>
      <c r="G19" s="1" t="b">
        <v>0</v>
      </c>
      <c r="H19" s="1">
        <v>6</v>
      </c>
      <c r="I19" s="1">
        <v>2</v>
      </c>
      <c r="J19" s="1">
        <v>0.44</v>
      </c>
    </row>
    <row r="20" spans="1:10">
      <c r="A20" s="1">
        <v>19</v>
      </c>
      <c r="B20" s="2">
        <v>40544</v>
      </c>
      <c r="C20" s="1">
        <v>1</v>
      </c>
      <c r="D20" s="1">
        <v>0</v>
      </c>
      <c r="E20" s="1">
        <v>1</v>
      </c>
      <c r="F20" s="1">
        <v>18</v>
      </c>
      <c r="G20" s="1" t="b">
        <v>0</v>
      </c>
      <c r="H20" s="1">
        <v>6</v>
      </c>
      <c r="I20" s="1">
        <v>3</v>
      </c>
      <c r="J20" s="1">
        <v>0.42</v>
      </c>
    </row>
    <row r="21" spans="1:10">
      <c r="A21">
        <v>20</v>
      </c>
      <c r="B21" s="2">
        <v>40544</v>
      </c>
      <c r="C21">
        <v>1</v>
      </c>
      <c r="D21">
        <v>0</v>
      </c>
      <c r="E21">
        <v>1</v>
      </c>
      <c r="F21">
        <v>19</v>
      </c>
      <c r="G21" t="b">
        <v>0</v>
      </c>
      <c r="H21">
        <v>6</v>
      </c>
      <c r="I21">
        <v>3</v>
      </c>
      <c r="J21">
        <v>0.42</v>
      </c>
    </row>
    <row r="22" spans="1:10">
      <c r="A22">
        <v>21</v>
      </c>
      <c r="B22" s="2">
        <v>40544</v>
      </c>
      <c r="C22">
        <v>1</v>
      </c>
      <c r="D22">
        <v>0</v>
      </c>
      <c r="E22">
        <v>1</v>
      </c>
      <c r="F22">
        <v>20</v>
      </c>
      <c r="G22" t="b">
        <v>0</v>
      </c>
      <c r="H22">
        <v>6</v>
      </c>
      <c r="I22">
        <v>2</v>
      </c>
      <c r="J22">
        <v>0.4</v>
      </c>
    </row>
    <row r="23" spans="1:10">
      <c r="A23">
        <v>22</v>
      </c>
      <c r="B23" s="2">
        <v>40544</v>
      </c>
      <c r="C23">
        <v>1</v>
      </c>
      <c r="D23">
        <v>0</v>
      </c>
      <c r="E23">
        <v>1</v>
      </c>
      <c r="F23">
        <v>21</v>
      </c>
      <c r="G23" t="b">
        <v>0</v>
      </c>
      <c r="H23">
        <v>6</v>
      </c>
      <c r="I23">
        <v>2</v>
      </c>
      <c r="J23">
        <v>0.4</v>
      </c>
    </row>
    <row r="24" spans="1:10">
      <c r="A24">
        <v>23</v>
      </c>
      <c r="B24" s="2">
        <v>40544</v>
      </c>
      <c r="C24">
        <v>1</v>
      </c>
      <c r="D24">
        <v>0</v>
      </c>
      <c r="E24">
        <v>1</v>
      </c>
      <c r="F24">
        <v>22</v>
      </c>
      <c r="G24" t="b">
        <v>0</v>
      </c>
      <c r="H24">
        <v>6</v>
      </c>
      <c r="I24">
        <v>2</v>
      </c>
      <c r="J24">
        <v>0.4</v>
      </c>
    </row>
    <row r="25" spans="1:10">
      <c r="A25">
        <v>24</v>
      </c>
      <c r="B25" s="2">
        <v>40544</v>
      </c>
      <c r="C25">
        <v>1</v>
      </c>
      <c r="D25">
        <v>0</v>
      </c>
      <c r="E25">
        <v>1</v>
      </c>
      <c r="F25">
        <v>23</v>
      </c>
      <c r="G25" t="b">
        <v>0</v>
      </c>
      <c r="H25">
        <v>6</v>
      </c>
      <c r="I25">
        <v>2</v>
      </c>
      <c r="J25">
        <v>0.46</v>
      </c>
    </row>
    <row r="26" spans="1:10">
      <c r="A26">
        <v>25</v>
      </c>
      <c r="B26" s="2">
        <v>40545</v>
      </c>
      <c r="C26">
        <v>1</v>
      </c>
      <c r="D26">
        <v>0</v>
      </c>
      <c r="E26">
        <v>1</v>
      </c>
      <c r="F26">
        <v>0</v>
      </c>
      <c r="G26" t="b">
        <v>0</v>
      </c>
      <c r="H26">
        <v>0</v>
      </c>
      <c r="I26">
        <v>2</v>
      </c>
      <c r="J26">
        <v>0.46</v>
      </c>
    </row>
    <row r="27" spans="1:10">
      <c r="A27">
        <v>26</v>
      </c>
      <c r="B27" s="2">
        <v>40545</v>
      </c>
      <c r="C27">
        <v>1</v>
      </c>
      <c r="D27">
        <v>0</v>
      </c>
      <c r="E27">
        <v>1</v>
      </c>
      <c r="F27">
        <v>1</v>
      </c>
      <c r="G27" t="b">
        <v>0</v>
      </c>
      <c r="H27">
        <v>0</v>
      </c>
      <c r="I27">
        <v>2</v>
      </c>
      <c r="J27">
        <v>0.44</v>
      </c>
    </row>
    <row r="28" spans="1:10">
      <c r="A28">
        <v>27</v>
      </c>
      <c r="B28" s="2">
        <v>40545</v>
      </c>
      <c r="C28">
        <v>1</v>
      </c>
      <c r="D28">
        <v>0</v>
      </c>
      <c r="E28">
        <v>1</v>
      </c>
      <c r="F28">
        <v>2</v>
      </c>
      <c r="G28" t="b">
        <v>0</v>
      </c>
      <c r="H28">
        <v>0</v>
      </c>
      <c r="I28">
        <v>2</v>
      </c>
      <c r="J28">
        <v>0.42</v>
      </c>
    </row>
    <row r="29" spans="1:10">
      <c r="A29">
        <v>28</v>
      </c>
      <c r="B29" s="2">
        <v>40545</v>
      </c>
      <c r="C29">
        <v>1</v>
      </c>
      <c r="D29">
        <v>0</v>
      </c>
      <c r="E29">
        <v>1</v>
      </c>
      <c r="F29">
        <v>3</v>
      </c>
      <c r="G29" t="b">
        <v>0</v>
      </c>
      <c r="H29">
        <v>0</v>
      </c>
      <c r="I29">
        <v>2</v>
      </c>
      <c r="J29">
        <v>0.46</v>
      </c>
    </row>
    <row r="30" spans="1:10">
      <c r="A30">
        <v>29</v>
      </c>
      <c r="B30" s="2">
        <v>40545</v>
      </c>
      <c r="C30">
        <v>1</v>
      </c>
      <c r="D30">
        <v>0</v>
      </c>
      <c r="E30">
        <v>1</v>
      </c>
      <c r="F30">
        <v>4</v>
      </c>
      <c r="G30" t="b">
        <v>0</v>
      </c>
      <c r="H30">
        <v>0</v>
      </c>
      <c r="I30">
        <v>2</v>
      </c>
      <c r="J30">
        <v>0.46</v>
      </c>
    </row>
    <row r="31" spans="1:10">
      <c r="A31">
        <v>30</v>
      </c>
      <c r="B31" s="2">
        <v>40545</v>
      </c>
      <c r="C31">
        <v>1</v>
      </c>
      <c r="D31">
        <v>0</v>
      </c>
      <c r="E31">
        <v>1</v>
      </c>
      <c r="F31">
        <v>6</v>
      </c>
      <c r="G31" t="b">
        <v>0</v>
      </c>
      <c r="H31">
        <v>0</v>
      </c>
      <c r="I31">
        <v>3</v>
      </c>
      <c r="J31">
        <v>0.42</v>
      </c>
    </row>
    <row r="32" spans="1:10">
      <c r="A32">
        <v>31</v>
      </c>
      <c r="B32" s="2">
        <v>40545</v>
      </c>
      <c r="C32">
        <v>1</v>
      </c>
      <c r="D32">
        <v>0</v>
      </c>
      <c r="E32">
        <v>1</v>
      </c>
      <c r="F32">
        <v>7</v>
      </c>
      <c r="G32" t="b">
        <v>0</v>
      </c>
      <c r="H32">
        <v>0</v>
      </c>
      <c r="I32">
        <v>2</v>
      </c>
      <c r="J32">
        <v>0.4</v>
      </c>
    </row>
    <row r="33" spans="1:10">
      <c r="A33">
        <v>32</v>
      </c>
      <c r="B33" s="2">
        <v>40545</v>
      </c>
      <c r="C33">
        <v>1</v>
      </c>
      <c r="D33">
        <v>0</v>
      </c>
      <c r="E33">
        <v>1</v>
      </c>
      <c r="F33">
        <v>8</v>
      </c>
      <c r="G33" t="b">
        <v>0</v>
      </c>
      <c r="H33">
        <v>0</v>
      </c>
      <c r="I33">
        <v>3</v>
      </c>
      <c r="J33">
        <v>0.4</v>
      </c>
    </row>
    <row r="34" spans="1:10">
      <c r="A34">
        <v>33</v>
      </c>
      <c r="B34" s="2">
        <v>40545</v>
      </c>
      <c r="C34">
        <v>1</v>
      </c>
      <c r="D34">
        <v>0</v>
      </c>
      <c r="E34">
        <v>1</v>
      </c>
      <c r="F34">
        <v>9</v>
      </c>
      <c r="G34" t="b">
        <v>0</v>
      </c>
      <c r="H34">
        <v>0</v>
      </c>
      <c r="I34">
        <v>2</v>
      </c>
      <c r="J34">
        <v>0.38</v>
      </c>
    </row>
    <row r="35" spans="1:10">
      <c r="A35">
        <v>34</v>
      </c>
      <c r="B35" s="2">
        <v>40545</v>
      </c>
      <c r="C35">
        <v>1</v>
      </c>
      <c r="D35">
        <v>0</v>
      </c>
      <c r="E35">
        <v>1</v>
      </c>
      <c r="F35">
        <v>10</v>
      </c>
      <c r="G35" t="b">
        <v>0</v>
      </c>
      <c r="H35">
        <v>0</v>
      </c>
      <c r="I35">
        <v>2</v>
      </c>
      <c r="J35">
        <v>0.36</v>
      </c>
    </row>
    <row r="36" spans="1:10">
      <c r="A36">
        <v>35</v>
      </c>
      <c r="B36" s="2">
        <v>40545</v>
      </c>
      <c r="C36">
        <v>1</v>
      </c>
      <c r="D36">
        <v>0</v>
      </c>
      <c r="E36">
        <v>1</v>
      </c>
      <c r="F36">
        <v>11</v>
      </c>
      <c r="G36" t="b">
        <v>0</v>
      </c>
      <c r="H36">
        <v>0</v>
      </c>
      <c r="I36">
        <v>2</v>
      </c>
      <c r="J36">
        <v>0.36</v>
      </c>
    </row>
    <row r="37" spans="1:10">
      <c r="A37">
        <v>36</v>
      </c>
      <c r="B37" s="2">
        <v>40545</v>
      </c>
      <c r="C37">
        <v>1</v>
      </c>
      <c r="D37">
        <v>0</v>
      </c>
      <c r="E37">
        <v>1</v>
      </c>
      <c r="F37">
        <v>12</v>
      </c>
      <c r="G37" t="b">
        <v>0</v>
      </c>
      <c r="H37">
        <v>0</v>
      </c>
      <c r="I37">
        <v>2</v>
      </c>
      <c r="J37">
        <v>0.36</v>
      </c>
    </row>
    <row r="38" spans="1:10">
      <c r="A38">
        <v>37</v>
      </c>
      <c r="B38" s="2">
        <v>40545</v>
      </c>
      <c r="C38">
        <v>1</v>
      </c>
      <c r="D38">
        <v>0</v>
      </c>
      <c r="E38">
        <v>1</v>
      </c>
      <c r="F38">
        <v>13</v>
      </c>
      <c r="G38" t="b">
        <v>0</v>
      </c>
      <c r="H38">
        <v>0</v>
      </c>
      <c r="I38">
        <v>2</v>
      </c>
      <c r="J38">
        <v>0.36</v>
      </c>
    </row>
    <row r="39" spans="1:10">
      <c r="A39">
        <v>38</v>
      </c>
      <c r="B39" s="2">
        <v>40545</v>
      </c>
      <c r="C39">
        <v>1</v>
      </c>
      <c r="D39">
        <v>0</v>
      </c>
      <c r="E39">
        <v>1</v>
      </c>
      <c r="F39">
        <v>14</v>
      </c>
      <c r="G39" t="b">
        <v>0</v>
      </c>
      <c r="H39">
        <v>0</v>
      </c>
      <c r="I39">
        <v>3</v>
      </c>
      <c r="J39">
        <v>0.36</v>
      </c>
    </row>
    <row r="40" spans="1:10">
      <c r="A40">
        <v>39</v>
      </c>
      <c r="B40" s="2">
        <v>40545</v>
      </c>
      <c r="C40">
        <v>1</v>
      </c>
      <c r="D40">
        <v>0</v>
      </c>
      <c r="E40">
        <v>1</v>
      </c>
      <c r="F40">
        <v>15</v>
      </c>
      <c r="G40" t="b">
        <v>0</v>
      </c>
      <c r="H40">
        <v>0</v>
      </c>
      <c r="I40">
        <v>3</v>
      </c>
      <c r="J40">
        <v>0.34</v>
      </c>
    </row>
    <row r="41" spans="1:10">
      <c r="A41">
        <v>40</v>
      </c>
      <c r="B41" s="2">
        <v>40545</v>
      </c>
      <c r="C41">
        <v>1</v>
      </c>
      <c r="D41">
        <v>0</v>
      </c>
      <c r="E41">
        <v>1</v>
      </c>
      <c r="F41">
        <v>16</v>
      </c>
      <c r="G41" t="b">
        <v>0</v>
      </c>
      <c r="H41">
        <v>0</v>
      </c>
      <c r="I41">
        <v>3</v>
      </c>
      <c r="J41">
        <v>0.34</v>
      </c>
    </row>
    <row r="42" spans="1:10">
      <c r="A42">
        <v>41</v>
      </c>
      <c r="B42" s="2">
        <v>40545</v>
      </c>
      <c r="C42">
        <v>1</v>
      </c>
      <c r="D42">
        <v>0</v>
      </c>
      <c r="E42">
        <v>1</v>
      </c>
      <c r="F42">
        <v>17</v>
      </c>
      <c r="G42" t="b">
        <v>0</v>
      </c>
      <c r="H42">
        <v>0</v>
      </c>
      <c r="I42">
        <v>1</v>
      </c>
      <c r="J42">
        <v>0.34</v>
      </c>
    </row>
    <row r="43" spans="1:10">
      <c r="A43">
        <v>42</v>
      </c>
      <c r="B43" s="2">
        <v>40545</v>
      </c>
      <c r="C43">
        <v>1</v>
      </c>
      <c r="D43">
        <v>0</v>
      </c>
      <c r="E43">
        <v>1</v>
      </c>
      <c r="F43">
        <v>18</v>
      </c>
      <c r="G43" t="b">
        <v>0</v>
      </c>
      <c r="H43">
        <v>0</v>
      </c>
      <c r="I43">
        <v>2</v>
      </c>
      <c r="J43">
        <v>0.36</v>
      </c>
    </row>
    <row r="44" spans="1:10">
      <c r="A44">
        <v>43</v>
      </c>
      <c r="B44" s="2">
        <v>40545</v>
      </c>
      <c r="C44">
        <v>1</v>
      </c>
      <c r="D44">
        <v>0</v>
      </c>
      <c r="E44">
        <v>1</v>
      </c>
      <c r="F44">
        <v>19</v>
      </c>
      <c r="G44" t="b">
        <v>0</v>
      </c>
      <c r="H44">
        <v>0</v>
      </c>
      <c r="I44">
        <v>1</v>
      </c>
      <c r="J44">
        <v>0.32</v>
      </c>
    </row>
    <row r="45" spans="1:10">
      <c r="A45">
        <v>44</v>
      </c>
      <c r="B45" s="2">
        <v>40545</v>
      </c>
      <c r="C45">
        <v>1</v>
      </c>
      <c r="D45">
        <v>0</v>
      </c>
      <c r="E45">
        <v>1</v>
      </c>
      <c r="F45">
        <v>20</v>
      </c>
      <c r="G45" t="b">
        <v>0</v>
      </c>
      <c r="H45">
        <v>0</v>
      </c>
      <c r="I45">
        <v>1</v>
      </c>
      <c r="J45">
        <v>0.3</v>
      </c>
    </row>
    <row r="46" spans="1:10">
      <c r="A46">
        <v>45</v>
      </c>
      <c r="B46" s="2">
        <v>40545</v>
      </c>
      <c r="C46">
        <v>1</v>
      </c>
      <c r="D46">
        <v>0</v>
      </c>
      <c r="E46">
        <v>1</v>
      </c>
      <c r="F46">
        <v>21</v>
      </c>
      <c r="G46" t="b">
        <v>0</v>
      </c>
      <c r="H46">
        <v>0</v>
      </c>
      <c r="I46">
        <v>1</v>
      </c>
      <c r="J46">
        <v>0.26</v>
      </c>
    </row>
    <row r="47" spans="1:10">
      <c r="A47">
        <v>46</v>
      </c>
      <c r="B47" s="2">
        <v>40545</v>
      </c>
      <c r="C47">
        <v>1</v>
      </c>
      <c r="D47">
        <v>0</v>
      </c>
      <c r="E47">
        <v>1</v>
      </c>
      <c r="F47">
        <v>22</v>
      </c>
      <c r="G47" t="b">
        <v>0</v>
      </c>
      <c r="H47">
        <v>0</v>
      </c>
      <c r="I47">
        <v>1</v>
      </c>
      <c r="J47">
        <v>0.24</v>
      </c>
    </row>
    <row r="48" spans="1:10">
      <c r="A48">
        <v>47</v>
      </c>
      <c r="B48" s="2">
        <v>40545</v>
      </c>
      <c r="C48">
        <v>1</v>
      </c>
      <c r="D48">
        <v>0</v>
      </c>
      <c r="E48">
        <v>1</v>
      </c>
      <c r="F48">
        <v>23</v>
      </c>
      <c r="G48" t="b">
        <v>0</v>
      </c>
      <c r="H48">
        <v>0</v>
      </c>
      <c r="I48">
        <v>1</v>
      </c>
      <c r="J48">
        <v>0.22</v>
      </c>
    </row>
    <row r="49" spans="1:10">
      <c r="A49">
        <v>48</v>
      </c>
      <c r="B49" s="2">
        <v>40546</v>
      </c>
      <c r="C49">
        <v>1</v>
      </c>
      <c r="D49">
        <v>0</v>
      </c>
      <c r="E49">
        <v>1</v>
      </c>
      <c r="F49">
        <v>0</v>
      </c>
      <c r="G49" t="b">
        <v>0</v>
      </c>
      <c r="H49">
        <v>1</v>
      </c>
      <c r="I49">
        <v>1</v>
      </c>
      <c r="J49">
        <v>0.22</v>
      </c>
    </row>
    <row r="50" spans="1:10">
      <c r="A50">
        <v>49</v>
      </c>
      <c r="B50" s="2">
        <v>40546</v>
      </c>
      <c r="C50">
        <v>1</v>
      </c>
      <c r="D50">
        <v>0</v>
      </c>
      <c r="E50">
        <v>1</v>
      </c>
      <c r="F50">
        <v>1</v>
      </c>
      <c r="G50" t="b">
        <v>0</v>
      </c>
      <c r="H50">
        <v>1</v>
      </c>
      <c r="I50">
        <v>1</v>
      </c>
      <c r="J50">
        <v>0.2</v>
      </c>
    </row>
    <row r="51" spans="1:10">
      <c r="A51">
        <v>50</v>
      </c>
      <c r="B51" s="2">
        <v>40546</v>
      </c>
      <c r="C51">
        <v>1</v>
      </c>
      <c r="D51">
        <v>0</v>
      </c>
      <c r="E51">
        <v>1</v>
      </c>
      <c r="F51">
        <v>4</v>
      </c>
      <c r="G51" t="b">
        <v>0</v>
      </c>
      <c r="H51">
        <v>1</v>
      </c>
      <c r="I51">
        <v>1</v>
      </c>
      <c r="J51">
        <v>0.16</v>
      </c>
    </row>
    <row r="52" spans="1:10">
      <c r="A52">
        <v>51</v>
      </c>
      <c r="B52" s="2">
        <v>40546</v>
      </c>
      <c r="C52">
        <v>1</v>
      </c>
      <c r="D52">
        <v>0</v>
      </c>
      <c r="E52">
        <v>1</v>
      </c>
      <c r="F52">
        <v>5</v>
      </c>
      <c r="G52" t="b">
        <v>0</v>
      </c>
      <c r="H52">
        <v>1</v>
      </c>
      <c r="I52">
        <v>1</v>
      </c>
      <c r="J52">
        <v>0.16</v>
      </c>
    </row>
    <row r="53" spans="1:10">
      <c r="A53">
        <v>52</v>
      </c>
      <c r="B53" s="2">
        <v>40546</v>
      </c>
      <c r="C53">
        <v>1</v>
      </c>
      <c r="D53">
        <v>0</v>
      </c>
      <c r="E53">
        <v>1</v>
      </c>
      <c r="F53">
        <v>6</v>
      </c>
      <c r="G53" t="b">
        <v>0</v>
      </c>
      <c r="H53">
        <v>1</v>
      </c>
      <c r="I53">
        <v>1</v>
      </c>
      <c r="J53">
        <v>0.14000000000000001</v>
      </c>
    </row>
    <row r="54" spans="1:10">
      <c r="A54">
        <v>53</v>
      </c>
      <c r="B54" s="2">
        <v>40546</v>
      </c>
      <c r="C54">
        <v>1</v>
      </c>
      <c r="D54">
        <v>0</v>
      </c>
      <c r="E54">
        <v>1</v>
      </c>
      <c r="F54">
        <v>7</v>
      </c>
      <c r="G54" t="b">
        <v>0</v>
      </c>
      <c r="H54">
        <v>1</v>
      </c>
      <c r="I54">
        <v>1</v>
      </c>
      <c r="J54">
        <v>0.14000000000000001</v>
      </c>
    </row>
    <row r="55" spans="1:10">
      <c r="A55">
        <v>54</v>
      </c>
      <c r="B55" s="2">
        <v>40546</v>
      </c>
      <c r="C55">
        <v>1</v>
      </c>
      <c r="D55">
        <v>0</v>
      </c>
      <c r="E55">
        <v>1</v>
      </c>
      <c r="F55">
        <v>8</v>
      </c>
      <c r="G55" t="b">
        <v>0</v>
      </c>
      <c r="H55">
        <v>1</v>
      </c>
      <c r="I55">
        <v>1</v>
      </c>
      <c r="J55">
        <v>0.14000000000000001</v>
      </c>
    </row>
    <row r="56" spans="1:10">
      <c r="A56">
        <v>55</v>
      </c>
      <c r="B56" s="2">
        <v>40546</v>
      </c>
      <c r="C56">
        <v>1</v>
      </c>
      <c r="D56">
        <v>0</v>
      </c>
      <c r="E56">
        <v>1</v>
      </c>
      <c r="F56">
        <v>9</v>
      </c>
      <c r="G56" t="b">
        <v>0</v>
      </c>
      <c r="H56">
        <v>1</v>
      </c>
      <c r="I56">
        <v>1</v>
      </c>
      <c r="J56">
        <v>0.16</v>
      </c>
    </row>
    <row r="57" spans="1:10">
      <c r="A57">
        <v>56</v>
      </c>
      <c r="B57" s="2">
        <v>40546</v>
      </c>
      <c r="C57">
        <v>1</v>
      </c>
      <c r="D57">
        <v>0</v>
      </c>
      <c r="E57">
        <v>1</v>
      </c>
      <c r="F57">
        <v>10</v>
      </c>
      <c r="G57" t="b">
        <v>0</v>
      </c>
      <c r="H57">
        <v>1</v>
      </c>
      <c r="I57">
        <v>1</v>
      </c>
      <c r="J57">
        <v>0.18</v>
      </c>
    </row>
    <row r="58" spans="1:10">
      <c r="A58">
        <v>57</v>
      </c>
      <c r="B58" s="2">
        <v>40546</v>
      </c>
      <c r="C58">
        <v>1</v>
      </c>
      <c r="D58">
        <v>0</v>
      </c>
      <c r="E58">
        <v>1</v>
      </c>
      <c r="F58">
        <v>11</v>
      </c>
      <c r="G58" t="b">
        <v>0</v>
      </c>
      <c r="H58">
        <v>1</v>
      </c>
      <c r="I58">
        <v>1</v>
      </c>
      <c r="J58">
        <v>0.2</v>
      </c>
    </row>
    <row r="59" spans="1:10">
      <c r="A59">
        <v>58</v>
      </c>
      <c r="B59" s="2">
        <v>40546</v>
      </c>
      <c r="C59">
        <v>1</v>
      </c>
      <c r="D59">
        <v>0</v>
      </c>
      <c r="E59">
        <v>1</v>
      </c>
      <c r="F59">
        <v>12</v>
      </c>
      <c r="G59" t="b">
        <v>0</v>
      </c>
      <c r="H59">
        <v>1</v>
      </c>
      <c r="I59">
        <v>1</v>
      </c>
      <c r="J59">
        <v>0.22</v>
      </c>
    </row>
    <row r="60" spans="1:10">
      <c r="A60">
        <v>59</v>
      </c>
      <c r="B60" s="2">
        <v>40546</v>
      </c>
      <c r="C60">
        <v>1</v>
      </c>
      <c r="D60">
        <v>0</v>
      </c>
      <c r="E60">
        <v>1</v>
      </c>
      <c r="F60">
        <v>13</v>
      </c>
      <c r="G60" t="b">
        <v>0</v>
      </c>
      <c r="H60">
        <v>1</v>
      </c>
      <c r="I60">
        <v>1</v>
      </c>
      <c r="J60">
        <v>0.24</v>
      </c>
    </row>
    <row r="61" spans="1:10">
      <c r="A61">
        <v>60</v>
      </c>
      <c r="B61" s="2">
        <v>40546</v>
      </c>
      <c r="C61">
        <v>1</v>
      </c>
      <c r="D61">
        <v>0</v>
      </c>
      <c r="E61">
        <v>1</v>
      </c>
      <c r="F61">
        <v>14</v>
      </c>
      <c r="G61" t="b">
        <v>0</v>
      </c>
      <c r="H61">
        <v>1</v>
      </c>
      <c r="I61">
        <v>1</v>
      </c>
      <c r="J61">
        <v>0.26</v>
      </c>
    </row>
    <row r="62" spans="1:10">
      <c r="A62">
        <v>61</v>
      </c>
      <c r="B62" s="2">
        <v>40546</v>
      </c>
      <c r="C62">
        <v>1</v>
      </c>
      <c r="D62">
        <v>0</v>
      </c>
      <c r="E62">
        <v>1</v>
      </c>
      <c r="F62">
        <v>15</v>
      </c>
      <c r="G62" t="b">
        <v>0</v>
      </c>
      <c r="H62">
        <v>1</v>
      </c>
      <c r="I62">
        <v>1</v>
      </c>
      <c r="J62">
        <v>0.26</v>
      </c>
    </row>
    <row r="63" spans="1:10">
      <c r="A63">
        <v>62</v>
      </c>
      <c r="B63" s="2">
        <v>40546</v>
      </c>
      <c r="C63">
        <v>1</v>
      </c>
      <c r="D63">
        <v>0</v>
      </c>
      <c r="E63">
        <v>1</v>
      </c>
      <c r="F63">
        <v>16</v>
      </c>
      <c r="G63" t="b">
        <v>0</v>
      </c>
      <c r="H63">
        <v>1</v>
      </c>
      <c r="I63">
        <v>1</v>
      </c>
      <c r="J63">
        <v>0.26</v>
      </c>
    </row>
    <row r="64" spans="1:10">
      <c r="A64">
        <v>63</v>
      </c>
      <c r="B64" s="2">
        <v>40546</v>
      </c>
      <c r="C64">
        <v>1</v>
      </c>
      <c r="D64">
        <v>0</v>
      </c>
      <c r="E64">
        <v>1</v>
      </c>
      <c r="F64">
        <v>17</v>
      </c>
      <c r="G64" t="b">
        <v>0</v>
      </c>
      <c r="H64">
        <v>1</v>
      </c>
      <c r="I64">
        <v>1</v>
      </c>
      <c r="J64">
        <v>0.24</v>
      </c>
    </row>
    <row r="65" spans="1:10">
      <c r="A65">
        <v>64</v>
      </c>
      <c r="B65" s="2">
        <v>40546</v>
      </c>
      <c r="C65">
        <v>1</v>
      </c>
      <c r="D65">
        <v>0</v>
      </c>
      <c r="E65">
        <v>1</v>
      </c>
      <c r="F65">
        <v>18</v>
      </c>
      <c r="G65" t="b">
        <v>0</v>
      </c>
      <c r="H65">
        <v>1</v>
      </c>
      <c r="I65">
        <v>1</v>
      </c>
      <c r="J65">
        <v>0.24</v>
      </c>
    </row>
    <row r="66" spans="1:10">
      <c r="A66">
        <v>65</v>
      </c>
      <c r="B66" s="2">
        <v>40546</v>
      </c>
      <c r="C66">
        <v>1</v>
      </c>
      <c r="D66">
        <v>0</v>
      </c>
      <c r="E66">
        <v>1</v>
      </c>
      <c r="F66">
        <v>19</v>
      </c>
      <c r="G66" t="b">
        <v>0</v>
      </c>
      <c r="H66">
        <v>1</v>
      </c>
      <c r="I66">
        <v>1</v>
      </c>
      <c r="J66">
        <v>0.2</v>
      </c>
    </row>
    <row r="67" spans="1:10">
      <c r="A67">
        <v>66</v>
      </c>
      <c r="B67" s="2">
        <v>40546</v>
      </c>
      <c r="C67">
        <v>1</v>
      </c>
      <c r="D67">
        <v>0</v>
      </c>
      <c r="E67">
        <v>1</v>
      </c>
      <c r="F67">
        <v>20</v>
      </c>
      <c r="G67" t="b">
        <v>0</v>
      </c>
      <c r="H67">
        <v>1</v>
      </c>
      <c r="I67">
        <v>1</v>
      </c>
      <c r="J67">
        <v>0.2</v>
      </c>
    </row>
    <row r="68" spans="1:10">
      <c r="A68">
        <v>67</v>
      </c>
      <c r="B68" s="2">
        <v>40546</v>
      </c>
      <c r="C68">
        <v>1</v>
      </c>
      <c r="D68">
        <v>0</v>
      </c>
      <c r="E68">
        <v>1</v>
      </c>
      <c r="F68">
        <v>21</v>
      </c>
      <c r="G68" t="b">
        <v>0</v>
      </c>
      <c r="H68">
        <v>1</v>
      </c>
      <c r="I68">
        <v>1</v>
      </c>
      <c r="J68">
        <v>0.18</v>
      </c>
    </row>
    <row r="69" spans="1:10">
      <c r="A69">
        <v>68</v>
      </c>
      <c r="B69" s="2">
        <v>40546</v>
      </c>
      <c r="C69">
        <v>1</v>
      </c>
      <c r="D69">
        <v>0</v>
      </c>
      <c r="E69">
        <v>1</v>
      </c>
      <c r="F69">
        <v>22</v>
      </c>
      <c r="G69" t="b">
        <v>0</v>
      </c>
      <c r="H69">
        <v>1</v>
      </c>
      <c r="I69">
        <v>1</v>
      </c>
      <c r="J69">
        <v>0.14000000000000001</v>
      </c>
    </row>
    <row r="70" spans="1:10">
      <c r="A70">
        <v>69</v>
      </c>
      <c r="B70" s="2">
        <v>40546</v>
      </c>
      <c r="C70">
        <v>1</v>
      </c>
      <c r="D70">
        <v>0</v>
      </c>
      <c r="E70">
        <v>1</v>
      </c>
      <c r="F70">
        <v>23</v>
      </c>
      <c r="G70" t="b">
        <v>0</v>
      </c>
      <c r="H70">
        <v>1</v>
      </c>
      <c r="I70">
        <v>1</v>
      </c>
      <c r="J70">
        <v>0.18</v>
      </c>
    </row>
    <row r="71" spans="1:10">
      <c r="A71">
        <v>70</v>
      </c>
      <c r="B71" s="2">
        <v>40547</v>
      </c>
      <c r="C71">
        <v>1</v>
      </c>
      <c r="D71">
        <v>0</v>
      </c>
      <c r="E71">
        <v>1</v>
      </c>
      <c r="F71">
        <v>0</v>
      </c>
      <c r="G71" t="b">
        <v>0</v>
      </c>
      <c r="H71">
        <v>2</v>
      </c>
      <c r="I71">
        <v>1</v>
      </c>
      <c r="J71">
        <v>0.16</v>
      </c>
    </row>
    <row r="72" spans="1:10">
      <c r="A72">
        <v>71</v>
      </c>
      <c r="B72" s="2">
        <v>40547</v>
      </c>
      <c r="C72">
        <v>1</v>
      </c>
      <c r="D72">
        <v>0</v>
      </c>
      <c r="E72">
        <v>1</v>
      </c>
      <c r="F72">
        <v>1</v>
      </c>
      <c r="G72" t="b">
        <v>0</v>
      </c>
      <c r="H72">
        <v>2</v>
      </c>
      <c r="I72">
        <v>1</v>
      </c>
      <c r="J72">
        <v>0.16</v>
      </c>
    </row>
    <row r="73" spans="1:10">
      <c r="A73">
        <v>72</v>
      </c>
      <c r="B73" s="2">
        <v>40547</v>
      </c>
      <c r="C73">
        <v>1</v>
      </c>
      <c r="D73">
        <v>0</v>
      </c>
      <c r="E73">
        <v>1</v>
      </c>
      <c r="F73">
        <v>2</v>
      </c>
      <c r="G73" t="b">
        <v>0</v>
      </c>
      <c r="H73">
        <v>2</v>
      </c>
      <c r="I73">
        <v>1</v>
      </c>
      <c r="J73">
        <v>0.14000000000000001</v>
      </c>
    </row>
    <row r="74" spans="1:10">
      <c r="A74">
        <v>73</v>
      </c>
      <c r="B74" s="2">
        <v>40547</v>
      </c>
      <c r="C74">
        <v>1</v>
      </c>
      <c r="D74">
        <v>0</v>
      </c>
      <c r="E74">
        <v>1</v>
      </c>
      <c r="F74">
        <v>4</v>
      </c>
      <c r="G74" t="b">
        <v>0</v>
      </c>
      <c r="H74">
        <v>2</v>
      </c>
      <c r="I74">
        <v>1</v>
      </c>
      <c r="J74">
        <v>0.14000000000000001</v>
      </c>
    </row>
    <row r="75" spans="1:10">
      <c r="A75">
        <v>74</v>
      </c>
      <c r="B75" s="2">
        <v>40547</v>
      </c>
      <c r="C75">
        <v>1</v>
      </c>
      <c r="D75">
        <v>0</v>
      </c>
      <c r="E75">
        <v>1</v>
      </c>
      <c r="F75">
        <v>5</v>
      </c>
      <c r="G75" t="b">
        <v>0</v>
      </c>
      <c r="H75">
        <v>2</v>
      </c>
      <c r="I75">
        <v>1</v>
      </c>
      <c r="J75">
        <v>0.12</v>
      </c>
    </row>
    <row r="76" spans="1:10">
      <c r="A76">
        <v>75</v>
      </c>
      <c r="B76" s="2">
        <v>40547</v>
      </c>
      <c r="C76">
        <v>1</v>
      </c>
      <c r="D76">
        <v>0</v>
      </c>
      <c r="E76">
        <v>1</v>
      </c>
      <c r="F76">
        <v>6</v>
      </c>
      <c r="G76" t="b">
        <v>0</v>
      </c>
      <c r="H76">
        <v>2</v>
      </c>
      <c r="I76">
        <v>1</v>
      </c>
      <c r="J76">
        <v>0.12</v>
      </c>
    </row>
    <row r="77" spans="1:10">
      <c r="A77">
        <v>76</v>
      </c>
      <c r="B77" s="2">
        <v>40547</v>
      </c>
      <c r="C77">
        <v>1</v>
      </c>
      <c r="D77">
        <v>0</v>
      </c>
      <c r="E77">
        <v>1</v>
      </c>
      <c r="F77">
        <v>7</v>
      </c>
      <c r="G77" t="b">
        <v>0</v>
      </c>
      <c r="H77">
        <v>2</v>
      </c>
      <c r="I77">
        <v>1</v>
      </c>
      <c r="J77">
        <v>0.12</v>
      </c>
    </row>
    <row r="78" spans="1:10">
      <c r="A78">
        <v>77</v>
      </c>
      <c r="B78" s="2">
        <v>40547</v>
      </c>
      <c r="C78">
        <v>1</v>
      </c>
      <c r="D78">
        <v>0</v>
      </c>
      <c r="E78">
        <v>1</v>
      </c>
      <c r="F78">
        <v>8</v>
      </c>
      <c r="G78" t="b">
        <v>0</v>
      </c>
      <c r="H78">
        <v>2</v>
      </c>
      <c r="I78">
        <v>1</v>
      </c>
      <c r="J78">
        <v>0.14000000000000001</v>
      </c>
    </row>
    <row r="79" spans="1:10">
      <c r="A79">
        <v>78</v>
      </c>
      <c r="B79" s="2">
        <v>40547</v>
      </c>
      <c r="C79">
        <v>1</v>
      </c>
      <c r="D79">
        <v>0</v>
      </c>
      <c r="E79">
        <v>1</v>
      </c>
      <c r="F79">
        <v>9</v>
      </c>
      <c r="G79" t="b">
        <v>0</v>
      </c>
      <c r="H79">
        <v>2</v>
      </c>
      <c r="I79">
        <v>1</v>
      </c>
      <c r="J79">
        <v>0.16</v>
      </c>
    </row>
    <row r="80" spans="1:10">
      <c r="A80">
        <v>79</v>
      </c>
      <c r="B80" s="2">
        <v>40547</v>
      </c>
      <c r="C80">
        <v>1</v>
      </c>
      <c r="D80">
        <v>0</v>
      </c>
      <c r="E80">
        <v>1</v>
      </c>
      <c r="F80">
        <v>10</v>
      </c>
      <c r="G80" t="b">
        <v>0</v>
      </c>
      <c r="H80">
        <v>2</v>
      </c>
      <c r="I80">
        <v>2</v>
      </c>
      <c r="J80">
        <v>0.16</v>
      </c>
    </row>
    <row r="81" spans="1:10">
      <c r="A81">
        <v>80</v>
      </c>
      <c r="B81" s="2">
        <v>40547</v>
      </c>
      <c r="C81">
        <v>1</v>
      </c>
      <c r="D81">
        <v>0</v>
      </c>
      <c r="E81">
        <v>1</v>
      </c>
      <c r="F81">
        <v>11</v>
      </c>
      <c r="G81" t="b">
        <v>0</v>
      </c>
      <c r="H81">
        <v>2</v>
      </c>
      <c r="I81">
        <v>1</v>
      </c>
      <c r="J81">
        <v>0.22</v>
      </c>
    </row>
    <row r="82" spans="1:10">
      <c r="A82">
        <v>81</v>
      </c>
      <c r="B82" s="2">
        <v>40547</v>
      </c>
      <c r="C82">
        <v>1</v>
      </c>
      <c r="D82">
        <v>0</v>
      </c>
      <c r="E82">
        <v>1</v>
      </c>
      <c r="F82">
        <v>12</v>
      </c>
      <c r="G82" t="b">
        <v>0</v>
      </c>
      <c r="H82">
        <v>2</v>
      </c>
      <c r="I82">
        <v>1</v>
      </c>
      <c r="J82">
        <v>0.22</v>
      </c>
    </row>
    <row r="83" spans="1:10">
      <c r="A83">
        <v>82</v>
      </c>
      <c r="B83" s="2">
        <v>40547</v>
      </c>
      <c r="C83">
        <v>1</v>
      </c>
      <c r="D83">
        <v>0</v>
      </c>
      <c r="E83">
        <v>1</v>
      </c>
      <c r="F83">
        <v>13</v>
      </c>
      <c r="G83" t="b">
        <v>0</v>
      </c>
      <c r="H83">
        <v>2</v>
      </c>
      <c r="I83">
        <v>1</v>
      </c>
      <c r="J83">
        <v>0.24</v>
      </c>
    </row>
    <row r="84" spans="1:10">
      <c r="A84">
        <v>83</v>
      </c>
      <c r="B84" s="2">
        <v>40547</v>
      </c>
      <c r="C84">
        <v>1</v>
      </c>
      <c r="D84">
        <v>0</v>
      </c>
      <c r="E84">
        <v>1</v>
      </c>
      <c r="F84">
        <v>14</v>
      </c>
      <c r="G84" t="b">
        <v>0</v>
      </c>
      <c r="H84">
        <v>2</v>
      </c>
      <c r="I84">
        <v>1</v>
      </c>
      <c r="J84">
        <v>0.26</v>
      </c>
    </row>
    <row r="85" spans="1:10">
      <c r="A85">
        <v>84</v>
      </c>
      <c r="B85" s="2">
        <v>40547</v>
      </c>
      <c r="C85">
        <v>1</v>
      </c>
      <c r="D85">
        <v>0</v>
      </c>
      <c r="E85">
        <v>1</v>
      </c>
      <c r="F85">
        <v>15</v>
      </c>
      <c r="G85" t="b">
        <v>0</v>
      </c>
      <c r="H85">
        <v>2</v>
      </c>
      <c r="I85">
        <v>1</v>
      </c>
      <c r="J85">
        <v>0.28000000000000003</v>
      </c>
    </row>
    <row r="86" spans="1:10">
      <c r="A86">
        <v>85</v>
      </c>
      <c r="B86" s="2">
        <v>40547</v>
      </c>
      <c r="C86">
        <v>1</v>
      </c>
      <c r="D86">
        <v>0</v>
      </c>
      <c r="E86">
        <v>1</v>
      </c>
      <c r="F86">
        <v>16</v>
      </c>
      <c r="G86" t="b">
        <v>0</v>
      </c>
      <c r="H86">
        <v>2</v>
      </c>
      <c r="I86">
        <v>1</v>
      </c>
      <c r="J86">
        <v>0.3</v>
      </c>
    </row>
    <row r="87" spans="1:10">
      <c r="A87">
        <v>86</v>
      </c>
      <c r="B87" s="2">
        <v>40547</v>
      </c>
      <c r="C87">
        <v>1</v>
      </c>
      <c r="D87">
        <v>0</v>
      </c>
      <c r="E87">
        <v>1</v>
      </c>
      <c r="F87">
        <v>17</v>
      </c>
      <c r="G87" t="b">
        <v>0</v>
      </c>
      <c r="H87">
        <v>2</v>
      </c>
      <c r="I87">
        <v>1</v>
      </c>
      <c r="J87">
        <v>0.28000000000000003</v>
      </c>
    </row>
    <row r="88" spans="1:10">
      <c r="A88">
        <v>87</v>
      </c>
      <c r="B88" s="2">
        <v>40547</v>
      </c>
      <c r="C88">
        <v>1</v>
      </c>
      <c r="D88">
        <v>0</v>
      </c>
      <c r="E88">
        <v>1</v>
      </c>
      <c r="F88">
        <v>18</v>
      </c>
      <c r="G88" t="b">
        <v>0</v>
      </c>
      <c r="H88">
        <v>2</v>
      </c>
      <c r="I88">
        <v>1</v>
      </c>
      <c r="J88">
        <v>0.26</v>
      </c>
    </row>
    <row r="89" spans="1:10">
      <c r="A89">
        <v>88</v>
      </c>
      <c r="B89" s="2">
        <v>40547</v>
      </c>
      <c r="C89">
        <v>1</v>
      </c>
      <c r="D89">
        <v>0</v>
      </c>
      <c r="E89">
        <v>1</v>
      </c>
      <c r="F89">
        <v>19</v>
      </c>
      <c r="G89" t="b">
        <v>0</v>
      </c>
      <c r="H89">
        <v>2</v>
      </c>
      <c r="I89">
        <v>1</v>
      </c>
      <c r="J89">
        <v>0.24</v>
      </c>
    </row>
    <row r="90" spans="1:10">
      <c r="A90">
        <v>89</v>
      </c>
      <c r="B90" s="2">
        <v>40547</v>
      </c>
      <c r="C90">
        <v>1</v>
      </c>
      <c r="D90">
        <v>0</v>
      </c>
      <c r="E90">
        <v>1</v>
      </c>
      <c r="F90">
        <v>20</v>
      </c>
      <c r="G90" t="b">
        <v>0</v>
      </c>
      <c r="H90">
        <v>2</v>
      </c>
      <c r="I90">
        <v>1</v>
      </c>
      <c r="J90">
        <v>0.24</v>
      </c>
    </row>
    <row r="91" spans="1:10">
      <c r="A91">
        <v>90</v>
      </c>
      <c r="B91" s="2">
        <v>40547</v>
      </c>
      <c r="C91">
        <v>1</v>
      </c>
      <c r="D91">
        <v>0</v>
      </c>
      <c r="E91">
        <v>1</v>
      </c>
      <c r="F91">
        <v>21</v>
      </c>
      <c r="G91" t="b">
        <v>0</v>
      </c>
      <c r="H91">
        <v>2</v>
      </c>
      <c r="I91">
        <v>1</v>
      </c>
      <c r="J91">
        <v>0.22</v>
      </c>
    </row>
    <row r="92" spans="1:10">
      <c r="A92">
        <v>91</v>
      </c>
      <c r="B92" s="2">
        <v>40547</v>
      </c>
      <c r="C92">
        <v>1</v>
      </c>
      <c r="D92">
        <v>0</v>
      </c>
      <c r="E92">
        <v>1</v>
      </c>
      <c r="F92">
        <v>22</v>
      </c>
      <c r="G92" t="b">
        <v>0</v>
      </c>
      <c r="H92">
        <v>2</v>
      </c>
      <c r="I92">
        <v>1</v>
      </c>
      <c r="J92">
        <v>0.22</v>
      </c>
    </row>
    <row r="93" spans="1:10">
      <c r="A93">
        <v>92</v>
      </c>
      <c r="B93" s="2">
        <v>40547</v>
      </c>
      <c r="C93">
        <v>1</v>
      </c>
      <c r="D93">
        <v>0</v>
      </c>
      <c r="E93">
        <v>1</v>
      </c>
      <c r="F93">
        <v>23</v>
      </c>
      <c r="G93" t="b">
        <v>0</v>
      </c>
      <c r="H93">
        <v>2</v>
      </c>
      <c r="I93">
        <v>1</v>
      </c>
      <c r="J93">
        <v>0.2</v>
      </c>
    </row>
    <row r="94" spans="1:10">
      <c r="A94">
        <v>93</v>
      </c>
      <c r="B94" s="2">
        <v>40548</v>
      </c>
      <c r="C94">
        <v>1</v>
      </c>
      <c r="D94">
        <v>0</v>
      </c>
      <c r="E94">
        <v>1</v>
      </c>
      <c r="F94">
        <v>0</v>
      </c>
      <c r="G94" t="b">
        <v>0</v>
      </c>
      <c r="H94">
        <v>3</v>
      </c>
      <c r="I94">
        <v>1</v>
      </c>
      <c r="J94">
        <v>0.2</v>
      </c>
    </row>
    <row r="95" spans="1:10">
      <c r="A95">
        <v>94</v>
      </c>
      <c r="B95" s="2">
        <v>40548</v>
      </c>
      <c r="C95">
        <v>1</v>
      </c>
      <c r="D95">
        <v>0</v>
      </c>
      <c r="E95">
        <v>1</v>
      </c>
      <c r="F95">
        <v>1</v>
      </c>
      <c r="G95" t="b">
        <v>0</v>
      </c>
      <c r="H95">
        <v>3</v>
      </c>
      <c r="I95">
        <v>1</v>
      </c>
      <c r="J95">
        <v>0.16</v>
      </c>
    </row>
    <row r="96" spans="1:10">
      <c r="A96">
        <v>95</v>
      </c>
      <c r="B96" s="2">
        <v>40548</v>
      </c>
      <c r="C96">
        <v>1</v>
      </c>
      <c r="D96">
        <v>0</v>
      </c>
      <c r="E96">
        <v>1</v>
      </c>
      <c r="F96">
        <v>2</v>
      </c>
      <c r="G96" t="b">
        <v>0</v>
      </c>
      <c r="H96">
        <v>3</v>
      </c>
      <c r="I96">
        <v>1</v>
      </c>
      <c r="J96">
        <v>0.16</v>
      </c>
    </row>
    <row r="97" spans="1:10">
      <c r="A97">
        <v>96</v>
      </c>
      <c r="B97" s="2">
        <v>40548</v>
      </c>
      <c r="C97">
        <v>1</v>
      </c>
      <c r="D97">
        <v>0</v>
      </c>
      <c r="E97">
        <v>1</v>
      </c>
      <c r="F97">
        <v>4</v>
      </c>
      <c r="G97" t="b">
        <v>0</v>
      </c>
      <c r="H97">
        <v>3</v>
      </c>
      <c r="I97">
        <v>1</v>
      </c>
      <c r="J97">
        <v>0.24</v>
      </c>
    </row>
    <row r="98" spans="1:10">
      <c r="A98">
        <v>97</v>
      </c>
      <c r="B98" s="2">
        <v>40548</v>
      </c>
      <c r="C98">
        <v>1</v>
      </c>
      <c r="D98">
        <v>0</v>
      </c>
      <c r="E98">
        <v>1</v>
      </c>
      <c r="F98">
        <v>5</v>
      </c>
      <c r="G98" t="b">
        <v>0</v>
      </c>
      <c r="H98">
        <v>3</v>
      </c>
      <c r="I98">
        <v>1</v>
      </c>
      <c r="J98">
        <v>0.22</v>
      </c>
    </row>
    <row r="99" spans="1:10">
      <c r="A99">
        <v>98</v>
      </c>
      <c r="B99" s="2">
        <v>40548</v>
      </c>
      <c r="C99">
        <v>1</v>
      </c>
      <c r="D99">
        <v>0</v>
      </c>
      <c r="E99">
        <v>1</v>
      </c>
      <c r="F99">
        <v>6</v>
      </c>
      <c r="G99" t="b">
        <v>0</v>
      </c>
      <c r="H99">
        <v>3</v>
      </c>
      <c r="I99">
        <v>1</v>
      </c>
      <c r="J99">
        <v>0.2</v>
      </c>
    </row>
    <row r="100" spans="1:10">
      <c r="A100">
        <v>99</v>
      </c>
      <c r="B100" s="2">
        <v>40548</v>
      </c>
      <c r="C100">
        <v>1</v>
      </c>
      <c r="D100">
        <v>0</v>
      </c>
      <c r="E100">
        <v>1</v>
      </c>
      <c r="F100">
        <v>7</v>
      </c>
      <c r="G100" t="b">
        <v>0</v>
      </c>
      <c r="H100">
        <v>3</v>
      </c>
      <c r="I100">
        <v>1</v>
      </c>
      <c r="J100">
        <v>0.18</v>
      </c>
    </row>
    <row r="101" spans="1:10">
      <c r="A101">
        <v>100</v>
      </c>
      <c r="B101" s="2">
        <v>40548</v>
      </c>
      <c r="C101">
        <v>1</v>
      </c>
      <c r="D101">
        <v>0</v>
      </c>
      <c r="E101">
        <v>1</v>
      </c>
      <c r="F101">
        <v>8</v>
      </c>
      <c r="G101" t="b">
        <v>0</v>
      </c>
      <c r="H101">
        <v>3</v>
      </c>
      <c r="I101">
        <v>1</v>
      </c>
      <c r="J101">
        <v>0.2</v>
      </c>
    </row>
    <row r="102" spans="1:10">
      <c r="A102">
        <v>101</v>
      </c>
      <c r="B102" s="2">
        <v>40548</v>
      </c>
      <c r="C102">
        <v>1</v>
      </c>
      <c r="D102">
        <v>0</v>
      </c>
      <c r="E102">
        <v>1</v>
      </c>
      <c r="F102">
        <v>9</v>
      </c>
      <c r="G102" t="b">
        <v>0</v>
      </c>
      <c r="H102">
        <v>3</v>
      </c>
      <c r="I102">
        <v>1</v>
      </c>
      <c r="J102">
        <v>0.22</v>
      </c>
    </row>
    <row r="103" spans="1:10">
      <c r="A103">
        <v>102</v>
      </c>
      <c r="B103" s="2">
        <v>40548</v>
      </c>
      <c r="C103">
        <v>1</v>
      </c>
      <c r="D103">
        <v>0</v>
      </c>
      <c r="E103">
        <v>1</v>
      </c>
      <c r="F103">
        <v>10</v>
      </c>
      <c r="G103" t="b">
        <v>0</v>
      </c>
      <c r="H103">
        <v>3</v>
      </c>
      <c r="I103">
        <v>1</v>
      </c>
      <c r="J103">
        <v>0.22</v>
      </c>
    </row>
    <row r="104" spans="1:10">
      <c r="A104">
        <v>103</v>
      </c>
      <c r="B104" s="2">
        <v>40548</v>
      </c>
      <c r="C104">
        <v>1</v>
      </c>
      <c r="D104">
        <v>0</v>
      </c>
      <c r="E104">
        <v>1</v>
      </c>
      <c r="F104">
        <v>11</v>
      </c>
      <c r="G104" t="b">
        <v>0</v>
      </c>
      <c r="H104">
        <v>3</v>
      </c>
      <c r="I104">
        <v>1</v>
      </c>
      <c r="J104">
        <v>0.26</v>
      </c>
    </row>
    <row r="105" spans="1:10">
      <c r="A105">
        <v>104</v>
      </c>
      <c r="B105" s="2">
        <v>40548</v>
      </c>
      <c r="C105">
        <v>1</v>
      </c>
      <c r="D105">
        <v>0</v>
      </c>
      <c r="E105">
        <v>1</v>
      </c>
      <c r="F105">
        <v>12</v>
      </c>
      <c r="G105" t="b">
        <v>0</v>
      </c>
      <c r="H105">
        <v>3</v>
      </c>
      <c r="I105">
        <v>1</v>
      </c>
      <c r="J105">
        <v>0.26</v>
      </c>
    </row>
    <row r="106" spans="1:10">
      <c r="A106">
        <v>105</v>
      </c>
      <c r="B106" s="2">
        <v>40548</v>
      </c>
      <c r="C106">
        <v>1</v>
      </c>
      <c r="D106">
        <v>0</v>
      </c>
      <c r="E106">
        <v>1</v>
      </c>
      <c r="F106">
        <v>13</v>
      </c>
      <c r="G106" t="b">
        <v>0</v>
      </c>
      <c r="H106">
        <v>3</v>
      </c>
      <c r="I106">
        <v>1</v>
      </c>
      <c r="J106">
        <v>0.28000000000000003</v>
      </c>
    </row>
    <row r="107" spans="1:10">
      <c r="A107">
        <v>106</v>
      </c>
      <c r="B107" s="2">
        <v>40548</v>
      </c>
      <c r="C107">
        <v>1</v>
      </c>
      <c r="D107">
        <v>0</v>
      </c>
      <c r="E107">
        <v>1</v>
      </c>
      <c r="F107">
        <v>14</v>
      </c>
      <c r="G107" t="b">
        <v>0</v>
      </c>
      <c r="H107">
        <v>3</v>
      </c>
      <c r="I107">
        <v>1</v>
      </c>
      <c r="J107">
        <v>0.3</v>
      </c>
    </row>
    <row r="108" spans="1:10">
      <c r="A108">
        <v>107</v>
      </c>
      <c r="B108" s="2">
        <v>40548</v>
      </c>
      <c r="C108">
        <v>1</v>
      </c>
      <c r="D108">
        <v>0</v>
      </c>
      <c r="E108">
        <v>1</v>
      </c>
      <c r="F108">
        <v>15</v>
      </c>
      <c r="G108" t="b">
        <v>0</v>
      </c>
      <c r="H108">
        <v>3</v>
      </c>
      <c r="I108">
        <v>1</v>
      </c>
      <c r="J108">
        <v>0.3</v>
      </c>
    </row>
    <row r="109" spans="1:10">
      <c r="A109">
        <v>108</v>
      </c>
      <c r="B109" s="2">
        <v>40548</v>
      </c>
      <c r="C109">
        <v>1</v>
      </c>
      <c r="D109">
        <v>0</v>
      </c>
      <c r="E109">
        <v>1</v>
      </c>
      <c r="F109">
        <v>16</v>
      </c>
      <c r="G109" t="b">
        <v>0</v>
      </c>
      <c r="H109">
        <v>3</v>
      </c>
      <c r="I109">
        <v>1</v>
      </c>
      <c r="J109">
        <v>0.3</v>
      </c>
    </row>
    <row r="110" spans="1:10">
      <c r="A110">
        <v>109</v>
      </c>
      <c r="B110" s="2">
        <v>40548</v>
      </c>
      <c r="C110">
        <v>1</v>
      </c>
      <c r="D110">
        <v>0</v>
      </c>
      <c r="E110">
        <v>1</v>
      </c>
      <c r="F110">
        <v>17</v>
      </c>
      <c r="G110" t="b">
        <v>0</v>
      </c>
      <c r="H110">
        <v>3</v>
      </c>
      <c r="I110">
        <v>1</v>
      </c>
      <c r="J110">
        <v>0.24</v>
      </c>
    </row>
    <row r="111" spans="1:10">
      <c r="A111">
        <v>110</v>
      </c>
      <c r="B111" s="2">
        <v>40548</v>
      </c>
      <c r="C111">
        <v>1</v>
      </c>
      <c r="D111">
        <v>0</v>
      </c>
      <c r="E111">
        <v>1</v>
      </c>
      <c r="F111">
        <v>18</v>
      </c>
      <c r="G111" t="b">
        <v>0</v>
      </c>
      <c r="H111">
        <v>3</v>
      </c>
      <c r="I111">
        <v>1</v>
      </c>
      <c r="J111">
        <v>0.24</v>
      </c>
    </row>
    <row r="112" spans="1:10">
      <c r="A112">
        <v>111</v>
      </c>
      <c r="B112" s="2">
        <v>40548</v>
      </c>
      <c r="C112">
        <v>1</v>
      </c>
      <c r="D112">
        <v>0</v>
      </c>
      <c r="E112">
        <v>1</v>
      </c>
      <c r="F112">
        <v>19</v>
      </c>
      <c r="G112" t="b">
        <v>0</v>
      </c>
      <c r="H112">
        <v>3</v>
      </c>
      <c r="I112">
        <v>1</v>
      </c>
      <c r="J112">
        <v>0.24</v>
      </c>
    </row>
    <row r="113" spans="1:10">
      <c r="A113">
        <v>112</v>
      </c>
      <c r="B113" s="2">
        <v>40548</v>
      </c>
      <c r="C113">
        <v>1</v>
      </c>
      <c r="D113">
        <v>0</v>
      </c>
      <c r="E113">
        <v>1</v>
      </c>
      <c r="F113">
        <v>20</v>
      </c>
      <c r="G113" t="b">
        <v>0</v>
      </c>
      <c r="H113">
        <v>3</v>
      </c>
      <c r="I113">
        <v>1</v>
      </c>
      <c r="J113">
        <v>0.22</v>
      </c>
    </row>
    <row r="114" spans="1:10">
      <c r="A114">
        <v>113</v>
      </c>
      <c r="B114" s="2">
        <v>40548</v>
      </c>
      <c r="C114">
        <v>1</v>
      </c>
      <c r="D114">
        <v>0</v>
      </c>
      <c r="E114">
        <v>1</v>
      </c>
      <c r="F114">
        <v>21</v>
      </c>
      <c r="G114" t="b">
        <v>0</v>
      </c>
      <c r="H114">
        <v>3</v>
      </c>
      <c r="I114">
        <v>1</v>
      </c>
      <c r="J114">
        <v>0.2</v>
      </c>
    </row>
    <row r="115" spans="1:10">
      <c r="A115">
        <v>114</v>
      </c>
      <c r="B115" s="2">
        <v>40548</v>
      </c>
      <c r="C115">
        <v>1</v>
      </c>
      <c r="D115">
        <v>0</v>
      </c>
      <c r="E115">
        <v>1</v>
      </c>
      <c r="F115">
        <v>22</v>
      </c>
      <c r="G115" t="b">
        <v>0</v>
      </c>
      <c r="H115">
        <v>3</v>
      </c>
      <c r="I115">
        <v>1</v>
      </c>
      <c r="J115">
        <v>0.18</v>
      </c>
    </row>
    <row r="116" spans="1:10">
      <c r="A116">
        <v>115</v>
      </c>
      <c r="B116" s="2">
        <v>40548</v>
      </c>
      <c r="C116">
        <v>1</v>
      </c>
      <c r="D116">
        <v>0</v>
      </c>
      <c r="E116">
        <v>1</v>
      </c>
      <c r="F116">
        <v>23</v>
      </c>
      <c r="G116" t="b">
        <v>0</v>
      </c>
      <c r="H116">
        <v>3</v>
      </c>
      <c r="I116">
        <v>1</v>
      </c>
      <c r="J116">
        <v>0.2</v>
      </c>
    </row>
    <row r="117" spans="1:10">
      <c r="A117">
        <v>116</v>
      </c>
      <c r="B117" s="2">
        <v>40549</v>
      </c>
      <c r="C117">
        <v>1</v>
      </c>
      <c r="D117">
        <v>0</v>
      </c>
      <c r="E117">
        <v>1</v>
      </c>
      <c r="F117">
        <v>0</v>
      </c>
      <c r="G117" t="b">
        <v>0</v>
      </c>
      <c r="H117">
        <v>4</v>
      </c>
      <c r="I117">
        <v>1</v>
      </c>
      <c r="J117">
        <v>0.18</v>
      </c>
    </row>
    <row r="118" spans="1:10">
      <c r="A118">
        <v>117</v>
      </c>
      <c r="B118" s="2">
        <v>40549</v>
      </c>
      <c r="C118">
        <v>1</v>
      </c>
      <c r="D118">
        <v>0</v>
      </c>
      <c r="E118">
        <v>1</v>
      </c>
      <c r="F118">
        <v>1</v>
      </c>
      <c r="G118" t="b">
        <v>0</v>
      </c>
      <c r="H118">
        <v>4</v>
      </c>
      <c r="I118">
        <v>1</v>
      </c>
      <c r="J118">
        <v>0.16</v>
      </c>
    </row>
    <row r="119" spans="1:10">
      <c r="A119">
        <v>118</v>
      </c>
      <c r="B119" s="2">
        <v>40549</v>
      </c>
      <c r="C119">
        <v>1</v>
      </c>
      <c r="D119">
        <v>0</v>
      </c>
      <c r="E119">
        <v>1</v>
      </c>
      <c r="F119">
        <v>2</v>
      </c>
      <c r="G119" t="b">
        <v>0</v>
      </c>
      <c r="H119">
        <v>4</v>
      </c>
      <c r="I119">
        <v>1</v>
      </c>
      <c r="J119">
        <v>0.16</v>
      </c>
    </row>
    <row r="120" spans="1:10">
      <c r="A120">
        <v>119</v>
      </c>
      <c r="B120" s="2">
        <v>40549</v>
      </c>
      <c r="C120">
        <v>1</v>
      </c>
      <c r="D120">
        <v>0</v>
      </c>
      <c r="E120">
        <v>1</v>
      </c>
      <c r="F120">
        <v>4</v>
      </c>
      <c r="G120" t="b">
        <v>0</v>
      </c>
      <c r="H120">
        <v>4</v>
      </c>
      <c r="I120">
        <v>2</v>
      </c>
      <c r="J120">
        <v>0.16</v>
      </c>
    </row>
    <row r="121" spans="1:10">
      <c r="A121">
        <v>120</v>
      </c>
      <c r="B121" s="2">
        <v>40549</v>
      </c>
      <c r="C121">
        <v>1</v>
      </c>
      <c r="D121">
        <v>0</v>
      </c>
      <c r="E121">
        <v>1</v>
      </c>
      <c r="F121">
        <v>5</v>
      </c>
      <c r="G121" t="b">
        <v>0</v>
      </c>
      <c r="H121">
        <v>4</v>
      </c>
      <c r="I121">
        <v>2</v>
      </c>
      <c r="J121">
        <v>0.14000000000000001</v>
      </c>
    </row>
    <row r="122" spans="1:10">
      <c r="A122">
        <v>121</v>
      </c>
      <c r="B122" s="2">
        <v>40549</v>
      </c>
      <c r="C122">
        <v>1</v>
      </c>
      <c r="D122">
        <v>0</v>
      </c>
      <c r="E122">
        <v>1</v>
      </c>
      <c r="F122">
        <v>6</v>
      </c>
      <c r="G122" t="b">
        <v>0</v>
      </c>
      <c r="H122">
        <v>4</v>
      </c>
      <c r="I122">
        <v>2</v>
      </c>
      <c r="J122">
        <v>0.14000000000000001</v>
      </c>
    </row>
    <row r="123" spans="1:10">
      <c r="A123">
        <v>122</v>
      </c>
      <c r="B123" s="2">
        <v>40549</v>
      </c>
      <c r="C123">
        <v>1</v>
      </c>
      <c r="D123">
        <v>0</v>
      </c>
      <c r="E123">
        <v>1</v>
      </c>
      <c r="F123">
        <v>7</v>
      </c>
      <c r="G123" t="b">
        <v>0</v>
      </c>
      <c r="H123">
        <v>4</v>
      </c>
      <c r="I123">
        <v>2</v>
      </c>
      <c r="J123">
        <v>0.16</v>
      </c>
    </row>
    <row r="124" spans="1:10">
      <c r="A124">
        <v>123</v>
      </c>
      <c r="B124" s="2">
        <v>40549</v>
      </c>
      <c r="C124">
        <v>1</v>
      </c>
      <c r="D124">
        <v>0</v>
      </c>
      <c r="E124">
        <v>1</v>
      </c>
      <c r="F124">
        <v>8</v>
      </c>
      <c r="G124" t="b">
        <v>0</v>
      </c>
      <c r="H124">
        <v>4</v>
      </c>
      <c r="I124">
        <v>1</v>
      </c>
      <c r="J124">
        <v>0.16</v>
      </c>
    </row>
    <row r="125" spans="1:10">
      <c r="A125">
        <v>124</v>
      </c>
      <c r="B125" s="2">
        <v>40549</v>
      </c>
      <c r="C125">
        <v>1</v>
      </c>
      <c r="D125">
        <v>0</v>
      </c>
      <c r="E125">
        <v>1</v>
      </c>
      <c r="F125">
        <v>9</v>
      </c>
      <c r="G125" t="b">
        <v>0</v>
      </c>
      <c r="H125">
        <v>4</v>
      </c>
      <c r="I125">
        <v>2</v>
      </c>
      <c r="J125">
        <v>0.18</v>
      </c>
    </row>
    <row r="126" spans="1:10">
      <c r="A126">
        <v>125</v>
      </c>
      <c r="B126" s="2">
        <v>40549</v>
      </c>
      <c r="C126">
        <v>1</v>
      </c>
      <c r="D126">
        <v>0</v>
      </c>
      <c r="E126">
        <v>1</v>
      </c>
      <c r="F126">
        <v>10</v>
      </c>
      <c r="G126" t="b">
        <v>0</v>
      </c>
      <c r="H126">
        <v>4</v>
      </c>
      <c r="I126">
        <v>1</v>
      </c>
      <c r="J126">
        <v>0.2</v>
      </c>
    </row>
    <row r="127" spans="1:10">
      <c r="A127">
        <v>126</v>
      </c>
      <c r="B127" s="2">
        <v>40549</v>
      </c>
      <c r="C127">
        <v>1</v>
      </c>
      <c r="D127">
        <v>0</v>
      </c>
      <c r="E127">
        <v>1</v>
      </c>
      <c r="F127">
        <v>11</v>
      </c>
      <c r="G127" t="b">
        <v>0</v>
      </c>
      <c r="H127">
        <v>4</v>
      </c>
      <c r="I127">
        <v>1</v>
      </c>
      <c r="J127">
        <v>0.22</v>
      </c>
    </row>
    <row r="128" spans="1:10">
      <c r="A128">
        <v>127</v>
      </c>
      <c r="B128" s="2">
        <v>40549</v>
      </c>
      <c r="C128">
        <v>1</v>
      </c>
      <c r="D128">
        <v>0</v>
      </c>
      <c r="E128">
        <v>1</v>
      </c>
      <c r="F128">
        <v>12</v>
      </c>
      <c r="G128" t="b">
        <v>0</v>
      </c>
      <c r="H128">
        <v>4</v>
      </c>
      <c r="I128">
        <v>1</v>
      </c>
      <c r="J128">
        <v>0.26</v>
      </c>
    </row>
    <row r="129" spans="1:10">
      <c r="A129">
        <v>128</v>
      </c>
      <c r="B129" s="2">
        <v>40549</v>
      </c>
      <c r="C129">
        <v>1</v>
      </c>
      <c r="D129">
        <v>0</v>
      </c>
      <c r="E129">
        <v>1</v>
      </c>
      <c r="F129">
        <v>13</v>
      </c>
      <c r="G129" t="b">
        <v>0</v>
      </c>
      <c r="H129">
        <v>4</v>
      </c>
      <c r="I129">
        <v>1</v>
      </c>
      <c r="J129">
        <v>0.26</v>
      </c>
    </row>
    <row r="130" spans="1:10">
      <c r="A130">
        <v>129</v>
      </c>
      <c r="B130" s="2">
        <v>40549</v>
      </c>
      <c r="C130">
        <v>1</v>
      </c>
      <c r="D130">
        <v>0</v>
      </c>
      <c r="E130">
        <v>1</v>
      </c>
      <c r="F130">
        <v>14</v>
      </c>
      <c r="G130" t="b">
        <v>0</v>
      </c>
      <c r="H130">
        <v>4</v>
      </c>
      <c r="I130">
        <v>1</v>
      </c>
      <c r="J130">
        <v>0.28000000000000003</v>
      </c>
    </row>
    <row r="131" spans="1:10">
      <c r="A131">
        <v>130</v>
      </c>
      <c r="B131" s="2">
        <v>40549</v>
      </c>
      <c r="C131">
        <v>1</v>
      </c>
      <c r="D131">
        <v>0</v>
      </c>
      <c r="E131">
        <v>1</v>
      </c>
      <c r="F131">
        <v>15</v>
      </c>
      <c r="G131" t="b">
        <v>0</v>
      </c>
      <c r="H131">
        <v>4</v>
      </c>
      <c r="I131">
        <v>1</v>
      </c>
      <c r="J131">
        <v>0.28000000000000003</v>
      </c>
    </row>
    <row r="132" spans="1:10">
      <c r="A132">
        <v>131</v>
      </c>
      <c r="B132" s="2">
        <v>40549</v>
      </c>
      <c r="C132">
        <v>1</v>
      </c>
      <c r="D132">
        <v>0</v>
      </c>
      <c r="E132">
        <v>1</v>
      </c>
      <c r="F132">
        <v>16</v>
      </c>
      <c r="G132" t="b">
        <v>0</v>
      </c>
      <c r="H132">
        <v>4</v>
      </c>
      <c r="I132">
        <v>1</v>
      </c>
      <c r="J132">
        <v>0.26</v>
      </c>
    </row>
    <row r="133" spans="1:10">
      <c r="A133">
        <v>132</v>
      </c>
      <c r="B133" s="2">
        <v>40549</v>
      </c>
      <c r="C133">
        <v>1</v>
      </c>
      <c r="D133">
        <v>0</v>
      </c>
      <c r="E133">
        <v>1</v>
      </c>
      <c r="F133">
        <v>17</v>
      </c>
      <c r="G133" t="b">
        <v>0</v>
      </c>
      <c r="H133">
        <v>4</v>
      </c>
      <c r="I133">
        <v>1</v>
      </c>
      <c r="J133">
        <v>0.22</v>
      </c>
    </row>
    <row r="134" spans="1:10">
      <c r="A134">
        <v>133</v>
      </c>
      <c r="B134" s="2">
        <v>40549</v>
      </c>
      <c r="C134">
        <v>1</v>
      </c>
      <c r="D134">
        <v>0</v>
      </c>
      <c r="E134">
        <v>1</v>
      </c>
      <c r="F134">
        <v>18</v>
      </c>
      <c r="G134" t="b">
        <v>0</v>
      </c>
      <c r="H134">
        <v>4</v>
      </c>
      <c r="I134">
        <v>1</v>
      </c>
      <c r="J134">
        <v>0.22</v>
      </c>
    </row>
    <row r="135" spans="1:10">
      <c r="A135">
        <v>134</v>
      </c>
      <c r="B135" s="2">
        <v>40549</v>
      </c>
      <c r="C135">
        <v>1</v>
      </c>
      <c r="D135">
        <v>0</v>
      </c>
      <c r="E135">
        <v>1</v>
      </c>
      <c r="F135">
        <v>19</v>
      </c>
      <c r="G135" t="b">
        <v>0</v>
      </c>
      <c r="H135">
        <v>4</v>
      </c>
      <c r="I135">
        <v>1</v>
      </c>
      <c r="J135">
        <v>0.22</v>
      </c>
    </row>
    <row r="136" spans="1:10">
      <c r="A136">
        <v>135</v>
      </c>
      <c r="B136" s="2">
        <v>40549</v>
      </c>
      <c r="C136">
        <v>1</v>
      </c>
      <c r="D136">
        <v>0</v>
      </c>
      <c r="E136">
        <v>1</v>
      </c>
      <c r="F136">
        <v>20</v>
      </c>
      <c r="G136" t="b">
        <v>0</v>
      </c>
      <c r="H136">
        <v>4</v>
      </c>
      <c r="I136">
        <v>1</v>
      </c>
      <c r="J136">
        <v>0.2</v>
      </c>
    </row>
    <row r="137" spans="1:10">
      <c r="A137">
        <v>136</v>
      </c>
      <c r="B137" s="2">
        <v>40549</v>
      </c>
      <c r="C137">
        <v>1</v>
      </c>
      <c r="D137">
        <v>0</v>
      </c>
      <c r="E137">
        <v>1</v>
      </c>
      <c r="F137">
        <v>21</v>
      </c>
      <c r="G137" t="b">
        <v>0</v>
      </c>
      <c r="H137">
        <v>4</v>
      </c>
      <c r="I137">
        <v>2</v>
      </c>
      <c r="J137">
        <v>0.22</v>
      </c>
    </row>
    <row r="138" spans="1:10">
      <c r="A138">
        <v>137</v>
      </c>
      <c r="B138" s="2">
        <v>40549</v>
      </c>
      <c r="C138">
        <v>1</v>
      </c>
      <c r="D138">
        <v>0</v>
      </c>
      <c r="E138">
        <v>1</v>
      </c>
      <c r="F138">
        <v>22</v>
      </c>
      <c r="G138" t="b">
        <v>0</v>
      </c>
      <c r="H138">
        <v>4</v>
      </c>
      <c r="I138">
        <v>2</v>
      </c>
      <c r="J138">
        <v>0.22</v>
      </c>
    </row>
    <row r="139" spans="1:10">
      <c r="A139">
        <v>138</v>
      </c>
      <c r="B139" s="2">
        <v>40549</v>
      </c>
      <c r="C139">
        <v>1</v>
      </c>
      <c r="D139">
        <v>0</v>
      </c>
      <c r="E139">
        <v>1</v>
      </c>
      <c r="F139">
        <v>23</v>
      </c>
      <c r="G139" t="b">
        <v>0</v>
      </c>
      <c r="H139">
        <v>4</v>
      </c>
      <c r="I139">
        <v>2</v>
      </c>
      <c r="J139">
        <v>0.2</v>
      </c>
    </row>
    <row r="140" spans="1:10">
      <c r="A140">
        <v>139</v>
      </c>
      <c r="B140" s="2">
        <v>40550</v>
      </c>
      <c r="C140">
        <v>1</v>
      </c>
      <c r="D140">
        <v>0</v>
      </c>
      <c r="E140">
        <v>1</v>
      </c>
      <c r="F140">
        <v>0</v>
      </c>
      <c r="G140" t="b">
        <v>0</v>
      </c>
      <c r="H140">
        <v>5</v>
      </c>
      <c r="I140">
        <v>2</v>
      </c>
      <c r="J140">
        <v>0.2</v>
      </c>
    </row>
    <row r="141" spans="1:10">
      <c r="A141">
        <v>140</v>
      </c>
      <c r="B141" s="2">
        <v>40550</v>
      </c>
      <c r="C141">
        <v>1</v>
      </c>
      <c r="D141">
        <v>0</v>
      </c>
      <c r="E141">
        <v>1</v>
      </c>
      <c r="F141">
        <v>1</v>
      </c>
      <c r="G141" t="b">
        <v>0</v>
      </c>
      <c r="H141">
        <v>5</v>
      </c>
      <c r="I141">
        <v>2</v>
      </c>
      <c r="J141">
        <v>0.2</v>
      </c>
    </row>
    <row r="142" spans="1:10">
      <c r="A142">
        <v>141</v>
      </c>
      <c r="B142" s="2">
        <v>40550</v>
      </c>
      <c r="C142">
        <v>1</v>
      </c>
      <c r="D142">
        <v>0</v>
      </c>
      <c r="E142">
        <v>1</v>
      </c>
      <c r="F142">
        <v>2</v>
      </c>
      <c r="G142" t="b">
        <v>0</v>
      </c>
      <c r="H142">
        <v>5</v>
      </c>
      <c r="I142">
        <v>2</v>
      </c>
      <c r="J142">
        <v>0.2</v>
      </c>
    </row>
    <row r="143" spans="1:10">
      <c r="A143">
        <v>142</v>
      </c>
      <c r="B143" s="2">
        <v>40550</v>
      </c>
      <c r="C143">
        <v>1</v>
      </c>
      <c r="D143">
        <v>0</v>
      </c>
      <c r="E143">
        <v>1</v>
      </c>
      <c r="F143">
        <v>4</v>
      </c>
      <c r="G143" t="b">
        <v>0</v>
      </c>
      <c r="H143">
        <v>5</v>
      </c>
      <c r="I143">
        <v>2</v>
      </c>
      <c r="J143">
        <v>0.2</v>
      </c>
    </row>
    <row r="144" spans="1:10">
      <c r="A144">
        <v>143</v>
      </c>
      <c r="B144" s="2">
        <v>40550</v>
      </c>
      <c r="C144">
        <v>1</v>
      </c>
      <c r="D144">
        <v>0</v>
      </c>
      <c r="E144">
        <v>1</v>
      </c>
      <c r="F144">
        <v>5</v>
      </c>
      <c r="G144" t="b">
        <v>0</v>
      </c>
      <c r="H144">
        <v>5</v>
      </c>
      <c r="I144">
        <v>3</v>
      </c>
      <c r="J144">
        <v>0.22</v>
      </c>
    </row>
    <row r="145" spans="1:10">
      <c r="A145">
        <v>144</v>
      </c>
      <c r="B145" s="2">
        <v>40550</v>
      </c>
      <c r="C145">
        <v>1</v>
      </c>
      <c r="D145">
        <v>0</v>
      </c>
      <c r="E145">
        <v>1</v>
      </c>
      <c r="F145">
        <v>6</v>
      </c>
      <c r="G145" t="b">
        <v>0</v>
      </c>
      <c r="H145">
        <v>5</v>
      </c>
      <c r="I145">
        <v>2</v>
      </c>
      <c r="J145">
        <v>0.2</v>
      </c>
    </row>
    <row r="146" spans="1:10">
      <c r="A146">
        <v>145</v>
      </c>
      <c r="B146" s="2">
        <v>40550</v>
      </c>
      <c r="C146">
        <v>1</v>
      </c>
      <c r="D146">
        <v>0</v>
      </c>
      <c r="E146">
        <v>1</v>
      </c>
      <c r="F146">
        <v>7</v>
      </c>
      <c r="G146" t="b">
        <v>0</v>
      </c>
      <c r="H146">
        <v>5</v>
      </c>
      <c r="I146">
        <v>1</v>
      </c>
      <c r="J146">
        <v>0.2</v>
      </c>
    </row>
    <row r="147" spans="1:10">
      <c r="A147">
        <v>146</v>
      </c>
      <c r="B147" s="2">
        <v>40550</v>
      </c>
      <c r="C147">
        <v>1</v>
      </c>
      <c r="D147">
        <v>0</v>
      </c>
      <c r="E147">
        <v>1</v>
      </c>
      <c r="F147">
        <v>8</v>
      </c>
      <c r="G147" t="b">
        <v>0</v>
      </c>
      <c r="H147">
        <v>5</v>
      </c>
      <c r="I147">
        <v>1</v>
      </c>
      <c r="J147">
        <v>0.2</v>
      </c>
    </row>
    <row r="148" spans="1:10">
      <c r="A148">
        <v>147</v>
      </c>
      <c r="B148" s="2">
        <v>40550</v>
      </c>
      <c r="C148">
        <v>1</v>
      </c>
      <c r="D148">
        <v>0</v>
      </c>
      <c r="E148">
        <v>1</v>
      </c>
      <c r="F148">
        <v>9</v>
      </c>
      <c r="G148" t="b">
        <v>0</v>
      </c>
      <c r="H148">
        <v>5</v>
      </c>
      <c r="I148">
        <v>1</v>
      </c>
      <c r="J148">
        <v>0.2</v>
      </c>
    </row>
    <row r="149" spans="1:10">
      <c r="A149">
        <v>148</v>
      </c>
      <c r="B149" s="2">
        <v>40550</v>
      </c>
      <c r="C149">
        <v>1</v>
      </c>
      <c r="D149">
        <v>0</v>
      </c>
      <c r="E149">
        <v>1</v>
      </c>
      <c r="F149">
        <v>10</v>
      </c>
      <c r="G149" t="b">
        <v>0</v>
      </c>
      <c r="H149">
        <v>5</v>
      </c>
      <c r="I149">
        <v>1</v>
      </c>
      <c r="J149">
        <v>0.22</v>
      </c>
    </row>
    <row r="150" spans="1:10">
      <c r="A150">
        <v>149</v>
      </c>
      <c r="B150" s="2">
        <v>40550</v>
      </c>
      <c r="C150">
        <v>1</v>
      </c>
      <c r="D150">
        <v>0</v>
      </c>
      <c r="E150">
        <v>1</v>
      </c>
      <c r="F150">
        <v>11</v>
      </c>
      <c r="G150" t="b">
        <v>0</v>
      </c>
      <c r="H150">
        <v>5</v>
      </c>
      <c r="I150">
        <v>2</v>
      </c>
      <c r="J150">
        <v>0.2</v>
      </c>
    </row>
    <row r="151" spans="1:10">
      <c r="A151">
        <v>150</v>
      </c>
      <c r="B151" s="2">
        <v>40550</v>
      </c>
      <c r="C151">
        <v>1</v>
      </c>
      <c r="D151">
        <v>0</v>
      </c>
      <c r="E151">
        <v>1</v>
      </c>
      <c r="F151">
        <v>12</v>
      </c>
      <c r="G151" t="b">
        <v>0</v>
      </c>
      <c r="H151">
        <v>5</v>
      </c>
      <c r="I151">
        <v>2</v>
      </c>
      <c r="J151">
        <v>0.2</v>
      </c>
    </row>
    <row r="152" spans="1:10">
      <c r="A152">
        <v>151</v>
      </c>
      <c r="B152" s="2">
        <v>40550</v>
      </c>
      <c r="C152">
        <v>1</v>
      </c>
      <c r="D152">
        <v>0</v>
      </c>
      <c r="E152">
        <v>1</v>
      </c>
      <c r="F152">
        <v>13</v>
      </c>
      <c r="G152" t="b">
        <v>0</v>
      </c>
      <c r="H152">
        <v>5</v>
      </c>
      <c r="I152">
        <v>2</v>
      </c>
      <c r="J152">
        <v>0.2</v>
      </c>
    </row>
    <row r="153" spans="1:10">
      <c r="A153">
        <v>152</v>
      </c>
      <c r="B153" s="2">
        <v>40550</v>
      </c>
      <c r="C153">
        <v>1</v>
      </c>
      <c r="D153">
        <v>0</v>
      </c>
      <c r="E153">
        <v>1</v>
      </c>
      <c r="F153">
        <v>14</v>
      </c>
      <c r="G153" t="b">
        <v>0</v>
      </c>
      <c r="H153">
        <v>5</v>
      </c>
      <c r="I153">
        <v>2</v>
      </c>
      <c r="J153">
        <v>0.2</v>
      </c>
    </row>
    <row r="154" spans="1:10">
      <c r="A154">
        <v>153</v>
      </c>
      <c r="B154" s="2">
        <v>40550</v>
      </c>
      <c r="C154">
        <v>1</v>
      </c>
      <c r="D154">
        <v>0</v>
      </c>
      <c r="E154">
        <v>1</v>
      </c>
      <c r="F154">
        <v>15</v>
      </c>
      <c r="G154" t="b">
        <v>0</v>
      </c>
      <c r="H154">
        <v>5</v>
      </c>
      <c r="I154">
        <v>2</v>
      </c>
      <c r="J154">
        <v>0.2</v>
      </c>
    </row>
    <row r="155" spans="1:10">
      <c r="A155">
        <v>154</v>
      </c>
      <c r="B155" s="2">
        <v>40550</v>
      </c>
      <c r="C155">
        <v>1</v>
      </c>
      <c r="D155">
        <v>0</v>
      </c>
      <c r="E155">
        <v>1</v>
      </c>
      <c r="F155">
        <v>16</v>
      </c>
      <c r="G155" t="b">
        <v>0</v>
      </c>
      <c r="H155">
        <v>5</v>
      </c>
      <c r="I155">
        <v>2</v>
      </c>
      <c r="J155">
        <v>0.2</v>
      </c>
    </row>
    <row r="156" spans="1:10">
      <c r="A156">
        <v>155</v>
      </c>
      <c r="B156" s="2">
        <v>40550</v>
      </c>
      <c r="C156">
        <v>1</v>
      </c>
      <c r="D156">
        <v>0</v>
      </c>
      <c r="E156">
        <v>1</v>
      </c>
      <c r="F156">
        <v>17</v>
      </c>
      <c r="G156" t="b">
        <v>0</v>
      </c>
      <c r="H156">
        <v>5</v>
      </c>
      <c r="I156">
        <v>2</v>
      </c>
      <c r="J156">
        <v>0.2</v>
      </c>
    </row>
    <row r="157" spans="1:10">
      <c r="A157">
        <v>156</v>
      </c>
      <c r="B157" s="2">
        <v>40550</v>
      </c>
      <c r="C157">
        <v>1</v>
      </c>
      <c r="D157">
        <v>0</v>
      </c>
      <c r="E157">
        <v>1</v>
      </c>
      <c r="F157">
        <v>18</v>
      </c>
      <c r="G157" t="b">
        <v>0</v>
      </c>
      <c r="H157">
        <v>5</v>
      </c>
      <c r="I157">
        <v>1</v>
      </c>
      <c r="J157">
        <v>0.2</v>
      </c>
    </row>
    <row r="158" spans="1:10">
      <c r="A158">
        <v>157</v>
      </c>
      <c r="B158" s="2">
        <v>40550</v>
      </c>
      <c r="C158">
        <v>1</v>
      </c>
      <c r="D158">
        <v>0</v>
      </c>
      <c r="E158">
        <v>1</v>
      </c>
      <c r="F158">
        <v>19</v>
      </c>
      <c r="G158" t="b">
        <v>0</v>
      </c>
      <c r="H158">
        <v>5</v>
      </c>
      <c r="I158">
        <v>1</v>
      </c>
      <c r="J158">
        <v>0.16</v>
      </c>
    </row>
    <row r="159" spans="1:10">
      <c r="A159">
        <v>158</v>
      </c>
      <c r="B159" s="2">
        <v>40550</v>
      </c>
      <c r="C159">
        <v>1</v>
      </c>
      <c r="D159">
        <v>0</v>
      </c>
      <c r="E159">
        <v>1</v>
      </c>
      <c r="F159">
        <v>20</v>
      </c>
      <c r="G159" t="b">
        <v>0</v>
      </c>
      <c r="H159">
        <v>5</v>
      </c>
      <c r="I159">
        <v>1</v>
      </c>
      <c r="J159">
        <v>0.18</v>
      </c>
    </row>
    <row r="160" spans="1:10">
      <c r="A160">
        <v>159</v>
      </c>
      <c r="B160" s="2">
        <v>40550</v>
      </c>
      <c r="C160">
        <v>1</v>
      </c>
      <c r="D160">
        <v>0</v>
      </c>
      <c r="E160">
        <v>1</v>
      </c>
      <c r="F160">
        <v>21</v>
      </c>
      <c r="G160" t="b">
        <v>0</v>
      </c>
      <c r="H160">
        <v>5</v>
      </c>
      <c r="I160">
        <v>1</v>
      </c>
      <c r="J160">
        <v>0.18</v>
      </c>
    </row>
    <row r="161" spans="1:10">
      <c r="A161">
        <v>160</v>
      </c>
      <c r="B161" s="2">
        <v>40550</v>
      </c>
      <c r="C161">
        <v>1</v>
      </c>
      <c r="D161">
        <v>0</v>
      </c>
      <c r="E161">
        <v>1</v>
      </c>
      <c r="F161">
        <v>22</v>
      </c>
      <c r="G161" t="b">
        <v>0</v>
      </c>
      <c r="H161">
        <v>5</v>
      </c>
      <c r="I161">
        <v>2</v>
      </c>
      <c r="J161">
        <v>0.18</v>
      </c>
    </row>
    <row r="162" spans="1:10">
      <c r="A162">
        <v>161</v>
      </c>
      <c r="B162" s="2">
        <v>40550</v>
      </c>
      <c r="C162">
        <v>1</v>
      </c>
      <c r="D162">
        <v>0</v>
      </c>
      <c r="E162">
        <v>1</v>
      </c>
      <c r="F162">
        <v>23</v>
      </c>
      <c r="G162" t="b">
        <v>0</v>
      </c>
      <c r="H162">
        <v>5</v>
      </c>
      <c r="I162">
        <v>2</v>
      </c>
      <c r="J162">
        <v>0.18</v>
      </c>
    </row>
    <row r="163" spans="1:10">
      <c r="A163">
        <v>162</v>
      </c>
      <c r="B163" s="2">
        <v>40551</v>
      </c>
      <c r="C163">
        <v>1</v>
      </c>
      <c r="D163">
        <v>0</v>
      </c>
      <c r="E163">
        <v>1</v>
      </c>
      <c r="F163">
        <v>0</v>
      </c>
      <c r="G163" t="b">
        <v>0</v>
      </c>
      <c r="H163">
        <v>6</v>
      </c>
      <c r="I163">
        <v>2</v>
      </c>
      <c r="J163">
        <v>0.18</v>
      </c>
    </row>
    <row r="164" spans="1:10">
      <c r="A164">
        <v>163</v>
      </c>
      <c r="B164" s="2">
        <v>40551</v>
      </c>
      <c r="C164">
        <v>1</v>
      </c>
      <c r="D164">
        <v>0</v>
      </c>
      <c r="E164">
        <v>1</v>
      </c>
      <c r="F164">
        <v>1</v>
      </c>
      <c r="G164" t="b">
        <v>0</v>
      </c>
      <c r="H164">
        <v>6</v>
      </c>
      <c r="I164">
        <v>2</v>
      </c>
      <c r="J164">
        <v>0.18</v>
      </c>
    </row>
    <row r="165" spans="1:10">
      <c r="A165">
        <v>164</v>
      </c>
      <c r="B165" s="2">
        <v>40551</v>
      </c>
      <c r="C165">
        <v>1</v>
      </c>
      <c r="D165">
        <v>0</v>
      </c>
      <c r="E165">
        <v>1</v>
      </c>
      <c r="F165">
        <v>2</v>
      </c>
      <c r="G165" t="b">
        <v>0</v>
      </c>
      <c r="H165">
        <v>6</v>
      </c>
      <c r="I165">
        <v>2</v>
      </c>
      <c r="J165">
        <v>0.18</v>
      </c>
    </row>
    <row r="166" spans="1:10">
      <c r="A166">
        <v>165</v>
      </c>
      <c r="B166" s="2">
        <v>40551</v>
      </c>
      <c r="C166">
        <v>1</v>
      </c>
      <c r="D166">
        <v>0</v>
      </c>
      <c r="E166">
        <v>1</v>
      </c>
      <c r="F166">
        <v>3</v>
      </c>
      <c r="G166" t="b">
        <v>0</v>
      </c>
      <c r="H166">
        <v>6</v>
      </c>
      <c r="I166">
        <v>3</v>
      </c>
      <c r="J166">
        <v>0.18</v>
      </c>
    </row>
    <row r="167" spans="1:10">
      <c r="A167">
        <v>166</v>
      </c>
      <c r="B167" s="2">
        <v>40551</v>
      </c>
      <c r="C167">
        <v>1</v>
      </c>
      <c r="D167">
        <v>0</v>
      </c>
      <c r="E167">
        <v>1</v>
      </c>
      <c r="F167">
        <v>4</v>
      </c>
      <c r="G167" t="b">
        <v>0</v>
      </c>
      <c r="H167">
        <v>6</v>
      </c>
      <c r="I167">
        <v>3</v>
      </c>
      <c r="J167">
        <v>0.18</v>
      </c>
    </row>
    <row r="168" spans="1:10">
      <c r="A168">
        <v>167</v>
      </c>
      <c r="B168" s="2">
        <v>40551</v>
      </c>
      <c r="C168">
        <v>1</v>
      </c>
      <c r="D168">
        <v>0</v>
      </c>
      <c r="E168">
        <v>1</v>
      </c>
      <c r="F168">
        <v>5</v>
      </c>
      <c r="G168" t="b">
        <v>0</v>
      </c>
      <c r="H168">
        <v>6</v>
      </c>
      <c r="I168">
        <v>2</v>
      </c>
      <c r="J168">
        <v>0.16</v>
      </c>
    </row>
    <row r="169" spans="1:10">
      <c r="A169">
        <v>168</v>
      </c>
      <c r="B169" s="2">
        <v>40551</v>
      </c>
      <c r="C169">
        <v>1</v>
      </c>
      <c r="D169">
        <v>0</v>
      </c>
      <c r="E169">
        <v>1</v>
      </c>
      <c r="F169">
        <v>6</v>
      </c>
      <c r="G169" t="b">
        <v>0</v>
      </c>
      <c r="H169">
        <v>6</v>
      </c>
      <c r="I169">
        <v>2</v>
      </c>
      <c r="J169">
        <v>0.16</v>
      </c>
    </row>
    <row r="170" spans="1:10">
      <c r="A170">
        <v>169</v>
      </c>
      <c r="B170" s="2">
        <v>40551</v>
      </c>
      <c r="C170">
        <v>1</v>
      </c>
      <c r="D170">
        <v>0</v>
      </c>
      <c r="E170">
        <v>1</v>
      </c>
      <c r="F170">
        <v>7</v>
      </c>
      <c r="G170" t="b">
        <v>0</v>
      </c>
      <c r="H170">
        <v>6</v>
      </c>
      <c r="I170">
        <v>2</v>
      </c>
      <c r="J170">
        <v>0.16</v>
      </c>
    </row>
    <row r="171" spans="1:10">
      <c r="A171">
        <v>170</v>
      </c>
      <c r="B171" s="2">
        <v>40551</v>
      </c>
      <c r="C171">
        <v>1</v>
      </c>
      <c r="D171">
        <v>0</v>
      </c>
      <c r="E171">
        <v>1</v>
      </c>
      <c r="F171">
        <v>8</v>
      </c>
      <c r="G171" t="b">
        <v>0</v>
      </c>
      <c r="H171">
        <v>6</v>
      </c>
      <c r="I171">
        <v>3</v>
      </c>
      <c r="J171">
        <v>0.16</v>
      </c>
    </row>
    <row r="172" spans="1:10">
      <c r="A172">
        <v>171</v>
      </c>
      <c r="B172" s="2">
        <v>40551</v>
      </c>
      <c r="C172">
        <v>1</v>
      </c>
      <c r="D172">
        <v>0</v>
      </c>
      <c r="E172">
        <v>1</v>
      </c>
      <c r="F172">
        <v>9</v>
      </c>
      <c r="G172" t="b">
        <v>0</v>
      </c>
      <c r="H172">
        <v>6</v>
      </c>
      <c r="I172">
        <v>3</v>
      </c>
      <c r="J172">
        <v>0.16</v>
      </c>
    </row>
    <row r="173" spans="1:10">
      <c r="A173">
        <v>172</v>
      </c>
      <c r="B173" s="2">
        <v>40551</v>
      </c>
      <c r="C173">
        <v>1</v>
      </c>
      <c r="D173">
        <v>0</v>
      </c>
      <c r="E173">
        <v>1</v>
      </c>
      <c r="F173">
        <v>10</v>
      </c>
      <c r="G173" t="b">
        <v>0</v>
      </c>
      <c r="H173">
        <v>6</v>
      </c>
      <c r="I173">
        <v>2</v>
      </c>
      <c r="J173">
        <v>0.18</v>
      </c>
    </row>
    <row r="174" spans="1:10">
      <c r="A174">
        <v>173</v>
      </c>
      <c r="B174" s="2">
        <v>40551</v>
      </c>
      <c r="C174">
        <v>1</v>
      </c>
      <c r="D174">
        <v>0</v>
      </c>
      <c r="E174">
        <v>1</v>
      </c>
      <c r="F174">
        <v>11</v>
      </c>
      <c r="G174" t="b">
        <v>0</v>
      </c>
      <c r="H174">
        <v>6</v>
      </c>
      <c r="I174">
        <v>2</v>
      </c>
      <c r="J174">
        <v>0.2</v>
      </c>
    </row>
    <row r="175" spans="1:10">
      <c r="A175">
        <v>174</v>
      </c>
      <c r="B175" s="2">
        <v>40551</v>
      </c>
      <c r="C175">
        <v>1</v>
      </c>
      <c r="D175">
        <v>0</v>
      </c>
      <c r="E175">
        <v>1</v>
      </c>
      <c r="F175">
        <v>12</v>
      </c>
      <c r="G175" t="b">
        <v>0</v>
      </c>
      <c r="H175">
        <v>6</v>
      </c>
      <c r="I175">
        <v>2</v>
      </c>
      <c r="J175">
        <v>0.2</v>
      </c>
    </row>
    <row r="176" spans="1:10">
      <c r="A176">
        <v>175</v>
      </c>
      <c r="B176" s="2">
        <v>40551</v>
      </c>
      <c r="C176">
        <v>1</v>
      </c>
      <c r="D176">
        <v>0</v>
      </c>
      <c r="E176">
        <v>1</v>
      </c>
      <c r="F176">
        <v>13</v>
      </c>
      <c r="G176" t="b">
        <v>0</v>
      </c>
      <c r="H176">
        <v>6</v>
      </c>
      <c r="I176">
        <v>1</v>
      </c>
      <c r="J176">
        <v>0.2</v>
      </c>
    </row>
    <row r="177" spans="1:10">
      <c r="A177">
        <v>176</v>
      </c>
      <c r="B177" s="2">
        <v>40551</v>
      </c>
      <c r="C177">
        <v>1</v>
      </c>
      <c r="D177">
        <v>0</v>
      </c>
      <c r="E177">
        <v>1</v>
      </c>
      <c r="F177">
        <v>14</v>
      </c>
      <c r="G177" t="b">
        <v>0</v>
      </c>
      <c r="H177">
        <v>6</v>
      </c>
      <c r="I177">
        <v>1</v>
      </c>
      <c r="J177">
        <v>0.2</v>
      </c>
    </row>
    <row r="178" spans="1:10">
      <c r="A178">
        <v>177</v>
      </c>
      <c r="B178" s="2">
        <v>40551</v>
      </c>
      <c r="C178">
        <v>1</v>
      </c>
      <c r="D178">
        <v>0</v>
      </c>
      <c r="E178">
        <v>1</v>
      </c>
      <c r="F178">
        <v>15</v>
      </c>
      <c r="G178" t="b">
        <v>0</v>
      </c>
      <c r="H178">
        <v>6</v>
      </c>
      <c r="I178">
        <v>1</v>
      </c>
      <c r="J178">
        <v>0.2</v>
      </c>
    </row>
    <row r="179" spans="1:10">
      <c r="A179">
        <v>178</v>
      </c>
      <c r="B179" s="2">
        <v>40551</v>
      </c>
      <c r="C179">
        <v>1</v>
      </c>
      <c r="D179">
        <v>0</v>
      </c>
      <c r="E179">
        <v>1</v>
      </c>
      <c r="F179">
        <v>16</v>
      </c>
      <c r="G179" t="b">
        <v>0</v>
      </c>
      <c r="H179">
        <v>6</v>
      </c>
      <c r="I179">
        <v>1</v>
      </c>
      <c r="J179">
        <v>0.18</v>
      </c>
    </row>
    <row r="180" spans="1:10">
      <c r="A180">
        <v>179</v>
      </c>
      <c r="B180" s="2">
        <v>40551</v>
      </c>
      <c r="C180">
        <v>1</v>
      </c>
      <c r="D180">
        <v>0</v>
      </c>
      <c r="E180">
        <v>1</v>
      </c>
      <c r="F180">
        <v>17</v>
      </c>
      <c r="G180" t="b">
        <v>0</v>
      </c>
      <c r="H180">
        <v>6</v>
      </c>
      <c r="I180">
        <v>1</v>
      </c>
      <c r="J180">
        <v>0.16</v>
      </c>
    </row>
    <row r="181" spans="1:10">
      <c r="A181">
        <v>180</v>
      </c>
      <c r="B181" s="2">
        <v>40551</v>
      </c>
      <c r="C181">
        <v>1</v>
      </c>
      <c r="D181">
        <v>0</v>
      </c>
      <c r="E181">
        <v>1</v>
      </c>
      <c r="F181">
        <v>18</v>
      </c>
      <c r="G181" t="b">
        <v>0</v>
      </c>
      <c r="H181">
        <v>6</v>
      </c>
      <c r="I181">
        <v>1</v>
      </c>
      <c r="J181">
        <v>0.14000000000000001</v>
      </c>
    </row>
    <row r="182" spans="1:10">
      <c r="A182">
        <v>181</v>
      </c>
      <c r="B182" s="2">
        <v>40551</v>
      </c>
      <c r="C182">
        <v>1</v>
      </c>
      <c r="D182">
        <v>0</v>
      </c>
      <c r="E182">
        <v>1</v>
      </c>
      <c r="F182">
        <v>19</v>
      </c>
      <c r="G182" t="b">
        <v>0</v>
      </c>
      <c r="H182">
        <v>6</v>
      </c>
      <c r="I182">
        <v>1</v>
      </c>
      <c r="J182">
        <v>0.14000000000000001</v>
      </c>
    </row>
    <row r="183" spans="1:10">
      <c r="A183">
        <v>182</v>
      </c>
      <c r="B183" s="2">
        <v>40551</v>
      </c>
      <c r="C183">
        <v>1</v>
      </c>
      <c r="D183">
        <v>0</v>
      </c>
      <c r="E183">
        <v>1</v>
      </c>
      <c r="F183">
        <v>20</v>
      </c>
      <c r="G183" t="b">
        <v>0</v>
      </c>
      <c r="H183">
        <v>6</v>
      </c>
      <c r="I183">
        <v>1</v>
      </c>
      <c r="J183">
        <v>0.12</v>
      </c>
    </row>
    <row r="184" spans="1:10">
      <c r="A184">
        <v>183</v>
      </c>
      <c r="B184" s="2">
        <v>40551</v>
      </c>
      <c r="C184">
        <v>1</v>
      </c>
      <c r="D184">
        <v>0</v>
      </c>
      <c r="E184">
        <v>1</v>
      </c>
      <c r="F184">
        <v>21</v>
      </c>
      <c r="G184" t="b">
        <v>0</v>
      </c>
      <c r="H184">
        <v>6</v>
      </c>
      <c r="I184">
        <v>1</v>
      </c>
      <c r="J184">
        <v>0.12</v>
      </c>
    </row>
    <row r="185" spans="1:10">
      <c r="A185">
        <v>184</v>
      </c>
      <c r="B185" s="2">
        <v>40551</v>
      </c>
      <c r="C185">
        <v>1</v>
      </c>
      <c r="D185">
        <v>0</v>
      </c>
      <c r="E185">
        <v>1</v>
      </c>
      <c r="F185">
        <v>22</v>
      </c>
      <c r="G185" t="b">
        <v>0</v>
      </c>
      <c r="H185">
        <v>6</v>
      </c>
      <c r="I185">
        <v>1</v>
      </c>
      <c r="J185">
        <v>0.12</v>
      </c>
    </row>
    <row r="186" spans="1:10">
      <c r="A186">
        <v>185</v>
      </c>
      <c r="B186" s="2">
        <v>40551</v>
      </c>
      <c r="C186">
        <v>1</v>
      </c>
      <c r="D186">
        <v>0</v>
      </c>
      <c r="E186">
        <v>1</v>
      </c>
      <c r="F186">
        <v>23</v>
      </c>
      <c r="G186" t="b">
        <v>0</v>
      </c>
      <c r="H186">
        <v>6</v>
      </c>
      <c r="I186">
        <v>1</v>
      </c>
      <c r="J186">
        <v>0.1</v>
      </c>
    </row>
    <row r="187" spans="1:10">
      <c r="A187">
        <v>186</v>
      </c>
      <c r="B187" s="2">
        <v>40552</v>
      </c>
      <c r="C187">
        <v>1</v>
      </c>
      <c r="D187">
        <v>0</v>
      </c>
      <c r="E187">
        <v>1</v>
      </c>
      <c r="F187">
        <v>0</v>
      </c>
      <c r="G187" t="b">
        <v>0</v>
      </c>
      <c r="H187">
        <v>0</v>
      </c>
      <c r="I187">
        <v>1</v>
      </c>
      <c r="J187">
        <v>0.1</v>
      </c>
    </row>
    <row r="188" spans="1:10">
      <c r="A188">
        <v>187</v>
      </c>
      <c r="B188" s="2">
        <v>40552</v>
      </c>
      <c r="C188">
        <v>1</v>
      </c>
      <c r="D188">
        <v>0</v>
      </c>
      <c r="E188">
        <v>1</v>
      </c>
      <c r="F188">
        <v>1</v>
      </c>
      <c r="G188" t="b">
        <v>0</v>
      </c>
      <c r="H188">
        <v>0</v>
      </c>
      <c r="I188">
        <v>1</v>
      </c>
      <c r="J188">
        <v>0.1</v>
      </c>
    </row>
    <row r="189" spans="1:10">
      <c r="A189">
        <v>188</v>
      </c>
      <c r="B189" s="2">
        <v>40552</v>
      </c>
      <c r="C189">
        <v>1</v>
      </c>
      <c r="D189">
        <v>0</v>
      </c>
      <c r="E189">
        <v>1</v>
      </c>
      <c r="F189">
        <v>2</v>
      </c>
      <c r="G189" t="b">
        <v>0</v>
      </c>
      <c r="H189">
        <v>0</v>
      </c>
      <c r="I189">
        <v>1</v>
      </c>
      <c r="J189">
        <v>0.1</v>
      </c>
    </row>
    <row r="190" spans="1:10">
      <c r="A190">
        <v>189</v>
      </c>
      <c r="B190" s="2">
        <v>40552</v>
      </c>
      <c r="C190">
        <v>1</v>
      </c>
      <c r="D190">
        <v>0</v>
      </c>
      <c r="E190">
        <v>1</v>
      </c>
      <c r="F190">
        <v>3</v>
      </c>
      <c r="G190" t="b">
        <v>0</v>
      </c>
      <c r="H190">
        <v>0</v>
      </c>
      <c r="I190">
        <v>1</v>
      </c>
      <c r="J190">
        <v>0.1</v>
      </c>
    </row>
    <row r="191" spans="1:10">
      <c r="A191">
        <v>190</v>
      </c>
      <c r="B191" s="2">
        <v>40552</v>
      </c>
      <c r="C191">
        <v>1</v>
      </c>
      <c r="D191">
        <v>0</v>
      </c>
      <c r="E191">
        <v>1</v>
      </c>
      <c r="F191">
        <v>4</v>
      </c>
      <c r="G191" t="b">
        <v>0</v>
      </c>
      <c r="H191">
        <v>0</v>
      </c>
      <c r="I191">
        <v>1</v>
      </c>
      <c r="J191">
        <v>0.08</v>
      </c>
    </row>
    <row r="192" spans="1:10">
      <c r="A192">
        <v>191</v>
      </c>
      <c r="B192" s="2">
        <v>40552</v>
      </c>
      <c r="C192">
        <v>1</v>
      </c>
      <c r="D192">
        <v>0</v>
      </c>
      <c r="E192">
        <v>1</v>
      </c>
      <c r="F192">
        <v>5</v>
      </c>
      <c r="G192" t="b">
        <v>0</v>
      </c>
      <c r="H192">
        <v>0</v>
      </c>
      <c r="I192">
        <v>1</v>
      </c>
      <c r="J192">
        <v>0.08</v>
      </c>
    </row>
    <row r="193" spans="1:10">
      <c r="A193">
        <v>192</v>
      </c>
      <c r="B193" s="2">
        <v>40552</v>
      </c>
      <c r="C193">
        <v>1</v>
      </c>
      <c r="D193">
        <v>0</v>
      </c>
      <c r="E193">
        <v>1</v>
      </c>
      <c r="F193">
        <v>6</v>
      </c>
      <c r="G193" t="b">
        <v>0</v>
      </c>
      <c r="H193">
        <v>0</v>
      </c>
      <c r="I193">
        <v>1</v>
      </c>
      <c r="J193">
        <v>0.1</v>
      </c>
    </row>
    <row r="194" spans="1:10">
      <c r="A194">
        <v>193</v>
      </c>
      <c r="B194" s="2">
        <v>40552</v>
      </c>
      <c r="C194">
        <v>1</v>
      </c>
      <c r="D194">
        <v>0</v>
      </c>
      <c r="E194">
        <v>1</v>
      </c>
      <c r="F194">
        <v>7</v>
      </c>
      <c r="G194" t="b">
        <v>0</v>
      </c>
      <c r="H194">
        <v>0</v>
      </c>
      <c r="I194">
        <v>1</v>
      </c>
      <c r="J194">
        <v>0.08</v>
      </c>
    </row>
    <row r="195" spans="1:10">
      <c r="A195">
        <v>194</v>
      </c>
      <c r="B195" s="2">
        <v>40552</v>
      </c>
      <c r="C195">
        <v>1</v>
      </c>
      <c r="D195">
        <v>0</v>
      </c>
      <c r="E195">
        <v>1</v>
      </c>
      <c r="F195">
        <v>8</v>
      </c>
      <c r="G195" t="b">
        <v>0</v>
      </c>
      <c r="H195">
        <v>0</v>
      </c>
      <c r="I195">
        <v>1</v>
      </c>
      <c r="J195">
        <v>0.1</v>
      </c>
    </row>
    <row r="196" spans="1:10">
      <c r="A196">
        <v>195</v>
      </c>
      <c r="B196" s="2">
        <v>40552</v>
      </c>
      <c r="C196">
        <v>1</v>
      </c>
      <c r="D196">
        <v>0</v>
      </c>
      <c r="E196">
        <v>1</v>
      </c>
      <c r="F196">
        <v>9</v>
      </c>
      <c r="G196" t="b">
        <v>0</v>
      </c>
      <c r="H196">
        <v>0</v>
      </c>
      <c r="I196">
        <v>1</v>
      </c>
      <c r="J196">
        <v>0.12</v>
      </c>
    </row>
    <row r="197" spans="1:10">
      <c r="A197">
        <v>196</v>
      </c>
      <c r="B197" s="2">
        <v>40552</v>
      </c>
      <c r="C197">
        <v>1</v>
      </c>
      <c r="D197">
        <v>0</v>
      </c>
      <c r="E197">
        <v>1</v>
      </c>
      <c r="F197">
        <v>10</v>
      </c>
      <c r="G197" t="b">
        <v>0</v>
      </c>
      <c r="H197">
        <v>0</v>
      </c>
      <c r="I197">
        <v>1</v>
      </c>
      <c r="J197">
        <v>0.14000000000000001</v>
      </c>
    </row>
    <row r="198" spans="1:10">
      <c r="A198">
        <v>197</v>
      </c>
      <c r="B198" s="2">
        <v>40552</v>
      </c>
      <c r="C198">
        <v>1</v>
      </c>
      <c r="D198">
        <v>0</v>
      </c>
      <c r="E198">
        <v>1</v>
      </c>
      <c r="F198">
        <v>11</v>
      </c>
      <c r="G198" t="b">
        <v>0</v>
      </c>
      <c r="H198">
        <v>0</v>
      </c>
      <c r="I198">
        <v>1</v>
      </c>
      <c r="J198">
        <v>0.16</v>
      </c>
    </row>
    <row r="199" spans="1:10">
      <c r="A199">
        <v>198</v>
      </c>
      <c r="B199" s="2">
        <v>40552</v>
      </c>
      <c r="C199">
        <v>1</v>
      </c>
      <c r="D199">
        <v>0</v>
      </c>
      <c r="E199">
        <v>1</v>
      </c>
      <c r="F199">
        <v>12</v>
      </c>
      <c r="G199" t="b">
        <v>0</v>
      </c>
      <c r="H199">
        <v>0</v>
      </c>
      <c r="I199">
        <v>1</v>
      </c>
      <c r="J199">
        <v>0.18</v>
      </c>
    </row>
    <row r="200" spans="1:10">
      <c r="A200">
        <v>199</v>
      </c>
      <c r="B200" s="2">
        <v>40552</v>
      </c>
      <c r="C200">
        <v>1</v>
      </c>
      <c r="D200">
        <v>0</v>
      </c>
      <c r="E200">
        <v>1</v>
      </c>
      <c r="F200">
        <v>13</v>
      </c>
      <c r="G200" t="b">
        <v>0</v>
      </c>
      <c r="H200">
        <v>0</v>
      </c>
      <c r="I200">
        <v>1</v>
      </c>
      <c r="J200">
        <v>0.2</v>
      </c>
    </row>
    <row r="201" spans="1:10">
      <c r="A201">
        <v>200</v>
      </c>
      <c r="B201" s="2">
        <v>40552</v>
      </c>
      <c r="C201">
        <v>1</v>
      </c>
      <c r="D201">
        <v>0</v>
      </c>
      <c r="E201">
        <v>1</v>
      </c>
      <c r="F201">
        <v>14</v>
      </c>
      <c r="G201" t="b">
        <v>0</v>
      </c>
      <c r="H201">
        <v>0</v>
      </c>
      <c r="I201">
        <v>1</v>
      </c>
      <c r="J201">
        <v>0.22</v>
      </c>
    </row>
    <row r="202" spans="1:10">
      <c r="A202">
        <v>201</v>
      </c>
      <c r="B202" s="2">
        <v>40552</v>
      </c>
      <c r="C202">
        <v>1</v>
      </c>
      <c r="D202">
        <v>0</v>
      </c>
      <c r="E202">
        <v>1</v>
      </c>
      <c r="F202">
        <v>15</v>
      </c>
      <c r="G202" t="b">
        <v>0</v>
      </c>
      <c r="H202">
        <v>0</v>
      </c>
      <c r="I202">
        <v>1</v>
      </c>
      <c r="J202">
        <v>0.22</v>
      </c>
    </row>
    <row r="203" spans="1:10">
      <c r="A203">
        <v>202</v>
      </c>
      <c r="B203" s="2">
        <v>40552</v>
      </c>
      <c r="C203">
        <v>1</v>
      </c>
      <c r="D203">
        <v>0</v>
      </c>
      <c r="E203">
        <v>1</v>
      </c>
      <c r="F203">
        <v>16</v>
      </c>
      <c r="G203" t="b">
        <v>0</v>
      </c>
      <c r="H203">
        <v>0</v>
      </c>
      <c r="I203">
        <v>1</v>
      </c>
      <c r="J203">
        <v>0.2</v>
      </c>
    </row>
    <row r="204" spans="1:10">
      <c r="A204">
        <v>203</v>
      </c>
      <c r="B204" s="2">
        <v>40552</v>
      </c>
      <c r="C204">
        <v>1</v>
      </c>
      <c r="D204">
        <v>0</v>
      </c>
      <c r="E204">
        <v>1</v>
      </c>
      <c r="F204">
        <v>17</v>
      </c>
      <c r="G204" t="b">
        <v>0</v>
      </c>
      <c r="H204">
        <v>0</v>
      </c>
      <c r="I204">
        <v>1</v>
      </c>
      <c r="J204">
        <v>0.18</v>
      </c>
    </row>
    <row r="205" spans="1:10">
      <c r="A205">
        <v>204</v>
      </c>
      <c r="B205" s="2">
        <v>40552</v>
      </c>
      <c r="C205">
        <v>1</v>
      </c>
      <c r="D205">
        <v>0</v>
      </c>
      <c r="E205">
        <v>1</v>
      </c>
      <c r="F205">
        <v>18</v>
      </c>
      <c r="G205" t="b">
        <v>0</v>
      </c>
      <c r="H205">
        <v>0</v>
      </c>
      <c r="I205">
        <v>1</v>
      </c>
      <c r="J205">
        <v>0.16</v>
      </c>
    </row>
    <row r="206" spans="1:10">
      <c r="A206">
        <v>205</v>
      </c>
      <c r="B206" s="2">
        <v>40552</v>
      </c>
      <c r="C206">
        <v>1</v>
      </c>
      <c r="D206">
        <v>0</v>
      </c>
      <c r="E206">
        <v>1</v>
      </c>
      <c r="F206">
        <v>19</v>
      </c>
      <c r="G206" t="b">
        <v>0</v>
      </c>
      <c r="H206">
        <v>0</v>
      </c>
      <c r="I206">
        <v>1</v>
      </c>
      <c r="J206">
        <v>0.16</v>
      </c>
    </row>
    <row r="207" spans="1:10">
      <c r="A207">
        <v>206</v>
      </c>
      <c r="B207" s="2">
        <v>40552</v>
      </c>
      <c r="C207">
        <v>1</v>
      </c>
      <c r="D207">
        <v>0</v>
      </c>
      <c r="E207">
        <v>1</v>
      </c>
      <c r="F207">
        <v>20</v>
      </c>
      <c r="G207" t="b">
        <v>0</v>
      </c>
      <c r="H207">
        <v>0</v>
      </c>
      <c r="I207">
        <v>1</v>
      </c>
      <c r="J207">
        <v>0.14000000000000001</v>
      </c>
    </row>
    <row r="208" spans="1:10">
      <c r="A208">
        <v>207</v>
      </c>
      <c r="B208" s="2">
        <v>40552</v>
      </c>
      <c r="C208">
        <v>1</v>
      </c>
      <c r="D208">
        <v>0</v>
      </c>
      <c r="E208">
        <v>1</v>
      </c>
      <c r="F208">
        <v>21</v>
      </c>
      <c r="G208" t="b">
        <v>0</v>
      </c>
      <c r="H208">
        <v>0</v>
      </c>
      <c r="I208">
        <v>1</v>
      </c>
      <c r="J208">
        <v>0.14000000000000001</v>
      </c>
    </row>
    <row r="209" spans="1:10">
      <c r="A209">
        <v>208</v>
      </c>
      <c r="B209" s="2">
        <v>40552</v>
      </c>
      <c r="C209">
        <v>1</v>
      </c>
      <c r="D209">
        <v>0</v>
      </c>
      <c r="E209">
        <v>1</v>
      </c>
      <c r="F209">
        <v>22</v>
      </c>
      <c r="G209" t="b">
        <v>0</v>
      </c>
      <c r="H209">
        <v>0</v>
      </c>
      <c r="I209">
        <v>1</v>
      </c>
      <c r="J209">
        <v>0.14000000000000001</v>
      </c>
    </row>
    <row r="210" spans="1:10">
      <c r="A210">
        <v>209</v>
      </c>
      <c r="B210" s="2">
        <v>40552</v>
      </c>
      <c r="C210">
        <v>1</v>
      </c>
      <c r="D210">
        <v>0</v>
      </c>
      <c r="E210">
        <v>1</v>
      </c>
      <c r="F210">
        <v>23</v>
      </c>
      <c r="G210" t="b">
        <v>0</v>
      </c>
      <c r="H210">
        <v>0</v>
      </c>
      <c r="I210">
        <v>1</v>
      </c>
      <c r="J210">
        <v>0.12</v>
      </c>
    </row>
    <row r="211" spans="1:10">
      <c r="A211">
        <v>210</v>
      </c>
      <c r="B211" s="2">
        <v>40553</v>
      </c>
      <c r="C211">
        <v>1</v>
      </c>
      <c r="D211">
        <v>0</v>
      </c>
      <c r="E211">
        <v>1</v>
      </c>
      <c r="F211">
        <v>0</v>
      </c>
      <c r="G211" t="b">
        <v>0</v>
      </c>
      <c r="H211">
        <v>1</v>
      </c>
      <c r="I211">
        <v>1</v>
      </c>
      <c r="J211">
        <v>0.12</v>
      </c>
    </row>
    <row r="212" spans="1:10">
      <c r="A212">
        <v>211</v>
      </c>
      <c r="B212" s="2">
        <v>40553</v>
      </c>
      <c r="C212">
        <v>1</v>
      </c>
      <c r="D212">
        <v>0</v>
      </c>
      <c r="E212">
        <v>1</v>
      </c>
      <c r="F212">
        <v>1</v>
      </c>
      <c r="G212" t="b">
        <v>0</v>
      </c>
      <c r="H212">
        <v>1</v>
      </c>
      <c r="I212">
        <v>1</v>
      </c>
      <c r="J212">
        <v>0.12</v>
      </c>
    </row>
    <row r="213" spans="1:10">
      <c r="A213">
        <v>212</v>
      </c>
      <c r="B213" s="2">
        <v>40553</v>
      </c>
      <c r="C213">
        <v>1</v>
      </c>
      <c r="D213">
        <v>0</v>
      </c>
      <c r="E213">
        <v>1</v>
      </c>
      <c r="F213">
        <v>2</v>
      </c>
      <c r="G213" t="b">
        <v>0</v>
      </c>
      <c r="H213">
        <v>1</v>
      </c>
      <c r="I213">
        <v>1</v>
      </c>
      <c r="J213">
        <v>0.12</v>
      </c>
    </row>
    <row r="214" spans="1:10">
      <c r="A214">
        <v>213</v>
      </c>
      <c r="B214" s="2">
        <v>40553</v>
      </c>
      <c r="C214">
        <v>1</v>
      </c>
      <c r="D214">
        <v>0</v>
      </c>
      <c r="E214">
        <v>1</v>
      </c>
      <c r="F214">
        <v>3</v>
      </c>
      <c r="G214" t="b">
        <v>0</v>
      </c>
      <c r="H214">
        <v>1</v>
      </c>
      <c r="I214">
        <v>1</v>
      </c>
      <c r="J214">
        <v>0.12</v>
      </c>
    </row>
    <row r="215" spans="1:10">
      <c r="A215">
        <v>214</v>
      </c>
      <c r="B215" s="2">
        <v>40553</v>
      </c>
      <c r="C215">
        <v>1</v>
      </c>
      <c r="D215">
        <v>0</v>
      </c>
      <c r="E215">
        <v>1</v>
      </c>
      <c r="F215">
        <v>4</v>
      </c>
      <c r="G215" t="b">
        <v>0</v>
      </c>
      <c r="H215">
        <v>1</v>
      </c>
      <c r="I215">
        <v>1</v>
      </c>
      <c r="J215">
        <v>0.1</v>
      </c>
    </row>
    <row r="216" spans="1:10">
      <c r="A216">
        <v>215</v>
      </c>
      <c r="B216" s="2">
        <v>40553</v>
      </c>
      <c r="C216">
        <v>1</v>
      </c>
      <c r="D216">
        <v>0</v>
      </c>
      <c r="E216">
        <v>1</v>
      </c>
      <c r="F216">
        <v>5</v>
      </c>
      <c r="G216" t="b">
        <v>0</v>
      </c>
      <c r="H216">
        <v>1</v>
      </c>
      <c r="I216">
        <v>1</v>
      </c>
      <c r="J216">
        <v>0.1</v>
      </c>
    </row>
    <row r="217" spans="1:10">
      <c r="A217">
        <v>216</v>
      </c>
      <c r="B217" s="2">
        <v>40553</v>
      </c>
      <c r="C217">
        <v>1</v>
      </c>
      <c r="D217">
        <v>0</v>
      </c>
      <c r="E217">
        <v>1</v>
      </c>
      <c r="F217">
        <v>6</v>
      </c>
      <c r="G217" t="b">
        <v>0</v>
      </c>
      <c r="H217">
        <v>1</v>
      </c>
      <c r="I217">
        <v>1</v>
      </c>
      <c r="J217">
        <v>0.12</v>
      </c>
    </row>
    <row r="218" spans="1:10">
      <c r="A218">
        <v>217</v>
      </c>
      <c r="B218" s="2">
        <v>40553</v>
      </c>
      <c r="C218">
        <v>1</v>
      </c>
      <c r="D218">
        <v>0</v>
      </c>
      <c r="E218">
        <v>1</v>
      </c>
      <c r="F218">
        <v>7</v>
      </c>
      <c r="G218" t="b">
        <v>0</v>
      </c>
      <c r="H218">
        <v>1</v>
      </c>
      <c r="I218">
        <v>1</v>
      </c>
      <c r="J218">
        <v>0.12</v>
      </c>
    </row>
    <row r="219" spans="1:10">
      <c r="A219">
        <v>218</v>
      </c>
      <c r="B219" s="2">
        <v>40553</v>
      </c>
      <c r="C219">
        <v>1</v>
      </c>
      <c r="D219">
        <v>0</v>
      </c>
      <c r="E219">
        <v>1</v>
      </c>
      <c r="F219">
        <v>8</v>
      </c>
      <c r="G219" t="b">
        <v>0</v>
      </c>
      <c r="H219">
        <v>1</v>
      </c>
      <c r="I219">
        <v>2</v>
      </c>
      <c r="J219">
        <v>0.12</v>
      </c>
    </row>
    <row r="220" spans="1:10">
      <c r="A220">
        <v>219</v>
      </c>
      <c r="B220" s="2">
        <v>40553</v>
      </c>
      <c r="C220">
        <v>1</v>
      </c>
      <c r="D220">
        <v>0</v>
      </c>
      <c r="E220">
        <v>1</v>
      </c>
      <c r="F220">
        <v>9</v>
      </c>
      <c r="G220" t="b">
        <v>0</v>
      </c>
      <c r="H220">
        <v>1</v>
      </c>
      <c r="I220">
        <v>2</v>
      </c>
      <c r="J220">
        <v>0.14000000000000001</v>
      </c>
    </row>
    <row r="221" spans="1:10">
      <c r="A221">
        <v>220</v>
      </c>
      <c r="B221" s="2">
        <v>40553</v>
      </c>
      <c r="C221">
        <v>1</v>
      </c>
      <c r="D221">
        <v>0</v>
      </c>
      <c r="E221">
        <v>1</v>
      </c>
      <c r="F221">
        <v>10</v>
      </c>
      <c r="G221" t="b">
        <v>0</v>
      </c>
      <c r="H221">
        <v>1</v>
      </c>
      <c r="I221">
        <v>2</v>
      </c>
      <c r="J221">
        <v>0.14000000000000001</v>
      </c>
    </row>
    <row r="222" spans="1:10">
      <c r="A222">
        <v>221</v>
      </c>
      <c r="B222" s="2">
        <v>40553</v>
      </c>
      <c r="C222">
        <v>1</v>
      </c>
      <c r="D222">
        <v>0</v>
      </c>
      <c r="E222">
        <v>1</v>
      </c>
      <c r="F222">
        <v>11</v>
      </c>
      <c r="G222" t="b">
        <v>0</v>
      </c>
      <c r="H222">
        <v>1</v>
      </c>
      <c r="I222">
        <v>2</v>
      </c>
      <c r="J222">
        <v>0.16</v>
      </c>
    </row>
    <row r="223" spans="1:10">
      <c r="A223">
        <v>222</v>
      </c>
      <c r="B223" s="2">
        <v>40553</v>
      </c>
      <c r="C223">
        <v>1</v>
      </c>
      <c r="D223">
        <v>0</v>
      </c>
      <c r="E223">
        <v>1</v>
      </c>
      <c r="F223">
        <v>12</v>
      </c>
      <c r="G223" t="b">
        <v>0</v>
      </c>
      <c r="H223">
        <v>1</v>
      </c>
      <c r="I223">
        <v>2</v>
      </c>
      <c r="J223">
        <v>0.2</v>
      </c>
    </row>
    <row r="224" spans="1:10">
      <c r="A224">
        <v>223</v>
      </c>
      <c r="B224" s="2">
        <v>40553</v>
      </c>
      <c r="C224">
        <v>1</v>
      </c>
      <c r="D224">
        <v>0</v>
      </c>
      <c r="E224">
        <v>1</v>
      </c>
      <c r="F224">
        <v>13</v>
      </c>
      <c r="G224" t="b">
        <v>0</v>
      </c>
      <c r="H224">
        <v>1</v>
      </c>
      <c r="I224">
        <v>2</v>
      </c>
      <c r="J224">
        <v>0.2</v>
      </c>
    </row>
    <row r="225" spans="1:10">
      <c r="A225">
        <v>224</v>
      </c>
      <c r="B225" s="2">
        <v>40553</v>
      </c>
      <c r="C225">
        <v>1</v>
      </c>
      <c r="D225">
        <v>0</v>
      </c>
      <c r="E225">
        <v>1</v>
      </c>
      <c r="F225">
        <v>14</v>
      </c>
      <c r="G225" t="b">
        <v>0</v>
      </c>
      <c r="H225">
        <v>1</v>
      </c>
      <c r="I225">
        <v>2</v>
      </c>
      <c r="J225">
        <v>0.2</v>
      </c>
    </row>
    <row r="226" spans="1:10">
      <c r="A226">
        <v>225</v>
      </c>
      <c r="B226" s="2">
        <v>40553</v>
      </c>
      <c r="C226">
        <v>1</v>
      </c>
      <c r="D226">
        <v>0</v>
      </c>
      <c r="E226">
        <v>1</v>
      </c>
      <c r="F226">
        <v>15</v>
      </c>
      <c r="G226" t="b">
        <v>0</v>
      </c>
      <c r="H226">
        <v>1</v>
      </c>
      <c r="I226">
        <v>2</v>
      </c>
      <c r="J226">
        <v>0.2</v>
      </c>
    </row>
    <row r="227" spans="1:10">
      <c r="A227">
        <v>226</v>
      </c>
      <c r="B227" s="2">
        <v>40553</v>
      </c>
      <c r="C227">
        <v>1</v>
      </c>
      <c r="D227">
        <v>0</v>
      </c>
      <c r="E227">
        <v>1</v>
      </c>
      <c r="F227">
        <v>16</v>
      </c>
      <c r="G227" t="b">
        <v>0</v>
      </c>
      <c r="H227">
        <v>1</v>
      </c>
      <c r="I227">
        <v>1</v>
      </c>
      <c r="J227">
        <v>0.2</v>
      </c>
    </row>
    <row r="228" spans="1:10">
      <c r="A228">
        <v>227</v>
      </c>
      <c r="B228" s="2">
        <v>40553</v>
      </c>
      <c r="C228">
        <v>1</v>
      </c>
      <c r="D228">
        <v>0</v>
      </c>
      <c r="E228">
        <v>1</v>
      </c>
      <c r="F228">
        <v>17</v>
      </c>
      <c r="G228" t="b">
        <v>0</v>
      </c>
      <c r="H228">
        <v>1</v>
      </c>
      <c r="I228">
        <v>1</v>
      </c>
      <c r="J228">
        <v>0.2</v>
      </c>
    </row>
    <row r="229" spans="1:10">
      <c r="A229">
        <v>228</v>
      </c>
      <c r="B229" s="2">
        <v>40553</v>
      </c>
      <c r="C229">
        <v>1</v>
      </c>
      <c r="D229">
        <v>0</v>
      </c>
      <c r="E229">
        <v>1</v>
      </c>
      <c r="F229">
        <v>18</v>
      </c>
      <c r="G229" t="b">
        <v>0</v>
      </c>
      <c r="H229">
        <v>1</v>
      </c>
      <c r="I229">
        <v>1</v>
      </c>
      <c r="J229">
        <v>0.2</v>
      </c>
    </row>
    <row r="230" spans="1:10">
      <c r="A230">
        <v>229</v>
      </c>
      <c r="B230" s="2">
        <v>40553</v>
      </c>
      <c r="C230">
        <v>1</v>
      </c>
      <c r="D230">
        <v>0</v>
      </c>
      <c r="E230">
        <v>1</v>
      </c>
      <c r="F230">
        <v>19</v>
      </c>
      <c r="G230" t="b">
        <v>0</v>
      </c>
      <c r="H230">
        <v>1</v>
      </c>
      <c r="I230">
        <v>1</v>
      </c>
      <c r="J230">
        <v>0.16</v>
      </c>
    </row>
    <row r="231" spans="1:10">
      <c r="A231">
        <v>230</v>
      </c>
      <c r="B231" s="2">
        <v>40553</v>
      </c>
      <c r="C231">
        <v>1</v>
      </c>
      <c r="D231">
        <v>0</v>
      </c>
      <c r="E231">
        <v>1</v>
      </c>
      <c r="F231">
        <v>20</v>
      </c>
      <c r="G231" t="b">
        <v>0</v>
      </c>
      <c r="H231">
        <v>1</v>
      </c>
      <c r="I231">
        <v>1</v>
      </c>
      <c r="J231">
        <v>0.16</v>
      </c>
    </row>
    <row r="232" spans="1:10">
      <c r="A232">
        <v>231</v>
      </c>
      <c r="B232" s="2">
        <v>40553</v>
      </c>
      <c r="C232">
        <v>1</v>
      </c>
      <c r="D232">
        <v>0</v>
      </c>
      <c r="E232">
        <v>1</v>
      </c>
      <c r="F232">
        <v>21</v>
      </c>
      <c r="G232" t="b">
        <v>0</v>
      </c>
      <c r="H232">
        <v>1</v>
      </c>
      <c r="I232">
        <v>1</v>
      </c>
      <c r="J232">
        <v>0.14000000000000001</v>
      </c>
    </row>
    <row r="233" spans="1:10">
      <c r="A233">
        <v>232</v>
      </c>
      <c r="B233" s="2">
        <v>40553</v>
      </c>
      <c r="C233">
        <v>1</v>
      </c>
      <c r="D233">
        <v>0</v>
      </c>
      <c r="E233">
        <v>1</v>
      </c>
      <c r="F233">
        <v>22</v>
      </c>
      <c r="G233" t="b">
        <v>0</v>
      </c>
      <c r="H233">
        <v>1</v>
      </c>
      <c r="I233">
        <v>1</v>
      </c>
      <c r="J233">
        <v>0.14000000000000001</v>
      </c>
    </row>
    <row r="234" spans="1:10">
      <c r="A234">
        <v>233</v>
      </c>
      <c r="B234" s="2">
        <v>40553</v>
      </c>
      <c r="C234">
        <v>1</v>
      </c>
      <c r="D234">
        <v>0</v>
      </c>
      <c r="E234">
        <v>1</v>
      </c>
      <c r="F234">
        <v>23</v>
      </c>
      <c r="G234" t="b">
        <v>0</v>
      </c>
      <c r="H234">
        <v>1</v>
      </c>
      <c r="I234">
        <v>1</v>
      </c>
      <c r="J234">
        <v>0.14000000000000001</v>
      </c>
    </row>
    <row r="235" spans="1:10">
      <c r="A235">
        <v>234</v>
      </c>
      <c r="B235" s="2">
        <v>40554</v>
      </c>
      <c r="C235">
        <v>1</v>
      </c>
      <c r="D235">
        <v>0</v>
      </c>
      <c r="E235">
        <v>1</v>
      </c>
      <c r="F235">
        <v>0</v>
      </c>
      <c r="G235" t="b">
        <v>0</v>
      </c>
      <c r="H235">
        <v>2</v>
      </c>
      <c r="I235">
        <v>1</v>
      </c>
      <c r="J235">
        <v>0.14000000000000001</v>
      </c>
    </row>
    <row r="236" spans="1:10">
      <c r="A236">
        <v>235</v>
      </c>
      <c r="B236" s="2">
        <v>40554</v>
      </c>
      <c r="C236">
        <v>1</v>
      </c>
      <c r="D236">
        <v>0</v>
      </c>
      <c r="E236">
        <v>1</v>
      </c>
      <c r="F236">
        <v>1</v>
      </c>
      <c r="G236" t="b">
        <v>0</v>
      </c>
      <c r="H236">
        <v>2</v>
      </c>
      <c r="I236">
        <v>1</v>
      </c>
      <c r="J236">
        <v>0.14000000000000001</v>
      </c>
    </row>
    <row r="237" spans="1:10">
      <c r="A237">
        <v>236</v>
      </c>
      <c r="B237" s="2">
        <v>40554</v>
      </c>
      <c r="C237">
        <v>1</v>
      </c>
      <c r="D237">
        <v>0</v>
      </c>
      <c r="E237">
        <v>1</v>
      </c>
      <c r="F237">
        <v>2</v>
      </c>
      <c r="G237" t="b">
        <v>0</v>
      </c>
      <c r="H237">
        <v>2</v>
      </c>
      <c r="I237">
        <v>2</v>
      </c>
      <c r="J237">
        <v>0.16</v>
      </c>
    </row>
    <row r="238" spans="1:10">
      <c r="A238">
        <v>237</v>
      </c>
      <c r="B238" s="2">
        <v>40554</v>
      </c>
      <c r="C238">
        <v>1</v>
      </c>
      <c r="D238">
        <v>0</v>
      </c>
      <c r="E238">
        <v>1</v>
      </c>
      <c r="F238">
        <v>5</v>
      </c>
      <c r="G238" t="b">
        <v>0</v>
      </c>
      <c r="H238">
        <v>2</v>
      </c>
      <c r="I238">
        <v>2</v>
      </c>
      <c r="J238">
        <v>0.16</v>
      </c>
    </row>
    <row r="239" spans="1:10">
      <c r="A239">
        <v>238</v>
      </c>
      <c r="B239" s="2">
        <v>40554</v>
      </c>
      <c r="C239">
        <v>1</v>
      </c>
      <c r="D239">
        <v>0</v>
      </c>
      <c r="E239">
        <v>1</v>
      </c>
      <c r="F239">
        <v>6</v>
      </c>
      <c r="G239" t="b">
        <v>0</v>
      </c>
      <c r="H239">
        <v>2</v>
      </c>
      <c r="I239">
        <v>2</v>
      </c>
      <c r="J239">
        <v>0.16</v>
      </c>
    </row>
    <row r="240" spans="1:10">
      <c r="A240">
        <v>239</v>
      </c>
      <c r="B240" s="2">
        <v>40554</v>
      </c>
      <c r="C240">
        <v>1</v>
      </c>
      <c r="D240">
        <v>0</v>
      </c>
      <c r="E240">
        <v>1</v>
      </c>
      <c r="F240">
        <v>7</v>
      </c>
      <c r="G240" t="b">
        <v>0</v>
      </c>
      <c r="H240">
        <v>2</v>
      </c>
      <c r="I240">
        <v>2</v>
      </c>
      <c r="J240">
        <v>0.16</v>
      </c>
    </row>
    <row r="241" spans="1:10">
      <c r="A241">
        <v>240</v>
      </c>
      <c r="B241" s="2">
        <v>40554</v>
      </c>
      <c r="C241">
        <v>1</v>
      </c>
      <c r="D241">
        <v>0</v>
      </c>
      <c r="E241">
        <v>1</v>
      </c>
      <c r="F241">
        <v>8</v>
      </c>
      <c r="G241" t="b">
        <v>0</v>
      </c>
      <c r="H241">
        <v>2</v>
      </c>
      <c r="I241">
        <v>2</v>
      </c>
      <c r="J241">
        <v>0.18</v>
      </c>
    </row>
    <row r="242" spans="1:10">
      <c r="A242">
        <v>241</v>
      </c>
      <c r="B242" s="2">
        <v>40554</v>
      </c>
      <c r="C242">
        <v>1</v>
      </c>
      <c r="D242">
        <v>0</v>
      </c>
      <c r="E242">
        <v>1</v>
      </c>
      <c r="F242">
        <v>9</v>
      </c>
      <c r="G242" t="b">
        <v>0</v>
      </c>
      <c r="H242">
        <v>2</v>
      </c>
      <c r="I242">
        <v>2</v>
      </c>
      <c r="J242">
        <v>0.18</v>
      </c>
    </row>
    <row r="243" spans="1:10">
      <c r="A243">
        <v>242</v>
      </c>
      <c r="B243" s="2">
        <v>40554</v>
      </c>
      <c r="C243">
        <v>1</v>
      </c>
      <c r="D243">
        <v>0</v>
      </c>
      <c r="E243">
        <v>1</v>
      </c>
      <c r="F243">
        <v>10</v>
      </c>
      <c r="G243" t="b">
        <v>0</v>
      </c>
      <c r="H243">
        <v>2</v>
      </c>
      <c r="I243">
        <v>2</v>
      </c>
      <c r="J243">
        <v>0.2</v>
      </c>
    </row>
    <row r="244" spans="1:10">
      <c r="A244">
        <v>243</v>
      </c>
      <c r="B244" s="2">
        <v>40554</v>
      </c>
      <c r="C244">
        <v>1</v>
      </c>
      <c r="D244">
        <v>0</v>
      </c>
      <c r="E244">
        <v>1</v>
      </c>
      <c r="F244">
        <v>11</v>
      </c>
      <c r="G244" t="b">
        <v>0</v>
      </c>
      <c r="H244">
        <v>2</v>
      </c>
      <c r="I244">
        <v>2</v>
      </c>
      <c r="J244">
        <v>0.2</v>
      </c>
    </row>
    <row r="245" spans="1:10">
      <c r="A245">
        <v>244</v>
      </c>
      <c r="B245" s="2">
        <v>40554</v>
      </c>
      <c r="C245">
        <v>1</v>
      </c>
      <c r="D245">
        <v>0</v>
      </c>
      <c r="E245">
        <v>1</v>
      </c>
      <c r="F245">
        <v>12</v>
      </c>
      <c r="G245" t="b">
        <v>0</v>
      </c>
      <c r="H245">
        <v>2</v>
      </c>
      <c r="I245">
        <v>2</v>
      </c>
      <c r="J245">
        <v>0.2</v>
      </c>
    </row>
    <row r="246" spans="1:10">
      <c r="A246">
        <v>245</v>
      </c>
      <c r="B246" s="2">
        <v>40554</v>
      </c>
      <c r="C246">
        <v>1</v>
      </c>
      <c r="D246">
        <v>0</v>
      </c>
      <c r="E246">
        <v>1</v>
      </c>
      <c r="F246">
        <v>13</v>
      </c>
      <c r="G246" t="b">
        <v>0</v>
      </c>
      <c r="H246">
        <v>2</v>
      </c>
      <c r="I246">
        <v>2</v>
      </c>
      <c r="J246">
        <v>0.2</v>
      </c>
    </row>
    <row r="247" spans="1:10">
      <c r="A247">
        <v>246</v>
      </c>
      <c r="B247" s="2">
        <v>40554</v>
      </c>
      <c r="C247">
        <v>1</v>
      </c>
      <c r="D247">
        <v>0</v>
      </c>
      <c r="E247">
        <v>1</v>
      </c>
      <c r="F247">
        <v>14</v>
      </c>
      <c r="G247" t="b">
        <v>0</v>
      </c>
      <c r="H247">
        <v>2</v>
      </c>
      <c r="I247">
        <v>2</v>
      </c>
      <c r="J247">
        <v>0.2</v>
      </c>
    </row>
    <row r="248" spans="1:10">
      <c r="A248">
        <v>247</v>
      </c>
      <c r="B248" s="2">
        <v>40554</v>
      </c>
      <c r="C248">
        <v>1</v>
      </c>
      <c r="D248">
        <v>0</v>
      </c>
      <c r="E248">
        <v>1</v>
      </c>
      <c r="F248">
        <v>15</v>
      </c>
      <c r="G248" t="b">
        <v>0</v>
      </c>
      <c r="H248">
        <v>2</v>
      </c>
      <c r="I248">
        <v>2</v>
      </c>
      <c r="J248">
        <v>0.16</v>
      </c>
    </row>
    <row r="249" spans="1:10">
      <c r="A249">
        <v>248</v>
      </c>
      <c r="B249" s="2">
        <v>40554</v>
      </c>
      <c r="C249">
        <v>1</v>
      </c>
      <c r="D249">
        <v>0</v>
      </c>
      <c r="E249">
        <v>1</v>
      </c>
      <c r="F249">
        <v>16</v>
      </c>
      <c r="G249" t="b">
        <v>0</v>
      </c>
      <c r="H249">
        <v>2</v>
      </c>
      <c r="I249">
        <v>2</v>
      </c>
      <c r="J249">
        <v>0.16</v>
      </c>
    </row>
    <row r="250" spans="1:10">
      <c r="A250">
        <v>249</v>
      </c>
      <c r="B250" s="2">
        <v>40554</v>
      </c>
      <c r="C250">
        <v>1</v>
      </c>
      <c r="D250">
        <v>0</v>
      </c>
      <c r="E250">
        <v>1</v>
      </c>
      <c r="F250">
        <v>17</v>
      </c>
      <c r="G250" t="b">
        <v>0</v>
      </c>
      <c r="H250">
        <v>2</v>
      </c>
      <c r="I250">
        <v>2</v>
      </c>
      <c r="J250">
        <v>0.16</v>
      </c>
    </row>
    <row r="251" spans="1:10">
      <c r="A251">
        <v>250</v>
      </c>
      <c r="B251" s="2">
        <v>40554</v>
      </c>
      <c r="C251">
        <v>1</v>
      </c>
      <c r="D251">
        <v>0</v>
      </c>
      <c r="E251">
        <v>1</v>
      </c>
      <c r="F251">
        <v>18</v>
      </c>
      <c r="G251" t="b">
        <v>0</v>
      </c>
      <c r="H251">
        <v>2</v>
      </c>
      <c r="I251">
        <v>3</v>
      </c>
      <c r="J251">
        <v>0.16</v>
      </c>
    </row>
    <row r="252" spans="1:10">
      <c r="A252">
        <v>251</v>
      </c>
      <c r="B252" s="2">
        <v>40554</v>
      </c>
      <c r="C252">
        <v>1</v>
      </c>
      <c r="D252">
        <v>0</v>
      </c>
      <c r="E252">
        <v>1</v>
      </c>
      <c r="F252">
        <v>19</v>
      </c>
      <c r="G252" t="b">
        <v>0</v>
      </c>
      <c r="H252">
        <v>2</v>
      </c>
      <c r="I252">
        <v>3</v>
      </c>
      <c r="J252">
        <v>0.16</v>
      </c>
    </row>
    <row r="253" spans="1:10">
      <c r="A253">
        <v>252</v>
      </c>
      <c r="B253" s="2">
        <v>40554</v>
      </c>
      <c r="C253">
        <v>1</v>
      </c>
      <c r="D253">
        <v>0</v>
      </c>
      <c r="E253">
        <v>1</v>
      </c>
      <c r="F253">
        <v>20</v>
      </c>
      <c r="G253" t="b">
        <v>0</v>
      </c>
      <c r="H253">
        <v>2</v>
      </c>
      <c r="I253">
        <v>3</v>
      </c>
      <c r="J253">
        <v>0.16</v>
      </c>
    </row>
    <row r="254" spans="1:10">
      <c r="A254">
        <v>253</v>
      </c>
      <c r="B254" s="2">
        <v>40554</v>
      </c>
      <c r="C254">
        <v>1</v>
      </c>
      <c r="D254">
        <v>0</v>
      </c>
      <c r="E254">
        <v>1</v>
      </c>
      <c r="F254">
        <v>21</v>
      </c>
      <c r="G254" t="b">
        <v>0</v>
      </c>
      <c r="H254">
        <v>2</v>
      </c>
      <c r="I254">
        <v>3</v>
      </c>
      <c r="J254">
        <v>0.16</v>
      </c>
    </row>
    <row r="255" spans="1:10">
      <c r="A255">
        <v>254</v>
      </c>
      <c r="B255" s="2">
        <v>40554</v>
      </c>
      <c r="C255">
        <v>1</v>
      </c>
      <c r="D255">
        <v>0</v>
      </c>
      <c r="E255">
        <v>1</v>
      </c>
      <c r="F255">
        <v>22</v>
      </c>
      <c r="G255" t="b">
        <v>0</v>
      </c>
      <c r="H255">
        <v>2</v>
      </c>
      <c r="I255">
        <v>3</v>
      </c>
      <c r="J255">
        <v>0.16</v>
      </c>
    </row>
    <row r="256" spans="1:10">
      <c r="A256">
        <v>255</v>
      </c>
      <c r="B256" s="2">
        <v>40554</v>
      </c>
      <c r="C256">
        <v>1</v>
      </c>
      <c r="D256">
        <v>0</v>
      </c>
      <c r="E256">
        <v>1</v>
      </c>
      <c r="F256">
        <v>23</v>
      </c>
      <c r="G256" t="b">
        <v>0</v>
      </c>
      <c r="H256">
        <v>2</v>
      </c>
      <c r="I256">
        <v>3</v>
      </c>
      <c r="J256">
        <v>0.16</v>
      </c>
    </row>
    <row r="257" spans="1:10">
      <c r="A257">
        <v>256</v>
      </c>
      <c r="B257" s="2">
        <v>40555</v>
      </c>
      <c r="C257">
        <v>1</v>
      </c>
      <c r="D257">
        <v>0</v>
      </c>
      <c r="E257">
        <v>1</v>
      </c>
      <c r="F257">
        <v>0</v>
      </c>
      <c r="G257" t="b">
        <v>0</v>
      </c>
      <c r="H257">
        <v>3</v>
      </c>
      <c r="I257">
        <v>2</v>
      </c>
      <c r="J257">
        <v>0.16</v>
      </c>
    </row>
    <row r="258" spans="1:10">
      <c r="A258">
        <v>257</v>
      </c>
      <c r="B258" s="2">
        <v>40555</v>
      </c>
      <c r="C258">
        <v>1</v>
      </c>
      <c r="D258">
        <v>0</v>
      </c>
      <c r="E258">
        <v>1</v>
      </c>
      <c r="F258">
        <v>1</v>
      </c>
      <c r="G258" t="b">
        <v>0</v>
      </c>
      <c r="H258">
        <v>3</v>
      </c>
      <c r="I258">
        <v>2</v>
      </c>
      <c r="J258">
        <v>0.16</v>
      </c>
    </row>
    <row r="259" spans="1:10">
      <c r="A259">
        <v>258</v>
      </c>
      <c r="B259" s="2">
        <v>40555</v>
      </c>
      <c r="C259">
        <v>1</v>
      </c>
      <c r="D259">
        <v>0</v>
      </c>
      <c r="E259">
        <v>1</v>
      </c>
      <c r="F259">
        <v>2</v>
      </c>
      <c r="G259" t="b">
        <v>0</v>
      </c>
      <c r="H259">
        <v>3</v>
      </c>
      <c r="I259">
        <v>1</v>
      </c>
      <c r="J259">
        <v>0.14000000000000001</v>
      </c>
    </row>
    <row r="260" spans="1:10">
      <c r="A260">
        <v>259</v>
      </c>
      <c r="B260" s="2">
        <v>40555</v>
      </c>
      <c r="C260">
        <v>1</v>
      </c>
      <c r="D260">
        <v>0</v>
      </c>
      <c r="E260">
        <v>1</v>
      </c>
      <c r="F260">
        <v>5</v>
      </c>
      <c r="G260" t="b">
        <v>0</v>
      </c>
      <c r="H260">
        <v>3</v>
      </c>
      <c r="I260">
        <v>1</v>
      </c>
      <c r="J260">
        <v>0.14000000000000001</v>
      </c>
    </row>
    <row r="261" spans="1:10">
      <c r="A261">
        <v>260</v>
      </c>
      <c r="B261" s="2">
        <v>40555</v>
      </c>
      <c r="C261">
        <v>1</v>
      </c>
      <c r="D261">
        <v>0</v>
      </c>
      <c r="E261">
        <v>1</v>
      </c>
      <c r="F261">
        <v>6</v>
      </c>
      <c r="G261" t="b">
        <v>0</v>
      </c>
      <c r="H261">
        <v>3</v>
      </c>
      <c r="I261">
        <v>1</v>
      </c>
      <c r="J261">
        <v>0.12</v>
      </c>
    </row>
    <row r="262" spans="1:10">
      <c r="A262">
        <v>261</v>
      </c>
      <c r="B262" s="2">
        <v>40555</v>
      </c>
      <c r="C262">
        <v>1</v>
      </c>
      <c r="D262">
        <v>0</v>
      </c>
      <c r="E262">
        <v>1</v>
      </c>
      <c r="F262">
        <v>7</v>
      </c>
      <c r="G262" t="b">
        <v>0</v>
      </c>
      <c r="H262">
        <v>3</v>
      </c>
      <c r="I262">
        <v>1</v>
      </c>
      <c r="J262">
        <v>0.14000000000000001</v>
      </c>
    </row>
    <row r="263" spans="1:10">
      <c r="A263">
        <v>262</v>
      </c>
      <c r="B263" s="2">
        <v>40555</v>
      </c>
      <c r="C263">
        <v>1</v>
      </c>
      <c r="D263">
        <v>0</v>
      </c>
      <c r="E263">
        <v>1</v>
      </c>
      <c r="F263">
        <v>8</v>
      </c>
      <c r="G263" t="b">
        <v>0</v>
      </c>
      <c r="H263">
        <v>3</v>
      </c>
      <c r="I263">
        <v>1</v>
      </c>
      <c r="J263">
        <v>0.16</v>
      </c>
    </row>
    <row r="264" spans="1:10">
      <c r="A264">
        <v>263</v>
      </c>
      <c r="B264" s="2">
        <v>40555</v>
      </c>
      <c r="C264">
        <v>1</v>
      </c>
      <c r="D264">
        <v>0</v>
      </c>
      <c r="E264">
        <v>1</v>
      </c>
      <c r="F264">
        <v>9</v>
      </c>
      <c r="G264" t="b">
        <v>0</v>
      </c>
      <c r="H264">
        <v>3</v>
      </c>
      <c r="I264">
        <v>1</v>
      </c>
      <c r="J264">
        <v>0.16</v>
      </c>
    </row>
    <row r="265" spans="1:10">
      <c r="A265">
        <v>264</v>
      </c>
      <c r="B265" s="2">
        <v>40555</v>
      </c>
      <c r="C265">
        <v>1</v>
      </c>
      <c r="D265">
        <v>0</v>
      </c>
      <c r="E265">
        <v>1</v>
      </c>
      <c r="F265">
        <v>10</v>
      </c>
      <c r="G265" t="b">
        <v>0</v>
      </c>
      <c r="H265">
        <v>3</v>
      </c>
      <c r="I265">
        <v>1</v>
      </c>
      <c r="J265">
        <v>0.18</v>
      </c>
    </row>
    <row r="266" spans="1:10">
      <c r="A266">
        <v>265</v>
      </c>
      <c r="B266" s="2">
        <v>40555</v>
      </c>
      <c r="C266">
        <v>1</v>
      </c>
      <c r="D266">
        <v>0</v>
      </c>
      <c r="E266">
        <v>1</v>
      </c>
      <c r="F266">
        <v>11</v>
      </c>
      <c r="G266" t="b">
        <v>0</v>
      </c>
      <c r="H266">
        <v>3</v>
      </c>
      <c r="I266">
        <v>1</v>
      </c>
      <c r="J266">
        <v>0.2</v>
      </c>
    </row>
    <row r="267" spans="1:10">
      <c r="A267">
        <v>266</v>
      </c>
      <c r="B267" s="2">
        <v>40555</v>
      </c>
      <c r="C267">
        <v>1</v>
      </c>
      <c r="D267">
        <v>0</v>
      </c>
      <c r="E267">
        <v>1</v>
      </c>
      <c r="F267">
        <v>12</v>
      </c>
      <c r="G267" t="b">
        <v>0</v>
      </c>
      <c r="H267">
        <v>3</v>
      </c>
      <c r="I267">
        <v>1</v>
      </c>
      <c r="J267">
        <v>0.2</v>
      </c>
    </row>
    <row r="268" spans="1:10">
      <c r="A268">
        <v>267</v>
      </c>
      <c r="B268" s="2">
        <v>40555</v>
      </c>
      <c r="C268">
        <v>1</v>
      </c>
      <c r="D268">
        <v>0</v>
      </c>
      <c r="E268">
        <v>1</v>
      </c>
      <c r="F268">
        <v>13</v>
      </c>
      <c r="G268" t="b">
        <v>0</v>
      </c>
      <c r="H268">
        <v>3</v>
      </c>
      <c r="I268">
        <v>1</v>
      </c>
      <c r="J268">
        <v>0.22</v>
      </c>
    </row>
    <row r="269" spans="1:10">
      <c r="A269">
        <v>268</v>
      </c>
      <c r="B269" s="2">
        <v>40555</v>
      </c>
      <c r="C269">
        <v>1</v>
      </c>
      <c r="D269">
        <v>0</v>
      </c>
      <c r="E269">
        <v>1</v>
      </c>
      <c r="F269">
        <v>14</v>
      </c>
      <c r="G269" t="b">
        <v>0</v>
      </c>
      <c r="H269">
        <v>3</v>
      </c>
      <c r="I269">
        <v>1</v>
      </c>
      <c r="J269">
        <v>0.2</v>
      </c>
    </row>
    <row r="270" spans="1:10">
      <c r="A270">
        <v>269</v>
      </c>
      <c r="B270" s="2">
        <v>40555</v>
      </c>
      <c r="C270">
        <v>1</v>
      </c>
      <c r="D270">
        <v>0</v>
      </c>
      <c r="E270">
        <v>1</v>
      </c>
      <c r="F270">
        <v>15</v>
      </c>
      <c r="G270" t="b">
        <v>0</v>
      </c>
      <c r="H270">
        <v>3</v>
      </c>
      <c r="I270">
        <v>1</v>
      </c>
      <c r="J270">
        <v>0.2</v>
      </c>
    </row>
    <row r="271" spans="1:10">
      <c r="A271">
        <v>270</v>
      </c>
      <c r="B271" s="2">
        <v>40555</v>
      </c>
      <c r="C271">
        <v>1</v>
      </c>
      <c r="D271">
        <v>0</v>
      </c>
      <c r="E271">
        <v>1</v>
      </c>
      <c r="F271">
        <v>16</v>
      </c>
      <c r="G271" t="b">
        <v>0</v>
      </c>
      <c r="H271">
        <v>3</v>
      </c>
      <c r="I271">
        <v>1</v>
      </c>
      <c r="J271">
        <v>0.22</v>
      </c>
    </row>
    <row r="272" spans="1:10">
      <c r="A272">
        <v>271</v>
      </c>
      <c r="B272" s="2">
        <v>40555</v>
      </c>
      <c r="C272">
        <v>1</v>
      </c>
      <c r="D272">
        <v>0</v>
      </c>
      <c r="E272">
        <v>1</v>
      </c>
      <c r="F272">
        <v>17</v>
      </c>
      <c r="G272" t="b">
        <v>0</v>
      </c>
      <c r="H272">
        <v>3</v>
      </c>
      <c r="I272">
        <v>1</v>
      </c>
      <c r="J272">
        <v>0.2</v>
      </c>
    </row>
    <row r="273" spans="1:10">
      <c r="A273">
        <v>272</v>
      </c>
      <c r="B273" s="2">
        <v>40555</v>
      </c>
      <c r="C273">
        <v>1</v>
      </c>
      <c r="D273">
        <v>0</v>
      </c>
      <c r="E273">
        <v>1</v>
      </c>
      <c r="F273">
        <v>18</v>
      </c>
      <c r="G273" t="b">
        <v>0</v>
      </c>
      <c r="H273">
        <v>3</v>
      </c>
      <c r="I273">
        <v>1</v>
      </c>
      <c r="J273">
        <v>0.2</v>
      </c>
    </row>
    <row r="274" spans="1:10">
      <c r="A274">
        <v>273</v>
      </c>
      <c r="B274" s="2">
        <v>40555</v>
      </c>
      <c r="C274">
        <v>1</v>
      </c>
      <c r="D274">
        <v>0</v>
      </c>
      <c r="E274">
        <v>1</v>
      </c>
      <c r="F274">
        <v>19</v>
      </c>
      <c r="G274" t="b">
        <v>0</v>
      </c>
      <c r="H274">
        <v>3</v>
      </c>
      <c r="I274">
        <v>1</v>
      </c>
      <c r="J274">
        <v>0.18</v>
      </c>
    </row>
    <row r="275" spans="1:10">
      <c r="A275">
        <v>274</v>
      </c>
      <c r="B275" s="2">
        <v>40555</v>
      </c>
      <c r="C275">
        <v>1</v>
      </c>
      <c r="D275">
        <v>0</v>
      </c>
      <c r="E275">
        <v>1</v>
      </c>
      <c r="F275">
        <v>20</v>
      </c>
      <c r="G275" t="b">
        <v>0</v>
      </c>
      <c r="H275">
        <v>3</v>
      </c>
      <c r="I275">
        <v>1</v>
      </c>
      <c r="J275">
        <v>0.16</v>
      </c>
    </row>
    <row r="276" spans="1:10">
      <c r="A276">
        <v>275</v>
      </c>
      <c r="B276" s="2">
        <v>40555</v>
      </c>
      <c r="C276">
        <v>1</v>
      </c>
      <c r="D276">
        <v>0</v>
      </c>
      <c r="E276">
        <v>1</v>
      </c>
      <c r="F276">
        <v>21</v>
      </c>
      <c r="G276" t="b">
        <v>0</v>
      </c>
      <c r="H276">
        <v>3</v>
      </c>
      <c r="I276">
        <v>1</v>
      </c>
      <c r="J276">
        <v>0.16</v>
      </c>
    </row>
    <row r="277" spans="1:10">
      <c r="A277">
        <v>276</v>
      </c>
      <c r="B277" s="2">
        <v>40555</v>
      </c>
      <c r="C277">
        <v>1</v>
      </c>
      <c r="D277">
        <v>0</v>
      </c>
      <c r="E277">
        <v>1</v>
      </c>
      <c r="F277">
        <v>22</v>
      </c>
      <c r="G277" t="b">
        <v>0</v>
      </c>
      <c r="H277">
        <v>3</v>
      </c>
      <c r="I277">
        <v>1</v>
      </c>
      <c r="J277">
        <v>0.16</v>
      </c>
    </row>
    <row r="278" spans="1:10">
      <c r="A278">
        <v>277</v>
      </c>
      <c r="B278" s="2">
        <v>40555</v>
      </c>
      <c r="C278">
        <v>1</v>
      </c>
      <c r="D278">
        <v>0</v>
      </c>
      <c r="E278">
        <v>1</v>
      </c>
      <c r="F278">
        <v>23</v>
      </c>
      <c r="G278" t="b">
        <v>0</v>
      </c>
      <c r="H278">
        <v>3</v>
      </c>
      <c r="I278">
        <v>1</v>
      </c>
      <c r="J278">
        <v>0.14000000000000001</v>
      </c>
    </row>
    <row r="279" spans="1:10">
      <c r="A279">
        <v>278</v>
      </c>
      <c r="B279" s="2">
        <v>40556</v>
      </c>
      <c r="C279">
        <v>1</v>
      </c>
      <c r="D279">
        <v>0</v>
      </c>
      <c r="E279">
        <v>1</v>
      </c>
      <c r="F279">
        <v>0</v>
      </c>
      <c r="G279" t="b">
        <v>0</v>
      </c>
      <c r="H279">
        <v>4</v>
      </c>
      <c r="I279">
        <v>1</v>
      </c>
      <c r="J279">
        <v>0.14000000000000001</v>
      </c>
    </row>
    <row r="280" spans="1:10">
      <c r="A280">
        <v>279</v>
      </c>
      <c r="B280" s="2">
        <v>40556</v>
      </c>
      <c r="C280">
        <v>1</v>
      </c>
      <c r="D280">
        <v>0</v>
      </c>
      <c r="E280">
        <v>1</v>
      </c>
      <c r="F280">
        <v>1</v>
      </c>
      <c r="G280" t="b">
        <v>0</v>
      </c>
      <c r="H280">
        <v>4</v>
      </c>
      <c r="I280">
        <v>1</v>
      </c>
      <c r="J280">
        <v>0.14000000000000001</v>
      </c>
    </row>
    <row r="281" spans="1:10">
      <c r="A281">
        <v>280</v>
      </c>
      <c r="B281" s="2">
        <v>40556</v>
      </c>
      <c r="C281">
        <v>1</v>
      </c>
      <c r="D281">
        <v>0</v>
      </c>
      <c r="E281">
        <v>1</v>
      </c>
      <c r="F281">
        <v>2</v>
      </c>
      <c r="G281" t="b">
        <v>0</v>
      </c>
      <c r="H281">
        <v>4</v>
      </c>
      <c r="I281">
        <v>1</v>
      </c>
      <c r="J281">
        <v>0.14000000000000001</v>
      </c>
    </row>
    <row r="282" spans="1:10">
      <c r="A282">
        <v>281</v>
      </c>
      <c r="B282" s="2">
        <v>40556</v>
      </c>
      <c r="C282">
        <v>1</v>
      </c>
      <c r="D282">
        <v>0</v>
      </c>
      <c r="E282">
        <v>1</v>
      </c>
      <c r="F282">
        <v>3</v>
      </c>
      <c r="G282" t="b">
        <v>0</v>
      </c>
      <c r="H282">
        <v>4</v>
      </c>
      <c r="I282">
        <v>1</v>
      </c>
      <c r="J282">
        <v>0.14000000000000001</v>
      </c>
    </row>
    <row r="283" spans="1:10">
      <c r="A283">
        <v>282</v>
      </c>
      <c r="B283" s="2">
        <v>40556</v>
      </c>
      <c r="C283">
        <v>1</v>
      </c>
      <c r="D283">
        <v>0</v>
      </c>
      <c r="E283">
        <v>1</v>
      </c>
      <c r="F283">
        <v>4</v>
      </c>
      <c r="G283" t="b">
        <v>0</v>
      </c>
      <c r="H283">
        <v>4</v>
      </c>
      <c r="I283">
        <v>1</v>
      </c>
      <c r="J283">
        <v>0.14000000000000001</v>
      </c>
    </row>
    <row r="284" spans="1:10">
      <c r="A284">
        <v>283</v>
      </c>
      <c r="B284" s="2">
        <v>40556</v>
      </c>
      <c r="C284">
        <v>1</v>
      </c>
      <c r="D284">
        <v>0</v>
      </c>
      <c r="E284">
        <v>1</v>
      </c>
      <c r="F284">
        <v>5</v>
      </c>
      <c r="G284" t="b">
        <v>0</v>
      </c>
      <c r="H284">
        <v>4</v>
      </c>
      <c r="I284">
        <v>1</v>
      </c>
      <c r="J284">
        <v>0.14000000000000001</v>
      </c>
    </row>
    <row r="285" spans="1:10">
      <c r="A285">
        <v>284</v>
      </c>
      <c r="B285" s="2">
        <v>40556</v>
      </c>
      <c r="C285">
        <v>1</v>
      </c>
      <c r="D285">
        <v>0</v>
      </c>
      <c r="E285">
        <v>1</v>
      </c>
      <c r="F285">
        <v>6</v>
      </c>
      <c r="G285" t="b">
        <v>0</v>
      </c>
      <c r="H285">
        <v>4</v>
      </c>
      <c r="I285">
        <v>1</v>
      </c>
      <c r="J285">
        <v>0.12</v>
      </c>
    </row>
    <row r="286" spans="1:10">
      <c r="A286">
        <v>285</v>
      </c>
      <c r="B286" s="2">
        <v>40556</v>
      </c>
      <c r="C286">
        <v>1</v>
      </c>
      <c r="D286">
        <v>0</v>
      </c>
      <c r="E286">
        <v>1</v>
      </c>
      <c r="F286">
        <v>7</v>
      </c>
      <c r="G286" t="b">
        <v>0</v>
      </c>
      <c r="H286">
        <v>4</v>
      </c>
      <c r="I286">
        <v>1</v>
      </c>
      <c r="J286">
        <v>0.12</v>
      </c>
    </row>
    <row r="287" spans="1:10">
      <c r="A287">
        <v>286</v>
      </c>
      <c r="B287" s="2">
        <v>40556</v>
      </c>
      <c r="C287">
        <v>1</v>
      </c>
      <c r="D287">
        <v>0</v>
      </c>
      <c r="E287">
        <v>1</v>
      </c>
      <c r="F287">
        <v>8</v>
      </c>
      <c r="G287" t="b">
        <v>0</v>
      </c>
      <c r="H287">
        <v>4</v>
      </c>
      <c r="I287">
        <v>1</v>
      </c>
      <c r="J287">
        <v>0.14000000000000001</v>
      </c>
    </row>
    <row r="288" spans="1:10">
      <c r="A288">
        <v>287</v>
      </c>
      <c r="B288" s="2">
        <v>40556</v>
      </c>
      <c r="C288">
        <v>1</v>
      </c>
      <c r="D288">
        <v>0</v>
      </c>
      <c r="E288">
        <v>1</v>
      </c>
      <c r="F288">
        <v>9</v>
      </c>
      <c r="G288" t="b">
        <v>0</v>
      </c>
      <c r="H288">
        <v>4</v>
      </c>
      <c r="I288">
        <v>1</v>
      </c>
      <c r="J288">
        <v>0.14000000000000001</v>
      </c>
    </row>
    <row r="289" spans="1:10">
      <c r="A289">
        <v>288</v>
      </c>
      <c r="B289" s="2">
        <v>40556</v>
      </c>
      <c r="C289">
        <v>1</v>
      </c>
      <c r="D289">
        <v>0</v>
      </c>
      <c r="E289">
        <v>1</v>
      </c>
      <c r="F289">
        <v>10</v>
      </c>
      <c r="G289" t="b">
        <v>0</v>
      </c>
      <c r="H289">
        <v>4</v>
      </c>
      <c r="I289">
        <v>2</v>
      </c>
      <c r="J289">
        <v>0.16</v>
      </c>
    </row>
    <row r="290" spans="1:10">
      <c r="A290">
        <v>289</v>
      </c>
      <c r="B290" s="2">
        <v>40556</v>
      </c>
      <c r="C290">
        <v>1</v>
      </c>
      <c r="D290">
        <v>0</v>
      </c>
      <c r="E290">
        <v>1</v>
      </c>
      <c r="F290">
        <v>11</v>
      </c>
      <c r="G290" t="b">
        <v>0</v>
      </c>
      <c r="H290">
        <v>4</v>
      </c>
      <c r="I290">
        <v>2</v>
      </c>
      <c r="J290">
        <v>0.2</v>
      </c>
    </row>
    <row r="291" spans="1:10">
      <c r="A291">
        <v>290</v>
      </c>
      <c r="B291" s="2">
        <v>40556</v>
      </c>
      <c r="C291">
        <v>1</v>
      </c>
      <c r="D291">
        <v>0</v>
      </c>
      <c r="E291">
        <v>1</v>
      </c>
      <c r="F291">
        <v>12</v>
      </c>
      <c r="G291" t="b">
        <v>0</v>
      </c>
      <c r="H291">
        <v>4</v>
      </c>
      <c r="I291">
        <v>1</v>
      </c>
      <c r="J291">
        <v>0.2</v>
      </c>
    </row>
    <row r="292" spans="1:10">
      <c r="A292">
        <v>291</v>
      </c>
      <c r="B292" s="2">
        <v>40556</v>
      </c>
      <c r="C292">
        <v>1</v>
      </c>
      <c r="D292">
        <v>0</v>
      </c>
      <c r="E292">
        <v>1</v>
      </c>
      <c r="F292">
        <v>13</v>
      </c>
      <c r="G292" t="b">
        <v>0</v>
      </c>
      <c r="H292">
        <v>4</v>
      </c>
      <c r="I292">
        <v>1</v>
      </c>
      <c r="J292">
        <v>0.22</v>
      </c>
    </row>
    <row r="293" spans="1:10">
      <c r="A293">
        <v>292</v>
      </c>
      <c r="B293" s="2">
        <v>40556</v>
      </c>
      <c r="C293">
        <v>1</v>
      </c>
      <c r="D293">
        <v>0</v>
      </c>
      <c r="E293">
        <v>1</v>
      </c>
      <c r="F293">
        <v>14</v>
      </c>
      <c r="G293" t="b">
        <v>0</v>
      </c>
      <c r="H293">
        <v>4</v>
      </c>
      <c r="I293">
        <v>1</v>
      </c>
      <c r="J293">
        <v>0.22</v>
      </c>
    </row>
    <row r="294" spans="1:10">
      <c r="A294">
        <v>293</v>
      </c>
      <c r="B294" s="2">
        <v>40556</v>
      </c>
      <c r="C294">
        <v>1</v>
      </c>
      <c r="D294">
        <v>0</v>
      </c>
      <c r="E294">
        <v>1</v>
      </c>
      <c r="F294">
        <v>15</v>
      </c>
      <c r="G294" t="b">
        <v>0</v>
      </c>
      <c r="H294">
        <v>4</v>
      </c>
      <c r="I294">
        <v>1</v>
      </c>
      <c r="J294">
        <v>0.24</v>
      </c>
    </row>
    <row r="295" spans="1:10">
      <c r="A295">
        <v>294</v>
      </c>
      <c r="B295" s="2">
        <v>40556</v>
      </c>
      <c r="C295">
        <v>1</v>
      </c>
      <c r="D295">
        <v>0</v>
      </c>
      <c r="E295">
        <v>1</v>
      </c>
      <c r="F295">
        <v>16</v>
      </c>
      <c r="G295" t="b">
        <v>0</v>
      </c>
      <c r="H295">
        <v>4</v>
      </c>
      <c r="I295">
        <v>1</v>
      </c>
      <c r="J295">
        <v>0.24</v>
      </c>
    </row>
    <row r="296" spans="1:10">
      <c r="A296">
        <v>295</v>
      </c>
      <c r="B296" s="2">
        <v>40556</v>
      </c>
      <c r="C296">
        <v>1</v>
      </c>
      <c r="D296">
        <v>0</v>
      </c>
      <c r="E296">
        <v>1</v>
      </c>
      <c r="F296">
        <v>17</v>
      </c>
      <c r="G296" t="b">
        <v>0</v>
      </c>
      <c r="H296">
        <v>4</v>
      </c>
      <c r="I296">
        <v>1</v>
      </c>
      <c r="J296">
        <v>0.2</v>
      </c>
    </row>
    <row r="297" spans="1:10">
      <c r="A297">
        <v>296</v>
      </c>
      <c r="B297" s="2">
        <v>40556</v>
      </c>
      <c r="C297">
        <v>1</v>
      </c>
      <c r="D297">
        <v>0</v>
      </c>
      <c r="E297">
        <v>1</v>
      </c>
      <c r="F297">
        <v>18</v>
      </c>
      <c r="G297" t="b">
        <v>0</v>
      </c>
      <c r="H297">
        <v>4</v>
      </c>
      <c r="I297">
        <v>1</v>
      </c>
      <c r="J297">
        <v>0.2</v>
      </c>
    </row>
    <row r="298" spans="1:10">
      <c r="A298">
        <v>297</v>
      </c>
      <c r="B298" s="2">
        <v>40556</v>
      </c>
      <c r="C298">
        <v>1</v>
      </c>
      <c r="D298">
        <v>0</v>
      </c>
      <c r="E298">
        <v>1</v>
      </c>
      <c r="F298">
        <v>19</v>
      </c>
      <c r="G298" t="b">
        <v>0</v>
      </c>
      <c r="H298">
        <v>4</v>
      </c>
      <c r="I298">
        <v>1</v>
      </c>
      <c r="J298">
        <v>0.16</v>
      </c>
    </row>
    <row r="299" spans="1:10">
      <c r="A299">
        <v>298</v>
      </c>
      <c r="B299" s="2">
        <v>40556</v>
      </c>
      <c r="C299">
        <v>1</v>
      </c>
      <c r="D299">
        <v>0</v>
      </c>
      <c r="E299">
        <v>1</v>
      </c>
      <c r="F299">
        <v>20</v>
      </c>
      <c r="G299" t="b">
        <v>0</v>
      </c>
      <c r="H299">
        <v>4</v>
      </c>
      <c r="I299">
        <v>1</v>
      </c>
      <c r="J299">
        <v>0.16</v>
      </c>
    </row>
    <row r="300" spans="1:10">
      <c r="A300">
        <v>299</v>
      </c>
      <c r="B300" s="2">
        <v>40556</v>
      </c>
      <c r="C300">
        <v>1</v>
      </c>
      <c r="D300">
        <v>0</v>
      </c>
      <c r="E300">
        <v>1</v>
      </c>
      <c r="F300">
        <v>21</v>
      </c>
      <c r="G300" t="b">
        <v>0</v>
      </c>
      <c r="H300">
        <v>4</v>
      </c>
      <c r="I300">
        <v>1</v>
      </c>
      <c r="J300">
        <v>0.14000000000000001</v>
      </c>
    </row>
    <row r="301" spans="1:10">
      <c r="A301">
        <v>300</v>
      </c>
      <c r="B301" s="2">
        <v>40556</v>
      </c>
      <c r="C301">
        <v>1</v>
      </c>
      <c r="D301">
        <v>0</v>
      </c>
      <c r="E301">
        <v>1</v>
      </c>
      <c r="F301">
        <v>22</v>
      </c>
      <c r="G301" t="b">
        <v>0</v>
      </c>
      <c r="H301">
        <v>4</v>
      </c>
      <c r="I301">
        <v>1</v>
      </c>
      <c r="J301">
        <v>0.14000000000000001</v>
      </c>
    </row>
    <row r="302" spans="1:10">
      <c r="A302">
        <v>301</v>
      </c>
      <c r="B302" s="2">
        <v>40556</v>
      </c>
      <c r="C302">
        <v>1</v>
      </c>
      <c r="D302">
        <v>0</v>
      </c>
      <c r="E302">
        <v>1</v>
      </c>
      <c r="F302">
        <v>23</v>
      </c>
      <c r="G302" t="b">
        <v>0</v>
      </c>
      <c r="H302">
        <v>4</v>
      </c>
      <c r="I302">
        <v>1</v>
      </c>
      <c r="J302">
        <v>0.12</v>
      </c>
    </row>
    <row r="303" spans="1:10">
      <c r="A303">
        <v>302</v>
      </c>
      <c r="B303" s="2">
        <v>40557</v>
      </c>
      <c r="C303">
        <v>1</v>
      </c>
      <c r="D303">
        <v>0</v>
      </c>
      <c r="E303">
        <v>1</v>
      </c>
      <c r="F303">
        <v>0</v>
      </c>
      <c r="G303" t="b">
        <v>0</v>
      </c>
      <c r="H303">
        <v>5</v>
      </c>
      <c r="I303">
        <v>1</v>
      </c>
      <c r="J303">
        <v>0.12</v>
      </c>
    </row>
    <row r="304" spans="1:10">
      <c r="A304">
        <v>303</v>
      </c>
      <c r="B304" s="2">
        <v>40557</v>
      </c>
      <c r="C304">
        <v>1</v>
      </c>
      <c r="D304">
        <v>0</v>
      </c>
      <c r="E304">
        <v>1</v>
      </c>
      <c r="F304">
        <v>1</v>
      </c>
      <c r="G304" t="b">
        <v>0</v>
      </c>
      <c r="H304">
        <v>5</v>
      </c>
      <c r="I304">
        <v>1</v>
      </c>
      <c r="J304">
        <v>0.1</v>
      </c>
    </row>
    <row r="305" spans="1:10">
      <c r="A305">
        <v>304</v>
      </c>
      <c r="B305" s="2">
        <v>40557</v>
      </c>
      <c r="C305">
        <v>1</v>
      </c>
      <c r="D305">
        <v>0</v>
      </c>
      <c r="E305">
        <v>1</v>
      </c>
      <c r="F305">
        <v>2</v>
      </c>
      <c r="G305" t="b">
        <v>0</v>
      </c>
      <c r="H305">
        <v>5</v>
      </c>
      <c r="I305">
        <v>1</v>
      </c>
      <c r="J305">
        <v>0.1</v>
      </c>
    </row>
    <row r="306" spans="1:10">
      <c r="A306">
        <v>305</v>
      </c>
      <c r="B306" s="2">
        <v>40557</v>
      </c>
      <c r="C306">
        <v>1</v>
      </c>
      <c r="D306">
        <v>0</v>
      </c>
      <c r="E306">
        <v>1</v>
      </c>
      <c r="F306">
        <v>3</v>
      </c>
      <c r="G306" t="b">
        <v>0</v>
      </c>
      <c r="H306">
        <v>5</v>
      </c>
      <c r="I306">
        <v>1</v>
      </c>
      <c r="J306">
        <v>0.1</v>
      </c>
    </row>
    <row r="307" spans="1:10">
      <c r="A307">
        <v>306</v>
      </c>
      <c r="B307" s="2">
        <v>40557</v>
      </c>
      <c r="C307">
        <v>1</v>
      </c>
      <c r="D307">
        <v>0</v>
      </c>
      <c r="E307">
        <v>1</v>
      </c>
      <c r="F307">
        <v>5</v>
      </c>
      <c r="G307" t="b">
        <v>0</v>
      </c>
      <c r="H307">
        <v>5</v>
      </c>
      <c r="I307">
        <v>1</v>
      </c>
      <c r="J307">
        <v>0.1</v>
      </c>
    </row>
    <row r="308" spans="1:10">
      <c r="A308">
        <v>307</v>
      </c>
      <c r="B308" s="2">
        <v>40557</v>
      </c>
      <c r="C308">
        <v>1</v>
      </c>
      <c r="D308">
        <v>0</v>
      </c>
      <c r="E308">
        <v>1</v>
      </c>
      <c r="F308">
        <v>6</v>
      </c>
      <c r="G308" t="b">
        <v>0</v>
      </c>
      <c r="H308">
        <v>5</v>
      </c>
      <c r="I308">
        <v>1</v>
      </c>
      <c r="J308">
        <v>0.1</v>
      </c>
    </row>
    <row r="309" spans="1:10">
      <c r="A309">
        <v>308</v>
      </c>
      <c r="B309" s="2">
        <v>40557</v>
      </c>
      <c r="C309">
        <v>1</v>
      </c>
      <c r="D309">
        <v>0</v>
      </c>
      <c r="E309">
        <v>1</v>
      </c>
      <c r="F309">
        <v>7</v>
      </c>
      <c r="G309" t="b">
        <v>0</v>
      </c>
      <c r="H309">
        <v>5</v>
      </c>
      <c r="I309">
        <v>1</v>
      </c>
      <c r="J309">
        <v>0.1</v>
      </c>
    </row>
    <row r="310" spans="1:10">
      <c r="A310">
        <v>309</v>
      </c>
      <c r="B310" s="2">
        <v>40557</v>
      </c>
      <c r="C310">
        <v>1</v>
      </c>
      <c r="D310">
        <v>0</v>
      </c>
      <c r="E310">
        <v>1</v>
      </c>
      <c r="F310">
        <v>8</v>
      </c>
      <c r="G310" t="b">
        <v>0</v>
      </c>
      <c r="H310">
        <v>5</v>
      </c>
      <c r="I310">
        <v>1</v>
      </c>
      <c r="J310">
        <v>0.12</v>
      </c>
    </row>
    <row r="311" spans="1:10">
      <c r="A311">
        <v>310</v>
      </c>
      <c r="B311" s="2">
        <v>40557</v>
      </c>
      <c r="C311">
        <v>1</v>
      </c>
      <c r="D311">
        <v>0</v>
      </c>
      <c r="E311">
        <v>1</v>
      </c>
      <c r="F311">
        <v>9</v>
      </c>
      <c r="G311" t="b">
        <v>0</v>
      </c>
      <c r="H311">
        <v>5</v>
      </c>
      <c r="I311">
        <v>1</v>
      </c>
      <c r="J311">
        <v>0.14000000000000001</v>
      </c>
    </row>
    <row r="312" spans="1:10">
      <c r="A312">
        <v>311</v>
      </c>
      <c r="B312" s="2">
        <v>40557</v>
      </c>
      <c r="C312">
        <v>1</v>
      </c>
      <c r="D312">
        <v>0</v>
      </c>
      <c r="E312">
        <v>1</v>
      </c>
      <c r="F312">
        <v>10</v>
      </c>
      <c r="G312" t="b">
        <v>0</v>
      </c>
      <c r="H312">
        <v>5</v>
      </c>
      <c r="I312">
        <v>1</v>
      </c>
      <c r="J312">
        <v>0.18</v>
      </c>
    </row>
    <row r="313" spans="1:10">
      <c r="A313">
        <v>312</v>
      </c>
      <c r="B313" s="2">
        <v>40557</v>
      </c>
      <c r="C313">
        <v>1</v>
      </c>
      <c r="D313">
        <v>0</v>
      </c>
      <c r="E313">
        <v>1</v>
      </c>
      <c r="F313">
        <v>11</v>
      </c>
      <c r="G313" t="b">
        <v>0</v>
      </c>
      <c r="H313">
        <v>5</v>
      </c>
      <c r="I313">
        <v>1</v>
      </c>
      <c r="J313">
        <v>0.18</v>
      </c>
    </row>
    <row r="314" spans="1:10">
      <c r="A314">
        <v>313</v>
      </c>
      <c r="B314" s="2">
        <v>40557</v>
      </c>
      <c r="C314">
        <v>1</v>
      </c>
      <c r="D314">
        <v>0</v>
      </c>
      <c r="E314">
        <v>1</v>
      </c>
      <c r="F314">
        <v>12</v>
      </c>
      <c r="G314" t="b">
        <v>0</v>
      </c>
      <c r="H314">
        <v>5</v>
      </c>
      <c r="I314">
        <v>1</v>
      </c>
      <c r="J314">
        <v>0.2</v>
      </c>
    </row>
    <row r="315" spans="1:10">
      <c r="A315">
        <v>314</v>
      </c>
      <c r="B315" s="2">
        <v>40557</v>
      </c>
      <c r="C315">
        <v>1</v>
      </c>
      <c r="D315">
        <v>0</v>
      </c>
      <c r="E315">
        <v>1</v>
      </c>
      <c r="F315">
        <v>13</v>
      </c>
      <c r="G315" t="b">
        <v>0</v>
      </c>
      <c r="H315">
        <v>5</v>
      </c>
      <c r="I315">
        <v>1</v>
      </c>
      <c r="J315">
        <v>0.22</v>
      </c>
    </row>
    <row r="316" spans="1:10">
      <c r="A316">
        <v>315</v>
      </c>
      <c r="B316" s="2">
        <v>40557</v>
      </c>
      <c r="C316">
        <v>1</v>
      </c>
      <c r="D316">
        <v>0</v>
      </c>
      <c r="E316">
        <v>1</v>
      </c>
      <c r="F316">
        <v>14</v>
      </c>
      <c r="G316" t="b">
        <v>0</v>
      </c>
      <c r="H316">
        <v>5</v>
      </c>
      <c r="I316">
        <v>1</v>
      </c>
      <c r="J316">
        <v>0.22</v>
      </c>
    </row>
    <row r="317" spans="1:10">
      <c r="A317">
        <v>316</v>
      </c>
      <c r="B317" s="2">
        <v>40557</v>
      </c>
      <c r="C317">
        <v>1</v>
      </c>
      <c r="D317">
        <v>0</v>
      </c>
      <c r="E317">
        <v>1</v>
      </c>
      <c r="F317">
        <v>15</v>
      </c>
      <c r="G317" t="b">
        <v>0</v>
      </c>
      <c r="H317">
        <v>5</v>
      </c>
      <c r="I317">
        <v>1</v>
      </c>
      <c r="J317">
        <v>0.24</v>
      </c>
    </row>
    <row r="318" spans="1:10">
      <c r="A318">
        <v>317</v>
      </c>
      <c r="B318" s="2">
        <v>40557</v>
      </c>
      <c r="C318">
        <v>1</v>
      </c>
      <c r="D318">
        <v>0</v>
      </c>
      <c r="E318">
        <v>1</v>
      </c>
      <c r="F318">
        <v>16</v>
      </c>
      <c r="G318" t="b">
        <v>0</v>
      </c>
      <c r="H318">
        <v>5</v>
      </c>
      <c r="I318">
        <v>1</v>
      </c>
      <c r="J318">
        <v>0.22</v>
      </c>
    </row>
    <row r="319" spans="1:10">
      <c r="A319">
        <v>318</v>
      </c>
      <c r="B319" s="2">
        <v>40557</v>
      </c>
      <c r="C319">
        <v>1</v>
      </c>
      <c r="D319">
        <v>0</v>
      </c>
      <c r="E319">
        <v>1</v>
      </c>
      <c r="F319">
        <v>17</v>
      </c>
      <c r="G319" t="b">
        <v>0</v>
      </c>
      <c r="H319">
        <v>5</v>
      </c>
      <c r="I319">
        <v>1</v>
      </c>
      <c r="J319">
        <v>0.22</v>
      </c>
    </row>
    <row r="320" spans="1:10">
      <c r="A320">
        <v>319</v>
      </c>
      <c r="B320" s="2">
        <v>40557</v>
      </c>
      <c r="C320">
        <v>1</v>
      </c>
      <c r="D320">
        <v>0</v>
      </c>
      <c r="E320">
        <v>1</v>
      </c>
      <c r="F320">
        <v>18</v>
      </c>
      <c r="G320" t="b">
        <v>0</v>
      </c>
      <c r="H320">
        <v>5</v>
      </c>
      <c r="I320">
        <v>1</v>
      </c>
      <c r="J320">
        <v>0.2</v>
      </c>
    </row>
    <row r="321" spans="1:10">
      <c r="A321">
        <v>320</v>
      </c>
      <c r="B321" s="2">
        <v>40557</v>
      </c>
      <c r="C321">
        <v>1</v>
      </c>
      <c r="D321">
        <v>0</v>
      </c>
      <c r="E321">
        <v>1</v>
      </c>
      <c r="F321">
        <v>19</v>
      </c>
      <c r="G321" t="b">
        <v>0</v>
      </c>
      <c r="H321">
        <v>5</v>
      </c>
      <c r="I321">
        <v>1</v>
      </c>
      <c r="J321">
        <v>0.16</v>
      </c>
    </row>
    <row r="322" spans="1:10">
      <c r="A322">
        <v>321</v>
      </c>
      <c r="B322" s="2">
        <v>40557</v>
      </c>
      <c r="C322">
        <v>1</v>
      </c>
      <c r="D322">
        <v>0</v>
      </c>
      <c r="E322">
        <v>1</v>
      </c>
      <c r="F322">
        <v>20</v>
      </c>
      <c r="G322" t="b">
        <v>0</v>
      </c>
      <c r="H322">
        <v>5</v>
      </c>
      <c r="I322">
        <v>1</v>
      </c>
      <c r="J322">
        <v>0.18</v>
      </c>
    </row>
    <row r="323" spans="1:10">
      <c r="A323">
        <v>322</v>
      </c>
      <c r="B323" s="2">
        <v>40557</v>
      </c>
      <c r="C323">
        <v>1</v>
      </c>
      <c r="D323">
        <v>0</v>
      </c>
      <c r="E323">
        <v>1</v>
      </c>
      <c r="F323">
        <v>21</v>
      </c>
      <c r="G323" t="b">
        <v>0</v>
      </c>
      <c r="H323">
        <v>5</v>
      </c>
      <c r="I323">
        <v>1</v>
      </c>
      <c r="J323">
        <v>0.16</v>
      </c>
    </row>
    <row r="324" spans="1:10">
      <c r="A324">
        <v>323</v>
      </c>
      <c r="B324" s="2">
        <v>40557</v>
      </c>
      <c r="C324">
        <v>1</v>
      </c>
      <c r="D324">
        <v>0</v>
      </c>
      <c r="E324">
        <v>1</v>
      </c>
      <c r="F324">
        <v>22</v>
      </c>
      <c r="G324" t="b">
        <v>0</v>
      </c>
      <c r="H324">
        <v>5</v>
      </c>
      <c r="I324">
        <v>2</v>
      </c>
      <c r="J324">
        <v>0.16</v>
      </c>
    </row>
    <row r="325" spans="1:10">
      <c r="A325">
        <v>324</v>
      </c>
      <c r="B325" s="2">
        <v>40557</v>
      </c>
      <c r="C325">
        <v>1</v>
      </c>
      <c r="D325">
        <v>0</v>
      </c>
      <c r="E325">
        <v>1</v>
      </c>
      <c r="F325">
        <v>23</v>
      </c>
      <c r="G325" t="b">
        <v>0</v>
      </c>
      <c r="H325">
        <v>5</v>
      </c>
      <c r="I325">
        <v>2</v>
      </c>
      <c r="J325">
        <v>0.18</v>
      </c>
    </row>
    <row r="326" spans="1:10">
      <c r="A326">
        <v>325</v>
      </c>
      <c r="B326" s="2">
        <v>40558</v>
      </c>
      <c r="C326">
        <v>1</v>
      </c>
      <c r="D326">
        <v>0</v>
      </c>
      <c r="E326">
        <v>1</v>
      </c>
      <c r="F326">
        <v>0</v>
      </c>
      <c r="G326" t="b">
        <v>0</v>
      </c>
      <c r="H326">
        <v>6</v>
      </c>
      <c r="I326">
        <v>1</v>
      </c>
      <c r="J326">
        <v>0.18</v>
      </c>
    </row>
    <row r="327" spans="1:10">
      <c r="A327">
        <v>326</v>
      </c>
      <c r="B327" s="2">
        <v>40558</v>
      </c>
      <c r="C327">
        <v>1</v>
      </c>
      <c r="D327">
        <v>0</v>
      </c>
      <c r="E327">
        <v>1</v>
      </c>
      <c r="F327">
        <v>1</v>
      </c>
      <c r="G327" t="b">
        <v>0</v>
      </c>
      <c r="H327">
        <v>6</v>
      </c>
      <c r="I327">
        <v>2</v>
      </c>
      <c r="J327">
        <v>0.16</v>
      </c>
    </row>
    <row r="328" spans="1:10">
      <c r="A328">
        <v>327</v>
      </c>
      <c r="B328" s="2">
        <v>40558</v>
      </c>
      <c r="C328">
        <v>1</v>
      </c>
      <c r="D328">
        <v>0</v>
      </c>
      <c r="E328">
        <v>1</v>
      </c>
      <c r="F328">
        <v>2</v>
      </c>
      <c r="G328" t="b">
        <v>0</v>
      </c>
      <c r="H328">
        <v>6</v>
      </c>
      <c r="I328">
        <v>2</v>
      </c>
      <c r="J328">
        <v>0.16</v>
      </c>
    </row>
    <row r="329" spans="1:10">
      <c r="A329">
        <v>328</v>
      </c>
      <c r="B329" s="2">
        <v>40558</v>
      </c>
      <c r="C329">
        <v>1</v>
      </c>
      <c r="D329">
        <v>0</v>
      </c>
      <c r="E329">
        <v>1</v>
      </c>
      <c r="F329">
        <v>3</v>
      </c>
      <c r="G329" t="b">
        <v>0</v>
      </c>
      <c r="H329">
        <v>6</v>
      </c>
      <c r="I329">
        <v>2</v>
      </c>
      <c r="J329">
        <v>0.16</v>
      </c>
    </row>
    <row r="330" spans="1:10">
      <c r="A330">
        <v>329</v>
      </c>
      <c r="B330" s="2">
        <v>40558</v>
      </c>
      <c r="C330">
        <v>1</v>
      </c>
      <c r="D330">
        <v>0</v>
      </c>
      <c r="E330">
        <v>1</v>
      </c>
      <c r="F330">
        <v>4</v>
      </c>
      <c r="G330" t="b">
        <v>0</v>
      </c>
      <c r="H330">
        <v>6</v>
      </c>
      <c r="I330">
        <v>2</v>
      </c>
      <c r="J330">
        <v>0.16</v>
      </c>
    </row>
    <row r="331" spans="1:10">
      <c r="A331">
        <v>330</v>
      </c>
      <c r="B331" s="2">
        <v>40558</v>
      </c>
      <c r="C331">
        <v>1</v>
      </c>
      <c r="D331">
        <v>0</v>
      </c>
      <c r="E331">
        <v>1</v>
      </c>
      <c r="F331">
        <v>5</v>
      </c>
      <c r="G331" t="b">
        <v>0</v>
      </c>
      <c r="H331">
        <v>6</v>
      </c>
      <c r="I331">
        <v>1</v>
      </c>
      <c r="J331">
        <v>0.16</v>
      </c>
    </row>
    <row r="332" spans="1:10">
      <c r="A332">
        <v>331</v>
      </c>
      <c r="B332" s="2">
        <v>40558</v>
      </c>
      <c r="C332">
        <v>1</v>
      </c>
      <c r="D332">
        <v>0</v>
      </c>
      <c r="E332">
        <v>1</v>
      </c>
      <c r="F332">
        <v>6</v>
      </c>
      <c r="G332" t="b">
        <v>0</v>
      </c>
      <c r="H332">
        <v>6</v>
      </c>
      <c r="I332">
        <v>1</v>
      </c>
      <c r="J332">
        <v>0.14000000000000001</v>
      </c>
    </row>
    <row r="333" spans="1:10">
      <c r="A333">
        <v>332</v>
      </c>
      <c r="B333" s="2">
        <v>40558</v>
      </c>
      <c r="C333">
        <v>1</v>
      </c>
      <c r="D333">
        <v>0</v>
      </c>
      <c r="E333">
        <v>1</v>
      </c>
      <c r="F333">
        <v>7</v>
      </c>
      <c r="G333" t="b">
        <v>0</v>
      </c>
      <c r="H333">
        <v>6</v>
      </c>
      <c r="I333">
        <v>1</v>
      </c>
      <c r="J333">
        <v>0.14000000000000001</v>
      </c>
    </row>
    <row r="334" spans="1:10">
      <c r="A334">
        <v>333</v>
      </c>
      <c r="B334" s="2">
        <v>40558</v>
      </c>
      <c r="C334">
        <v>1</v>
      </c>
      <c r="D334">
        <v>0</v>
      </c>
      <c r="E334">
        <v>1</v>
      </c>
      <c r="F334">
        <v>8</v>
      </c>
      <c r="G334" t="b">
        <v>0</v>
      </c>
      <c r="H334">
        <v>6</v>
      </c>
      <c r="I334">
        <v>1</v>
      </c>
      <c r="J334">
        <v>0.14000000000000001</v>
      </c>
    </row>
    <row r="335" spans="1:10">
      <c r="A335">
        <v>334</v>
      </c>
      <c r="B335" s="2">
        <v>40558</v>
      </c>
      <c r="C335">
        <v>1</v>
      </c>
      <c r="D335">
        <v>0</v>
      </c>
      <c r="E335">
        <v>1</v>
      </c>
      <c r="F335">
        <v>9</v>
      </c>
      <c r="G335" t="b">
        <v>0</v>
      </c>
      <c r="H335">
        <v>6</v>
      </c>
      <c r="I335">
        <v>1</v>
      </c>
      <c r="J335">
        <v>0.16</v>
      </c>
    </row>
    <row r="336" spans="1:10">
      <c r="A336">
        <v>335</v>
      </c>
      <c r="B336" s="2">
        <v>40558</v>
      </c>
      <c r="C336">
        <v>1</v>
      </c>
      <c r="D336">
        <v>0</v>
      </c>
      <c r="E336">
        <v>1</v>
      </c>
      <c r="F336">
        <v>10</v>
      </c>
      <c r="G336" t="b">
        <v>0</v>
      </c>
      <c r="H336">
        <v>6</v>
      </c>
      <c r="I336">
        <v>1</v>
      </c>
      <c r="J336">
        <v>0.18</v>
      </c>
    </row>
    <row r="337" spans="1:10">
      <c r="A337">
        <v>336</v>
      </c>
      <c r="B337" s="2">
        <v>40558</v>
      </c>
      <c r="C337">
        <v>1</v>
      </c>
      <c r="D337">
        <v>0</v>
      </c>
      <c r="E337">
        <v>1</v>
      </c>
      <c r="F337">
        <v>11</v>
      </c>
      <c r="G337" t="b">
        <v>0</v>
      </c>
      <c r="H337">
        <v>6</v>
      </c>
      <c r="I337">
        <v>1</v>
      </c>
      <c r="J337">
        <v>0.2</v>
      </c>
    </row>
    <row r="338" spans="1:10">
      <c r="A338">
        <v>337</v>
      </c>
      <c r="B338" s="2">
        <v>40558</v>
      </c>
      <c r="C338">
        <v>1</v>
      </c>
      <c r="D338">
        <v>0</v>
      </c>
      <c r="E338">
        <v>1</v>
      </c>
      <c r="F338">
        <v>12</v>
      </c>
      <c r="G338" t="b">
        <v>0</v>
      </c>
      <c r="H338">
        <v>6</v>
      </c>
      <c r="I338">
        <v>1</v>
      </c>
      <c r="J338">
        <v>0.24</v>
      </c>
    </row>
    <row r="339" spans="1:10">
      <c r="A339">
        <v>338</v>
      </c>
      <c r="B339" s="2">
        <v>40558</v>
      </c>
      <c r="C339">
        <v>1</v>
      </c>
      <c r="D339">
        <v>0</v>
      </c>
      <c r="E339">
        <v>1</v>
      </c>
      <c r="F339">
        <v>13</v>
      </c>
      <c r="G339" t="b">
        <v>0</v>
      </c>
      <c r="H339">
        <v>6</v>
      </c>
      <c r="I339">
        <v>1</v>
      </c>
      <c r="J339">
        <v>0.28000000000000003</v>
      </c>
    </row>
    <row r="340" spans="1:10">
      <c r="A340">
        <v>339</v>
      </c>
      <c r="B340" s="2">
        <v>40558</v>
      </c>
      <c r="C340">
        <v>1</v>
      </c>
      <c r="D340">
        <v>0</v>
      </c>
      <c r="E340">
        <v>1</v>
      </c>
      <c r="F340">
        <v>14</v>
      </c>
      <c r="G340" t="b">
        <v>0</v>
      </c>
      <c r="H340">
        <v>6</v>
      </c>
      <c r="I340">
        <v>1</v>
      </c>
      <c r="J340">
        <v>0.3</v>
      </c>
    </row>
    <row r="341" spans="1:10">
      <c r="A341">
        <v>340</v>
      </c>
      <c r="B341" s="2">
        <v>40558</v>
      </c>
      <c r="C341">
        <v>1</v>
      </c>
      <c r="D341">
        <v>0</v>
      </c>
      <c r="E341">
        <v>1</v>
      </c>
      <c r="F341">
        <v>15</v>
      </c>
      <c r="G341" t="b">
        <v>0</v>
      </c>
      <c r="H341">
        <v>6</v>
      </c>
      <c r="I341">
        <v>2</v>
      </c>
      <c r="J341">
        <v>0.32</v>
      </c>
    </row>
    <row r="342" spans="1:10">
      <c r="A342">
        <v>341</v>
      </c>
      <c r="B342" s="2">
        <v>40558</v>
      </c>
      <c r="C342">
        <v>1</v>
      </c>
      <c r="D342">
        <v>0</v>
      </c>
      <c r="E342">
        <v>1</v>
      </c>
      <c r="F342">
        <v>16</v>
      </c>
      <c r="G342" t="b">
        <v>0</v>
      </c>
      <c r="H342">
        <v>6</v>
      </c>
      <c r="I342">
        <v>2</v>
      </c>
      <c r="J342">
        <v>0.34</v>
      </c>
    </row>
    <row r="343" spans="1:10">
      <c r="A343">
        <v>342</v>
      </c>
      <c r="B343" s="2">
        <v>40558</v>
      </c>
      <c r="C343">
        <v>1</v>
      </c>
      <c r="D343">
        <v>0</v>
      </c>
      <c r="E343">
        <v>1</v>
      </c>
      <c r="F343">
        <v>17</v>
      </c>
      <c r="G343" t="b">
        <v>0</v>
      </c>
      <c r="H343">
        <v>6</v>
      </c>
      <c r="I343">
        <v>2</v>
      </c>
      <c r="J343">
        <v>0.32</v>
      </c>
    </row>
    <row r="344" spans="1:10">
      <c r="A344">
        <v>343</v>
      </c>
      <c r="B344" s="2">
        <v>40558</v>
      </c>
      <c r="C344">
        <v>1</v>
      </c>
      <c r="D344">
        <v>0</v>
      </c>
      <c r="E344">
        <v>1</v>
      </c>
      <c r="F344">
        <v>18</v>
      </c>
      <c r="G344" t="b">
        <v>0</v>
      </c>
      <c r="H344">
        <v>6</v>
      </c>
      <c r="I344">
        <v>2</v>
      </c>
      <c r="J344">
        <v>0.3</v>
      </c>
    </row>
    <row r="345" spans="1:10">
      <c r="A345">
        <v>344</v>
      </c>
      <c r="B345" s="2">
        <v>40558</v>
      </c>
      <c r="C345">
        <v>1</v>
      </c>
      <c r="D345">
        <v>0</v>
      </c>
      <c r="E345">
        <v>1</v>
      </c>
      <c r="F345">
        <v>19</v>
      </c>
      <c r="G345" t="b">
        <v>0</v>
      </c>
      <c r="H345">
        <v>6</v>
      </c>
      <c r="I345">
        <v>2</v>
      </c>
      <c r="J345">
        <v>0.32</v>
      </c>
    </row>
    <row r="346" spans="1:10">
      <c r="A346">
        <v>345</v>
      </c>
      <c r="B346" s="2">
        <v>40558</v>
      </c>
      <c r="C346">
        <v>1</v>
      </c>
      <c r="D346">
        <v>0</v>
      </c>
      <c r="E346">
        <v>1</v>
      </c>
      <c r="F346">
        <v>20</v>
      </c>
      <c r="G346" t="b">
        <v>0</v>
      </c>
      <c r="H346">
        <v>6</v>
      </c>
      <c r="I346">
        <v>2</v>
      </c>
      <c r="J346">
        <v>0.32</v>
      </c>
    </row>
    <row r="347" spans="1:10">
      <c r="A347">
        <v>346</v>
      </c>
      <c r="B347" s="2">
        <v>40558</v>
      </c>
      <c r="C347">
        <v>1</v>
      </c>
      <c r="D347">
        <v>0</v>
      </c>
      <c r="E347">
        <v>1</v>
      </c>
      <c r="F347">
        <v>21</v>
      </c>
      <c r="G347" t="b">
        <v>0</v>
      </c>
      <c r="H347">
        <v>6</v>
      </c>
      <c r="I347">
        <v>2</v>
      </c>
      <c r="J347">
        <v>0.32</v>
      </c>
    </row>
    <row r="348" spans="1:10">
      <c r="A348">
        <v>347</v>
      </c>
      <c r="B348" s="2">
        <v>40558</v>
      </c>
      <c r="C348">
        <v>1</v>
      </c>
      <c r="D348">
        <v>0</v>
      </c>
      <c r="E348">
        <v>1</v>
      </c>
      <c r="F348">
        <v>22</v>
      </c>
      <c r="G348" t="b">
        <v>0</v>
      </c>
      <c r="H348">
        <v>6</v>
      </c>
      <c r="I348">
        <v>2</v>
      </c>
      <c r="J348">
        <v>0.3</v>
      </c>
    </row>
    <row r="349" spans="1:10">
      <c r="A349">
        <v>348</v>
      </c>
      <c r="B349" s="2">
        <v>40558</v>
      </c>
      <c r="C349">
        <v>1</v>
      </c>
      <c r="D349">
        <v>0</v>
      </c>
      <c r="E349">
        <v>1</v>
      </c>
      <c r="F349">
        <v>23</v>
      </c>
      <c r="G349" t="b">
        <v>0</v>
      </c>
      <c r="H349">
        <v>6</v>
      </c>
      <c r="I349">
        <v>1</v>
      </c>
      <c r="J349">
        <v>0.3</v>
      </c>
    </row>
    <row r="350" spans="1:10">
      <c r="A350">
        <v>349</v>
      </c>
      <c r="B350" s="2">
        <v>40559</v>
      </c>
      <c r="C350">
        <v>1</v>
      </c>
      <c r="D350">
        <v>0</v>
      </c>
      <c r="E350">
        <v>1</v>
      </c>
      <c r="F350">
        <v>0</v>
      </c>
      <c r="G350" t="b">
        <v>0</v>
      </c>
      <c r="H350">
        <v>0</v>
      </c>
      <c r="I350">
        <v>1</v>
      </c>
      <c r="J350">
        <v>0.26</v>
      </c>
    </row>
    <row r="351" spans="1:10">
      <c r="A351">
        <v>350</v>
      </c>
      <c r="B351" s="2">
        <v>40559</v>
      </c>
      <c r="C351">
        <v>1</v>
      </c>
      <c r="D351">
        <v>0</v>
      </c>
      <c r="E351">
        <v>1</v>
      </c>
      <c r="F351">
        <v>1</v>
      </c>
      <c r="G351" t="b">
        <v>0</v>
      </c>
      <c r="H351">
        <v>0</v>
      </c>
      <c r="I351">
        <v>1</v>
      </c>
      <c r="J351">
        <v>0.26</v>
      </c>
    </row>
    <row r="352" spans="1:10">
      <c r="A352">
        <v>351</v>
      </c>
      <c r="B352" s="2">
        <v>40559</v>
      </c>
      <c r="C352">
        <v>1</v>
      </c>
      <c r="D352">
        <v>0</v>
      </c>
      <c r="E352">
        <v>1</v>
      </c>
      <c r="F352">
        <v>2</v>
      </c>
      <c r="G352" t="b">
        <v>0</v>
      </c>
      <c r="H352">
        <v>0</v>
      </c>
      <c r="I352">
        <v>1</v>
      </c>
      <c r="J352">
        <v>0.26</v>
      </c>
    </row>
    <row r="353" spans="1:10">
      <c r="A353">
        <v>352</v>
      </c>
      <c r="B353" s="2">
        <v>40559</v>
      </c>
      <c r="C353">
        <v>1</v>
      </c>
      <c r="D353">
        <v>0</v>
      </c>
      <c r="E353">
        <v>1</v>
      </c>
      <c r="F353">
        <v>3</v>
      </c>
      <c r="G353" t="b">
        <v>0</v>
      </c>
      <c r="H353">
        <v>0</v>
      </c>
      <c r="I353">
        <v>1</v>
      </c>
      <c r="J353">
        <v>0.22</v>
      </c>
    </row>
    <row r="354" spans="1:10">
      <c r="A354">
        <v>353</v>
      </c>
      <c r="B354" s="2">
        <v>40559</v>
      </c>
      <c r="C354">
        <v>1</v>
      </c>
      <c r="D354">
        <v>0</v>
      </c>
      <c r="E354">
        <v>1</v>
      </c>
      <c r="F354">
        <v>4</v>
      </c>
      <c r="G354" t="b">
        <v>0</v>
      </c>
      <c r="H354">
        <v>0</v>
      </c>
      <c r="I354">
        <v>1</v>
      </c>
      <c r="J354">
        <v>0.26</v>
      </c>
    </row>
    <row r="355" spans="1:10">
      <c r="A355">
        <v>354</v>
      </c>
      <c r="B355" s="2">
        <v>40559</v>
      </c>
      <c r="C355">
        <v>1</v>
      </c>
      <c r="D355">
        <v>0</v>
      </c>
      <c r="E355">
        <v>1</v>
      </c>
      <c r="F355">
        <v>5</v>
      </c>
      <c r="G355" t="b">
        <v>0</v>
      </c>
      <c r="H355">
        <v>0</v>
      </c>
      <c r="I355">
        <v>2</v>
      </c>
      <c r="J355">
        <v>0.26</v>
      </c>
    </row>
    <row r="356" spans="1:10">
      <c r="A356">
        <v>355</v>
      </c>
      <c r="B356" s="2">
        <v>40559</v>
      </c>
      <c r="C356">
        <v>1</v>
      </c>
      <c r="D356">
        <v>0</v>
      </c>
      <c r="E356">
        <v>1</v>
      </c>
      <c r="F356">
        <v>6</v>
      </c>
      <c r="G356" t="b">
        <v>0</v>
      </c>
      <c r="H356">
        <v>0</v>
      </c>
      <c r="I356">
        <v>2</v>
      </c>
      <c r="J356">
        <v>0.26</v>
      </c>
    </row>
    <row r="357" spans="1:10">
      <c r="A357">
        <v>356</v>
      </c>
      <c r="B357" s="2">
        <v>40559</v>
      </c>
      <c r="C357">
        <v>1</v>
      </c>
      <c r="D357">
        <v>0</v>
      </c>
      <c r="E357">
        <v>1</v>
      </c>
      <c r="F357">
        <v>7</v>
      </c>
      <c r="G357" t="b">
        <v>0</v>
      </c>
      <c r="H357">
        <v>0</v>
      </c>
      <c r="I357">
        <v>2</v>
      </c>
      <c r="J357">
        <v>0.24</v>
      </c>
    </row>
    <row r="358" spans="1:10">
      <c r="A358">
        <v>357</v>
      </c>
      <c r="B358" s="2">
        <v>40559</v>
      </c>
      <c r="C358">
        <v>1</v>
      </c>
      <c r="D358">
        <v>0</v>
      </c>
      <c r="E358">
        <v>1</v>
      </c>
      <c r="F358">
        <v>8</v>
      </c>
      <c r="G358" t="b">
        <v>0</v>
      </c>
      <c r="H358">
        <v>0</v>
      </c>
      <c r="I358">
        <v>1</v>
      </c>
      <c r="J358">
        <v>0.22</v>
      </c>
    </row>
    <row r="359" spans="1:10">
      <c r="A359">
        <v>358</v>
      </c>
      <c r="B359" s="2">
        <v>40559</v>
      </c>
      <c r="C359">
        <v>1</v>
      </c>
      <c r="D359">
        <v>0</v>
      </c>
      <c r="E359">
        <v>1</v>
      </c>
      <c r="F359">
        <v>9</v>
      </c>
      <c r="G359" t="b">
        <v>0</v>
      </c>
      <c r="H359">
        <v>0</v>
      </c>
      <c r="I359">
        <v>1</v>
      </c>
      <c r="J359">
        <v>0.22</v>
      </c>
    </row>
    <row r="360" spans="1:10">
      <c r="A360">
        <v>359</v>
      </c>
      <c r="B360" s="2">
        <v>40559</v>
      </c>
      <c r="C360">
        <v>1</v>
      </c>
      <c r="D360">
        <v>0</v>
      </c>
      <c r="E360">
        <v>1</v>
      </c>
      <c r="F360">
        <v>10</v>
      </c>
      <c r="G360" t="b">
        <v>0</v>
      </c>
      <c r="H360">
        <v>0</v>
      </c>
      <c r="I360">
        <v>1</v>
      </c>
      <c r="J360">
        <v>0.22</v>
      </c>
    </row>
    <row r="361" spans="1:10">
      <c r="A361">
        <v>360</v>
      </c>
      <c r="B361" s="2">
        <v>40559</v>
      </c>
      <c r="C361">
        <v>1</v>
      </c>
      <c r="D361">
        <v>0</v>
      </c>
      <c r="E361">
        <v>1</v>
      </c>
      <c r="F361">
        <v>11</v>
      </c>
      <c r="G361" t="b">
        <v>0</v>
      </c>
      <c r="H361">
        <v>0</v>
      </c>
      <c r="I361">
        <v>1</v>
      </c>
      <c r="J361">
        <v>0.24</v>
      </c>
    </row>
    <row r="362" spans="1:10">
      <c r="A362">
        <v>361</v>
      </c>
      <c r="B362" s="2">
        <v>40559</v>
      </c>
      <c r="C362">
        <v>1</v>
      </c>
      <c r="D362">
        <v>0</v>
      </c>
      <c r="E362">
        <v>1</v>
      </c>
      <c r="F362">
        <v>12</v>
      </c>
      <c r="G362" t="b">
        <v>0</v>
      </c>
      <c r="H362">
        <v>0</v>
      </c>
      <c r="I362">
        <v>1</v>
      </c>
      <c r="J362">
        <v>0.24</v>
      </c>
    </row>
    <row r="363" spans="1:10">
      <c r="A363">
        <v>362</v>
      </c>
      <c r="B363" s="2">
        <v>40559</v>
      </c>
      <c r="C363">
        <v>1</v>
      </c>
      <c r="D363">
        <v>0</v>
      </c>
      <c r="E363">
        <v>1</v>
      </c>
      <c r="F363">
        <v>13</v>
      </c>
      <c r="G363" t="b">
        <v>0</v>
      </c>
      <c r="H363">
        <v>0</v>
      </c>
      <c r="I363">
        <v>1</v>
      </c>
      <c r="J363">
        <v>0.26</v>
      </c>
    </row>
    <row r="364" spans="1:10">
      <c r="A364">
        <v>363</v>
      </c>
      <c r="B364" s="2">
        <v>40559</v>
      </c>
      <c r="C364">
        <v>1</v>
      </c>
      <c r="D364">
        <v>0</v>
      </c>
      <c r="E364">
        <v>1</v>
      </c>
      <c r="F364">
        <v>14</v>
      </c>
      <c r="G364" t="b">
        <v>0</v>
      </c>
      <c r="H364">
        <v>0</v>
      </c>
      <c r="I364">
        <v>1</v>
      </c>
      <c r="J364">
        <v>0.28000000000000003</v>
      </c>
    </row>
    <row r="365" spans="1:10">
      <c r="A365">
        <v>364</v>
      </c>
      <c r="B365" s="2">
        <v>40559</v>
      </c>
      <c r="C365">
        <v>1</v>
      </c>
      <c r="D365">
        <v>0</v>
      </c>
      <c r="E365">
        <v>1</v>
      </c>
      <c r="F365">
        <v>15</v>
      </c>
      <c r="G365" t="b">
        <v>0</v>
      </c>
      <c r="H365">
        <v>0</v>
      </c>
      <c r="I365">
        <v>1</v>
      </c>
      <c r="J365">
        <v>0.26</v>
      </c>
    </row>
    <row r="366" spans="1:10">
      <c r="A366">
        <v>365</v>
      </c>
      <c r="B366" s="2">
        <v>40559</v>
      </c>
      <c r="C366">
        <v>1</v>
      </c>
      <c r="D366">
        <v>0</v>
      </c>
      <c r="E366">
        <v>1</v>
      </c>
      <c r="F366">
        <v>16</v>
      </c>
      <c r="G366" t="b">
        <v>0</v>
      </c>
      <c r="H366">
        <v>0</v>
      </c>
      <c r="I366">
        <v>1</v>
      </c>
      <c r="J366">
        <v>0.24</v>
      </c>
    </row>
    <row r="367" spans="1:10">
      <c r="A367">
        <v>366</v>
      </c>
      <c r="B367" s="2">
        <v>40559</v>
      </c>
      <c r="C367">
        <v>1</v>
      </c>
      <c r="D367">
        <v>0</v>
      </c>
      <c r="E367">
        <v>1</v>
      </c>
      <c r="F367">
        <v>17</v>
      </c>
      <c r="G367" t="b">
        <v>0</v>
      </c>
      <c r="H367">
        <v>0</v>
      </c>
      <c r="I367">
        <v>1</v>
      </c>
      <c r="J367">
        <v>0.22</v>
      </c>
    </row>
    <row r="368" spans="1:10">
      <c r="A368">
        <v>367</v>
      </c>
      <c r="B368" s="2">
        <v>40559</v>
      </c>
      <c r="C368">
        <v>1</v>
      </c>
      <c r="D368">
        <v>0</v>
      </c>
      <c r="E368">
        <v>1</v>
      </c>
      <c r="F368">
        <v>18</v>
      </c>
      <c r="G368" t="b">
        <v>0</v>
      </c>
      <c r="H368">
        <v>0</v>
      </c>
      <c r="I368">
        <v>1</v>
      </c>
      <c r="J368">
        <v>0.2</v>
      </c>
    </row>
    <row r="369" spans="1:10">
      <c r="A369">
        <v>368</v>
      </c>
      <c r="B369" s="2">
        <v>40559</v>
      </c>
      <c r="C369">
        <v>1</v>
      </c>
      <c r="D369">
        <v>0</v>
      </c>
      <c r="E369">
        <v>1</v>
      </c>
      <c r="F369">
        <v>19</v>
      </c>
      <c r="G369" t="b">
        <v>0</v>
      </c>
      <c r="H369">
        <v>0</v>
      </c>
      <c r="I369">
        <v>1</v>
      </c>
      <c r="J369">
        <v>0.18</v>
      </c>
    </row>
    <row r="370" spans="1:10">
      <c r="A370">
        <v>369</v>
      </c>
      <c r="B370" s="2">
        <v>40559</v>
      </c>
      <c r="C370">
        <v>1</v>
      </c>
      <c r="D370">
        <v>0</v>
      </c>
      <c r="E370">
        <v>1</v>
      </c>
      <c r="F370">
        <v>20</v>
      </c>
      <c r="G370" t="b">
        <v>0</v>
      </c>
      <c r="H370">
        <v>0</v>
      </c>
      <c r="I370">
        <v>1</v>
      </c>
      <c r="J370">
        <v>0.18</v>
      </c>
    </row>
    <row r="371" spans="1:10">
      <c r="A371">
        <v>370</v>
      </c>
      <c r="B371" s="2">
        <v>40559</v>
      </c>
      <c r="C371">
        <v>1</v>
      </c>
      <c r="D371">
        <v>0</v>
      </c>
      <c r="E371">
        <v>1</v>
      </c>
      <c r="F371">
        <v>21</v>
      </c>
      <c r="G371" t="b">
        <v>0</v>
      </c>
      <c r="H371">
        <v>0</v>
      </c>
      <c r="I371">
        <v>1</v>
      </c>
      <c r="J371">
        <v>0.18</v>
      </c>
    </row>
    <row r="372" spans="1:10">
      <c r="A372">
        <v>371</v>
      </c>
      <c r="B372" s="2">
        <v>40559</v>
      </c>
      <c r="C372">
        <v>1</v>
      </c>
      <c r="D372">
        <v>0</v>
      </c>
      <c r="E372">
        <v>1</v>
      </c>
      <c r="F372">
        <v>22</v>
      </c>
      <c r="G372" t="b">
        <v>0</v>
      </c>
      <c r="H372">
        <v>0</v>
      </c>
      <c r="I372">
        <v>2</v>
      </c>
      <c r="J372">
        <v>0.2</v>
      </c>
    </row>
    <row r="373" spans="1:10">
      <c r="A373">
        <v>372</v>
      </c>
      <c r="B373" s="2">
        <v>40559</v>
      </c>
      <c r="C373">
        <v>1</v>
      </c>
      <c r="D373">
        <v>0</v>
      </c>
      <c r="E373">
        <v>1</v>
      </c>
      <c r="F373">
        <v>23</v>
      </c>
      <c r="G373" t="b">
        <v>0</v>
      </c>
      <c r="H373">
        <v>0</v>
      </c>
      <c r="I373">
        <v>2</v>
      </c>
      <c r="J373">
        <v>0.2</v>
      </c>
    </row>
    <row r="374" spans="1:10">
      <c r="A374">
        <v>373</v>
      </c>
      <c r="B374" s="2">
        <v>40560</v>
      </c>
      <c r="C374">
        <v>1</v>
      </c>
      <c r="D374">
        <v>0</v>
      </c>
      <c r="E374">
        <v>1</v>
      </c>
      <c r="F374">
        <v>0</v>
      </c>
      <c r="G374" t="b">
        <v>1</v>
      </c>
      <c r="H374">
        <v>1</v>
      </c>
      <c r="I374">
        <v>2</v>
      </c>
      <c r="J374">
        <v>0.2</v>
      </c>
    </row>
    <row r="375" spans="1:10">
      <c r="A375">
        <v>374</v>
      </c>
      <c r="B375" s="2">
        <v>40560</v>
      </c>
      <c r="C375">
        <v>1</v>
      </c>
      <c r="D375">
        <v>0</v>
      </c>
      <c r="E375">
        <v>1</v>
      </c>
      <c r="F375">
        <v>1</v>
      </c>
      <c r="G375" t="b">
        <v>1</v>
      </c>
      <c r="H375">
        <v>1</v>
      </c>
      <c r="I375">
        <v>2</v>
      </c>
      <c r="J375">
        <v>0.2</v>
      </c>
    </row>
    <row r="376" spans="1:10">
      <c r="A376">
        <v>375</v>
      </c>
      <c r="B376" s="2">
        <v>40560</v>
      </c>
      <c r="C376">
        <v>1</v>
      </c>
      <c r="D376">
        <v>0</v>
      </c>
      <c r="E376">
        <v>1</v>
      </c>
      <c r="F376">
        <v>2</v>
      </c>
      <c r="G376" t="b">
        <v>1</v>
      </c>
      <c r="H376">
        <v>1</v>
      </c>
      <c r="I376">
        <v>2</v>
      </c>
      <c r="J376">
        <v>0.18</v>
      </c>
    </row>
    <row r="377" spans="1:10">
      <c r="A377">
        <v>376</v>
      </c>
      <c r="B377" s="2">
        <v>40560</v>
      </c>
      <c r="C377">
        <v>1</v>
      </c>
      <c r="D377">
        <v>0</v>
      </c>
      <c r="E377">
        <v>1</v>
      </c>
      <c r="F377">
        <v>3</v>
      </c>
      <c r="G377" t="b">
        <v>1</v>
      </c>
      <c r="H377">
        <v>1</v>
      </c>
      <c r="I377">
        <v>2</v>
      </c>
      <c r="J377">
        <v>0.18</v>
      </c>
    </row>
    <row r="378" spans="1:10">
      <c r="A378">
        <v>377</v>
      </c>
      <c r="B378" s="2">
        <v>40560</v>
      </c>
      <c r="C378">
        <v>1</v>
      </c>
      <c r="D378">
        <v>0</v>
      </c>
      <c r="E378">
        <v>1</v>
      </c>
      <c r="F378">
        <v>4</v>
      </c>
      <c r="G378" t="b">
        <v>1</v>
      </c>
      <c r="H378">
        <v>1</v>
      </c>
      <c r="I378">
        <v>2</v>
      </c>
      <c r="J378">
        <v>0.18</v>
      </c>
    </row>
    <row r="379" spans="1:10">
      <c r="A379">
        <v>378</v>
      </c>
      <c r="B379" s="2">
        <v>40560</v>
      </c>
      <c r="C379">
        <v>1</v>
      </c>
      <c r="D379">
        <v>0</v>
      </c>
      <c r="E379">
        <v>1</v>
      </c>
      <c r="F379">
        <v>5</v>
      </c>
      <c r="G379" t="b">
        <v>1</v>
      </c>
      <c r="H379">
        <v>1</v>
      </c>
      <c r="I379">
        <v>2</v>
      </c>
      <c r="J379">
        <v>0.18</v>
      </c>
    </row>
    <row r="380" spans="1:10">
      <c r="A380">
        <v>379</v>
      </c>
      <c r="B380" s="2">
        <v>40560</v>
      </c>
      <c r="C380">
        <v>1</v>
      </c>
      <c r="D380">
        <v>0</v>
      </c>
      <c r="E380">
        <v>1</v>
      </c>
      <c r="F380">
        <v>6</v>
      </c>
      <c r="G380" t="b">
        <v>1</v>
      </c>
      <c r="H380">
        <v>1</v>
      </c>
      <c r="I380">
        <v>2</v>
      </c>
      <c r="J380">
        <v>0.18</v>
      </c>
    </row>
    <row r="381" spans="1:10">
      <c r="A381">
        <v>380</v>
      </c>
      <c r="B381" s="2">
        <v>40560</v>
      </c>
      <c r="C381">
        <v>1</v>
      </c>
      <c r="D381">
        <v>0</v>
      </c>
      <c r="E381">
        <v>1</v>
      </c>
      <c r="F381">
        <v>7</v>
      </c>
      <c r="G381" t="b">
        <v>1</v>
      </c>
      <c r="H381">
        <v>1</v>
      </c>
      <c r="I381">
        <v>2</v>
      </c>
      <c r="J381">
        <v>0.16</v>
      </c>
    </row>
    <row r="382" spans="1:10">
      <c r="A382">
        <v>381</v>
      </c>
      <c r="B382" s="2">
        <v>40560</v>
      </c>
      <c r="C382">
        <v>1</v>
      </c>
      <c r="D382">
        <v>0</v>
      </c>
      <c r="E382">
        <v>1</v>
      </c>
      <c r="F382">
        <v>8</v>
      </c>
      <c r="G382" t="b">
        <v>1</v>
      </c>
      <c r="H382">
        <v>1</v>
      </c>
      <c r="I382">
        <v>2</v>
      </c>
      <c r="J382">
        <v>0.16</v>
      </c>
    </row>
    <row r="383" spans="1:10">
      <c r="A383">
        <v>382</v>
      </c>
      <c r="B383" s="2">
        <v>40560</v>
      </c>
      <c r="C383">
        <v>1</v>
      </c>
      <c r="D383">
        <v>0</v>
      </c>
      <c r="E383">
        <v>1</v>
      </c>
      <c r="F383">
        <v>9</v>
      </c>
      <c r="G383" t="b">
        <v>1</v>
      </c>
      <c r="H383">
        <v>1</v>
      </c>
      <c r="I383">
        <v>2</v>
      </c>
      <c r="J383">
        <v>0.16</v>
      </c>
    </row>
    <row r="384" spans="1:10">
      <c r="A384">
        <v>383</v>
      </c>
      <c r="B384" s="2">
        <v>40560</v>
      </c>
      <c r="C384">
        <v>1</v>
      </c>
      <c r="D384">
        <v>0</v>
      </c>
      <c r="E384">
        <v>1</v>
      </c>
      <c r="F384">
        <v>10</v>
      </c>
      <c r="G384" t="b">
        <v>1</v>
      </c>
      <c r="H384">
        <v>1</v>
      </c>
      <c r="I384">
        <v>2</v>
      </c>
      <c r="J384">
        <v>0.16</v>
      </c>
    </row>
    <row r="385" spans="1:10">
      <c r="A385">
        <v>384</v>
      </c>
      <c r="B385" s="2">
        <v>40560</v>
      </c>
      <c r="C385">
        <v>1</v>
      </c>
      <c r="D385">
        <v>0</v>
      </c>
      <c r="E385">
        <v>1</v>
      </c>
      <c r="F385">
        <v>11</v>
      </c>
      <c r="G385" t="b">
        <v>1</v>
      </c>
      <c r="H385">
        <v>1</v>
      </c>
      <c r="I385">
        <v>2</v>
      </c>
      <c r="J385">
        <v>0.16</v>
      </c>
    </row>
    <row r="386" spans="1:10">
      <c r="A386">
        <v>385</v>
      </c>
      <c r="B386" s="2">
        <v>40560</v>
      </c>
      <c r="C386">
        <v>1</v>
      </c>
      <c r="D386">
        <v>0</v>
      </c>
      <c r="E386">
        <v>1</v>
      </c>
      <c r="F386">
        <v>12</v>
      </c>
      <c r="G386" t="b">
        <v>1</v>
      </c>
      <c r="H386">
        <v>1</v>
      </c>
      <c r="I386">
        <v>2</v>
      </c>
      <c r="J386">
        <v>0.18</v>
      </c>
    </row>
    <row r="387" spans="1:10">
      <c r="A387">
        <v>386</v>
      </c>
      <c r="B387" s="2">
        <v>40560</v>
      </c>
      <c r="C387">
        <v>1</v>
      </c>
      <c r="D387">
        <v>0</v>
      </c>
      <c r="E387">
        <v>1</v>
      </c>
      <c r="F387">
        <v>13</v>
      </c>
      <c r="G387" t="b">
        <v>1</v>
      </c>
      <c r="H387">
        <v>1</v>
      </c>
      <c r="I387">
        <v>2</v>
      </c>
      <c r="J387">
        <v>0.18</v>
      </c>
    </row>
    <row r="388" spans="1:10">
      <c r="A388">
        <v>387</v>
      </c>
      <c r="B388" s="2">
        <v>40560</v>
      </c>
      <c r="C388">
        <v>1</v>
      </c>
      <c r="D388">
        <v>0</v>
      </c>
      <c r="E388">
        <v>1</v>
      </c>
      <c r="F388">
        <v>14</v>
      </c>
      <c r="G388" t="b">
        <v>1</v>
      </c>
      <c r="H388">
        <v>1</v>
      </c>
      <c r="I388">
        <v>2</v>
      </c>
      <c r="J388">
        <v>0.18</v>
      </c>
    </row>
    <row r="389" spans="1:10">
      <c r="A389">
        <v>388</v>
      </c>
      <c r="B389" s="2">
        <v>40560</v>
      </c>
      <c r="C389">
        <v>1</v>
      </c>
      <c r="D389">
        <v>0</v>
      </c>
      <c r="E389">
        <v>1</v>
      </c>
      <c r="F389">
        <v>15</v>
      </c>
      <c r="G389" t="b">
        <v>1</v>
      </c>
      <c r="H389">
        <v>1</v>
      </c>
      <c r="I389">
        <v>2</v>
      </c>
      <c r="J389">
        <v>0.2</v>
      </c>
    </row>
    <row r="390" spans="1:10">
      <c r="A390">
        <v>389</v>
      </c>
      <c r="B390" s="2">
        <v>40560</v>
      </c>
      <c r="C390">
        <v>1</v>
      </c>
      <c r="D390">
        <v>0</v>
      </c>
      <c r="E390">
        <v>1</v>
      </c>
      <c r="F390">
        <v>16</v>
      </c>
      <c r="G390" t="b">
        <v>1</v>
      </c>
      <c r="H390">
        <v>1</v>
      </c>
      <c r="I390">
        <v>2</v>
      </c>
      <c r="J390">
        <v>0.2</v>
      </c>
    </row>
    <row r="391" spans="1:10">
      <c r="A391">
        <v>390</v>
      </c>
      <c r="B391" s="2">
        <v>40560</v>
      </c>
      <c r="C391">
        <v>1</v>
      </c>
      <c r="D391">
        <v>0</v>
      </c>
      <c r="E391">
        <v>1</v>
      </c>
      <c r="F391">
        <v>17</v>
      </c>
      <c r="G391" t="b">
        <v>1</v>
      </c>
      <c r="H391">
        <v>1</v>
      </c>
      <c r="I391">
        <v>1</v>
      </c>
      <c r="J391">
        <v>0.2</v>
      </c>
    </row>
    <row r="392" spans="1:10">
      <c r="A392">
        <v>391</v>
      </c>
      <c r="B392" s="2">
        <v>40560</v>
      </c>
      <c r="C392">
        <v>1</v>
      </c>
      <c r="D392">
        <v>0</v>
      </c>
      <c r="E392">
        <v>1</v>
      </c>
      <c r="F392">
        <v>18</v>
      </c>
      <c r="G392" t="b">
        <v>1</v>
      </c>
      <c r="H392">
        <v>1</v>
      </c>
      <c r="I392">
        <v>2</v>
      </c>
      <c r="J392">
        <v>0.18</v>
      </c>
    </row>
    <row r="393" spans="1:10">
      <c r="A393">
        <v>392</v>
      </c>
      <c r="B393" s="2">
        <v>40560</v>
      </c>
      <c r="C393">
        <v>1</v>
      </c>
      <c r="D393">
        <v>0</v>
      </c>
      <c r="E393">
        <v>1</v>
      </c>
      <c r="F393">
        <v>19</v>
      </c>
      <c r="G393" t="b">
        <v>1</v>
      </c>
      <c r="H393">
        <v>1</v>
      </c>
      <c r="I393">
        <v>3</v>
      </c>
      <c r="J393">
        <v>0.18</v>
      </c>
    </row>
    <row r="394" spans="1:10">
      <c r="A394">
        <v>393</v>
      </c>
      <c r="B394" s="2">
        <v>40560</v>
      </c>
      <c r="C394">
        <v>1</v>
      </c>
      <c r="D394">
        <v>0</v>
      </c>
      <c r="E394">
        <v>1</v>
      </c>
      <c r="F394">
        <v>20</v>
      </c>
      <c r="G394" t="b">
        <v>1</v>
      </c>
      <c r="H394">
        <v>1</v>
      </c>
      <c r="I394">
        <v>3</v>
      </c>
      <c r="J394">
        <v>0.16</v>
      </c>
    </row>
    <row r="395" spans="1:10">
      <c r="A395">
        <v>394</v>
      </c>
      <c r="B395" s="2">
        <v>40560</v>
      </c>
      <c r="C395">
        <v>1</v>
      </c>
      <c r="D395">
        <v>0</v>
      </c>
      <c r="E395">
        <v>1</v>
      </c>
      <c r="F395">
        <v>21</v>
      </c>
      <c r="G395" t="b">
        <v>1</v>
      </c>
      <c r="H395">
        <v>1</v>
      </c>
      <c r="I395">
        <v>3</v>
      </c>
      <c r="J395">
        <v>0.16</v>
      </c>
    </row>
    <row r="396" spans="1:10">
      <c r="A396">
        <v>395</v>
      </c>
      <c r="B396" s="2">
        <v>40560</v>
      </c>
      <c r="C396">
        <v>1</v>
      </c>
      <c r="D396">
        <v>0</v>
      </c>
      <c r="E396">
        <v>1</v>
      </c>
      <c r="F396">
        <v>22</v>
      </c>
      <c r="G396" t="b">
        <v>1</v>
      </c>
      <c r="H396">
        <v>1</v>
      </c>
      <c r="I396">
        <v>3</v>
      </c>
      <c r="J396">
        <v>0.14000000000000001</v>
      </c>
    </row>
    <row r="397" spans="1:10">
      <c r="A397">
        <v>396</v>
      </c>
      <c r="B397" s="2">
        <v>40560</v>
      </c>
      <c r="C397">
        <v>1</v>
      </c>
      <c r="D397">
        <v>0</v>
      </c>
      <c r="E397">
        <v>1</v>
      </c>
      <c r="F397">
        <v>23</v>
      </c>
      <c r="G397" t="b">
        <v>1</v>
      </c>
      <c r="H397">
        <v>1</v>
      </c>
      <c r="I397">
        <v>3</v>
      </c>
      <c r="J397">
        <v>0.16</v>
      </c>
    </row>
    <row r="398" spans="1:10">
      <c r="A398">
        <v>397</v>
      </c>
      <c r="B398" s="2">
        <v>40561</v>
      </c>
      <c r="C398">
        <v>1</v>
      </c>
      <c r="D398">
        <v>0</v>
      </c>
      <c r="E398">
        <v>1</v>
      </c>
      <c r="F398">
        <v>12</v>
      </c>
      <c r="G398" t="b">
        <v>0</v>
      </c>
      <c r="H398">
        <v>2</v>
      </c>
      <c r="I398">
        <v>2</v>
      </c>
      <c r="J398">
        <v>0.2</v>
      </c>
    </row>
    <row r="399" spans="1:10">
      <c r="A399">
        <v>398</v>
      </c>
      <c r="B399" s="2">
        <v>40561</v>
      </c>
      <c r="C399">
        <v>1</v>
      </c>
      <c r="D399">
        <v>0</v>
      </c>
      <c r="E399">
        <v>1</v>
      </c>
      <c r="F399">
        <v>13</v>
      </c>
      <c r="G399" t="b">
        <v>0</v>
      </c>
      <c r="H399">
        <v>2</v>
      </c>
      <c r="I399">
        <v>2</v>
      </c>
      <c r="J399">
        <v>0.2</v>
      </c>
    </row>
    <row r="400" spans="1:10">
      <c r="A400">
        <v>399</v>
      </c>
      <c r="B400" s="2">
        <v>40561</v>
      </c>
      <c r="C400">
        <v>1</v>
      </c>
      <c r="D400">
        <v>0</v>
      </c>
      <c r="E400">
        <v>1</v>
      </c>
      <c r="F400">
        <v>14</v>
      </c>
      <c r="G400" t="b">
        <v>0</v>
      </c>
      <c r="H400">
        <v>2</v>
      </c>
      <c r="I400">
        <v>2</v>
      </c>
      <c r="J400">
        <v>0.22</v>
      </c>
    </row>
    <row r="401" spans="1:10">
      <c r="A401">
        <v>400</v>
      </c>
      <c r="B401" s="2">
        <v>40561</v>
      </c>
      <c r="C401">
        <v>1</v>
      </c>
      <c r="D401">
        <v>0</v>
      </c>
      <c r="E401">
        <v>1</v>
      </c>
      <c r="F401">
        <v>15</v>
      </c>
      <c r="G401" t="b">
        <v>0</v>
      </c>
      <c r="H401">
        <v>2</v>
      </c>
      <c r="I401">
        <v>2</v>
      </c>
      <c r="J401">
        <v>0.22</v>
      </c>
    </row>
    <row r="402" spans="1:10">
      <c r="A402">
        <v>401</v>
      </c>
      <c r="B402" s="2">
        <v>40561</v>
      </c>
      <c r="C402">
        <v>1</v>
      </c>
      <c r="D402">
        <v>0</v>
      </c>
      <c r="E402">
        <v>1</v>
      </c>
      <c r="F402">
        <v>16</v>
      </c>
      <c r="G402" t="b">
        <v>0</v>
      </c>
      <c r="H402">
        <v>2</v>
      </c>
      <c r="I402">
        <v>2</v>
      </c>
      <c r="J402">
        <v>0.22</v>
      </c>
    </row>
    <row r="403" spans="1:10">
      <c r="A403">
        <v>402</v>
      </c>
      <c r="B403" s="2">
        <v>40561</v>
      </c>
      <c r="C403">
        <v>1</v>
      </c>
      <c r="D403">
        <v>0</v>
      </c>
      <c r="E403">
        <v>1</v>
      </c>
      <c r="F403">
        <v>17</v>
      </c>
      <c r="G403" t="b">
        <v>0</v>
      </c>
      <c r="H403">
        <v>2</v>
      </c>
      <c r="I403">
        <v>2</v>
      </c>
      <c r="J403">
        <v>0.22</v>
      </c>
    </row>
    <row r="404" spans="1:10">
      <c r="A404">
        <v>403</v>
      </c>
      <c r="B404" s="2">
        <v>40561</v>
      </c>
      <c r="C404">
        <v>1</v>
      </c>
      <c r="D404">
        <v>0</v>
      </c>
      <c r="E404">
        <v>1</v>
      </c>
      <c r="F404">
        <v>18</v>
      </c>
      <c r="G404" t="b">
        <v>0</v>
      </c>
      <c r="H404">
        <v>2</v>
      </c>
      <c r="I404">
        <v>2</v>
      </c>
      <c r="J404">
        <v>0.22</v>
      </c>
    </row>
    <row r="405" spans="1:10">
      <c r="A405">
        <v>404</v>
      </c>
      <c r="B405" s="2">
        <v>40561</v>
      </c>
      <c r="C405">
        <v>1</v>
      </c>
      <c r="D405">
        <v>0</v>
      </c>
      <c r="E405">
        <v>1</v>
      </c>
      <c r="F405">
        <v>19</v>
      </c>
      <c r="G405" t="b">
        <v>0</v>
      </c>
      <c r="H405">
        <v>2</v>
      </c>
      <c r="I405">
        <v>2</v>
      </c>
      <c r="J405">
        <v>0.22</v>
      </c>
    </row>
    <row r="406" spans="1:10">
      <c r="A406">
        <v>405</v>
      </c>
      <c r="B406" s="2">
        <v>40561</v>
      </c>
      <c r="C406">
        <v>1</v>
      </c>
      <c r="D406">
        <v>0</v>
      </c>
      <c r="E406">
        <v>1</v>
      </c>
      <c r="F406">
        <v>20</v>
      </c>
      <c r="G406" t="b">
        <v>0</v>
      </c>
      <c r="H406">
        <v>2</v>
      </c>
      <c r="I406">
        <v>2</v>
      </c>
      <c r="J406">
        <v>0.22</v>
      </c>
    </row>
    <row r="407" spans="1:10">
      <c r="A407">
        <v>406</v>
      </c>
      <c r="B407" s="2">
        <v>40561</v>
      </c>
      <c r="C407">
        <v>1</v>
      </c>
      <c r="D407">
        <v>0</v>
      </c>
      <c r="E407">
        <v>1</v>
      </c>
      <c r="F407">
        <v>21</v>
      </c>
      <c r="G407" t="b">
        <v>0</v>
      </c>
      <c r="H407">
        <v>2</v>
      </c>
      <c r="I407">
        <v>2</v>
      </c>
      <c r="J407">
        <v>0.22</v>
      </c>
    </row>
    <row r="408" spans="1:10">
      <c r="A408">
        <v>407</v>
      </c>
      <c r="B408" s="2">
        <v>40561</v>
      </c>
      <c r="C408">
        <v>1</v>
      </c>
      <c r="D408">
        <v>0</v>
      </c>
      <c r="E408">
        <v>1</v>
      </c>
      <c r="F408">
        <v>22</v>
      </c>
      <c r="G408" t="b">
        <v>0</v>
      </c>
      <c r="H408">
        <v>2</v>
      </c>
      <c r="I408">
        <v>2</v>
      </c>
      <c r="J408">
        <v>0.22</v>
      </c>
    </row>
    <row r="409" spans="1:10">
      <c r="A409">
        <v>408</v>
      </c>
      <c r="B409" s="2">
        <v>40561</v>
      </c>
      <c r="C409">
        <v>1</v>
      </c>
      <c r="D409">
        <v>0</v>
      </c>
      <c r="E409">
        <v>1</v>
      </c>
      <c r="F409">
        <v>23</v>
      </c>
      <c r="G409" t="b">
        <v>0</v>
      </c>
      <c r="H409">
        <v>2</v>
      </c>
      <c r="I409">
        <v>2</v>
      </c>
      <c r="J409">
        <v>0.22</v>
      </c>
    </row>
    <row r="410" spans="1:10">
      <c r="A410">
        <v>409</v>
      </c>
      <c r="B410" s="2">
        <v>40562</v>
      </c>
      <c r="C410">
        <v>1</v>
      </c>
      <c r="D410">
        <v>0</v>
      </c>
      <c r="E410">
        <v>1</v>
      </c>
      <c r="F410">
        <v>0</v>
      </c>
      <c r="G410" t="b">
        <v>0</v>
      </c>
      <c r="H410">
        <v>3</v>
      </c>
      <c r="I410">
        <v>2</v>
      </c>
      <c r="J410">
        <v>0.22</v>
      </c>
    </row>
    <row r="411" spans="1:10">
      <c r="A411">
        <v>410</v>
      </c>
      <c r="B411" s="2">
        <v>40562</v>
      </c>
      <c r="C411">
        <v>1</v>
      </c>
      <c r="D411">
        <v>0</v>
      </c>
      <c r="E411">
        <v>1</v>
      </c>
      <c r="F411">
        <v>1</v>
      </c>
      <c r="G411" t="b">
        <v>0</v>
      </c>
      <c r="H411">
        <v>3</v>
      </c>
      <c r="I411">
        <v>3</v>
      </c>
      <c r="J411">
        <v>0.22</v>
      </c>
    </row>
    <row r="412" spans="1:10">
      <c r="A412">
        <v>411</v>
      </c>
      <c r="B412" s="2">
        <v>40562</v>
      </c>
      <c r="C412">
        <v>1</v>
      </c>
      <c r="D412">
        <v>0</v>
      </c>
      <c r="E412">
        <v>1</v>
      </c>
      <c r="F412">
        <v>2</v>
      </c>
      <c r="G412" t="b">
        <v>0</v>
      </c>
      <c r="H412">
        <v>3</v>
      </c>
      <c r="I412">
        <v>3</v>
      </c>
      <c r="J412">
        <v>0.22</v>
      </c>
    </row>
    <row r="413" spans="1:10">
      <c r="A413">
        <v>412</v>
      </c>
      <c r="B413" s="2">
        <v>40562</v>
      </c>
      <c r="C413">
        <v>1</v>
      </c>
      <c r="D413">
        <v>0</v>
      </c>
      <c r="E413">
        <v>1</v>
      </c>
      <c r="F413">
        <v>4</v>
      </c>
      <c r="G413" t="b">
        <v>0</v>
      </c>
      <c r="H413">
        <v>3</v>
      </c>
      <c r="I413">
        <v>3</v>
      </c>
      <c r="J413">
        <v>0.22</v>
      </c>
    </row>
    <row r="414" spans="1:10">
      <c r="A414">
        <v>413</v>
      </c>
      <c r="B414" s="2">
        <v>40562</v>
      </c>
      <c r="C414">
        <v>1</v>
      </c>
      <c r="D414">
        <v>0</v>
      </c>
      <c r="E414">
        <v>1</v>
      </c>
      <c r="F414">
        <v>5</v>
      </c>
      <c r="G414" t="b">
        <v>0</v>
      </c>
      <c r="H414">
        <v>3</v>
      </c>
      <c r="I414">
        <v>2</v>
      </c>
      <c r="J414">
        <v>0.22</v>
      </c>
    </row>
    <row r="415" spans="1:10">
      <c r="A415">
        <v>414</v>
      </c>
      <c r="B415" s="2">
        <v>40562</v>
      </c>
      <c r="C415">
        <v>1</v>
      </c>
      <c r="D415">
        <v>0</v>
      </c>
      <c r="E415">
        <v>1</v>
      </c>
      <c r="F415">
        <v>6</v>
      </c>
      <c r="G415" t="b">
        <v>0</v>
      </c>
      <c r="H415">
        <v>3</v>
      </c>
      <c r="I415">
        <v>2</v>
      </c>
      <c r="J415">
        <v>0.22</v>
      </c>
    </row>
    <row r="416" spans="1:10">
      <c r="A416">
        <v>415</v>
      </c>
      <c r="B416" s="2">
        <v>40562</v>
      </c>
      <c r="C416">
        <v>1</v>
      </c>
      <c r="D416">
        <v>0</v>
      </c>
      <c r="E416">
        <v>1</v>
      </c>
      <c r="F416">
        <v>7</v>
      </c>
      <c r="G416" t="b">
        <v>0</v>
      </c>
      <c r="H416">
        <v>3</v>
      </c>
      <c r="I416">
        <v>2</v>
      </c>
      <c r="J416">
        <v>0.24</v>
      </c>
    </row>
    <row r="417" spans="1:10">
      <c r="A417">
        <v>416</v>
      </c>
      <c r="B417" s="2">
        <v>40562</v>
      </c>
      <c r="C417">
        <v>1</v>
      </c>
      <c r="D417">
        <v>0</v>
      </c>
      <c r="E417">
        <v>1</v>
      </c>
      <c r="F417">
        <v>8</v>
      </c>
      <c r="G417" t="b">
        <v>0</v>
      </c>
      <c r="H417">
        <v>3</v>
      </c>
      <c r="I417">
        <v>2</v>
      </c>
      <c r="J417">
        <v>0.24</v>
      </c>
    </row>
    <row r="418" spans="1:10">
      <c r="A418">
        <v>417</v>
      </c>
      <c r="B418" s="2">
        <v>40562</v>
      </c>
      <c r="C418">
        <v>1</v>
      </c>
      <c r="D418">
        <v>0</v>
      </c>
      <c r="E418">
        <v>1</v>
      </c>
      <c r="F418">
        <v>9</v>
      </c>
      <c r="G418" t="b">
        <v>0</v>
      </c>
      <c r="H418">
        <v>3</v>
      </c>
      <c r="I418">
        <v>2</v>
      </c>
      <c r="J418">
        <v>0.24</v>
      </c>
    </row>
    <row r="419" spans="1:10">
      <c r="A419">
        <v>418</v>
      </c>
      <c r="B419" s="2">
        <v>40562</v>
      </c>
      <c r="C419">
        <v>1</v>
      </c>
      <c r="D419">
        <v>0</v>
      </c>
      <c r="E419">
        <v>1</v>
      </c>
      <c r="F419">
        <v>10</v>
      </c>
      <c r="G419" t="b">
        <v>0</v>
      </c>
      <c r="H419">
        <v>3</v>
      </c>
      <c r="I419">
        <v>2</v>
      </c>
      <c r="J419">
        <v>0.26</v>
      </c>
    </row>
    <row r="420" spans="1:10">
      <c r="A420">
        <v>419</v>
      </c>
      <c r="B420" s="2">
        <v>40562</v>
      </c>
      <c r="C420">
        <v>1</v>
      </c>
      <c r="D420">
        <v>0</v>
      </c>
      <c r="E420">
        <v>1</v>
      </c>
      <c r="F420">
        <v>11</v>
      </c>
      <c r="G420" t="b">
        <v>0</v>
      </c>
      <c r="H420">
        <v>3</v>
      </c>
      <c r="I420">
        <v>2</v>
      </c>
      <c r="J420">
        <v>0.28000000000000003</v>
      </c>
    </row>
    <row r="421" spans="1:10">
      <c r="A421">
        <v>420</v>
      </c>
      <c r="B421" s="2">
        <v>40562</v>
      </c>
      <c r="C421">
        <v>1</v>
      </c>
      <c r="D421">
        <v>0</v>
      </c>
      <c r="E421">
        <v>1</v>
      </c>
      <c r="F421">
        <v>12</v>
      </c>
      <c r="G421" t="b">
        <v>0</v>
      </c>
      <c r="H421">
        <v>3</v>
      </c>
      <c r="I421">
        <v>2</v>
      </c>
      <c r="J421">
        <v>0.3</v>
      </c>
    </row>
    <row r="422" spans="1:10">
      <c r="A422">
        <v>421</v>
      </c>
      <c r="B422" s="2">
        <v>40562</v>
      </c>
      <c r="C422">
        <v>1</v>
      </c>
      <c r="D422">
        <v>0</v>
      </c>
      <c r="E422">
        <v>1</v>
      </c>
      <c r="F422">
        <v>13</v>
      </c>
      <c r="G422" t="b">
        <v>0</v>
      </c>
      <c r="H422">
        <v>3</v>
      </c>
      <c r="I422">
        <v>1</v>
      </c>
      <c r="J422">
        <v>0.4</v>
      </c>
    </row>
    <row r="423" spans="1:10">
      <c r="A423">
        <v>422</v>
      </c>
      <c r="B423" s="2">
        <v>40562</v>
      </c>
      <c r="C423">
        <v>1</v>
      </c>
      <c r="D423">
        <v>0</v>
      </c>
      <c r="E423">
        <v>1</v>
      </c>
      <c r="F423">
        <v>14</v>
      </c>
      <c r="G423" t="b">
        <v>0</v>
      </c>
      <c r="H423">
        <v>3</v>
      </c>
      <c r="I423">
        <v>1</v>
      </c>
      <c r="J423">
        <v>0.4</v>
      </c>
    </row>
    <row r="424" spans="1:10">
      <c r="A424">
        <v>423</v>
      </c>
      <c r="B424" s="2">
        <v>40562</v>
      </c>
      <c r="C424">
        <v>1</v>
      </c>
      <c r="D424">
        <v>0</v>
      </c>
      <c r="E424">
        <v>1</v>
      </c>
      <c r="F424">
        <v>15</v>
      </c>
      <c r="G424" t="b">
        <v>0</v>
      </c>
      <c r="H424">
        <v>3</v>
      </c>
      <c r="I424">
        <v>1</v>
      </c>
      <c r="J424">
        <v>0.4</v>
      </c>
    </row>
    <row r="425" spans="1:10">
      <c r="A425">
        <v>424</v>
      </c>
      <c r="B425" s="2">
        <v>40562</v>
      </c>
      <c r="C425">
        <v>1</v>
      </c>
      <c r="D425">
        <v>0</v>
      </c>
      <c r="E425">
        <v>1</v>
      </c>
      <c r="F425">
        <v>16</v>
      </c>
      <c r="G425" t="b">
        <v>0</v>
      </c>
      <c r="H425">
        <v>3</v>
      </c>
      <c r="I425">
        <v>1</v>
      </c>
      <c r="J425">
        <v>0.38</v>
      </c>
    </row>
    <row r="426" spans="1:10">
      <c r="A426">
        <v>425</v>
      </c>
      <c r="B426" s="2">
        <v>40562</v>
      </c>
      <c r="C426">
        <v>1</v>
      </c>
      <c r="D426">
        <v>0</v>
      </c>
      <c r="E426">
        <v>1</v>
      </c>
      <c r="F426">
        <v>17</v>
      </c>
      <c r="G426" t="b">
        <v>0</v>
      </c>
      <c r="H426">
        <v>3</v>
      </c>
      <c r="I426">
        <v>1</v>
      </c>
      <c r="J426">
        <v>0.36</v>
      </c>
    </row>
    <row r="427" spans="1:10">
      <c r="A427">
        <v>426</v>
      </c>
      <c r="B427" s="2">
        <v>40562</v>
      </c>
      <c r="C427">
        <v>1</v>
      </c>
      <c r="D427">
        <v>0</v>
      </c>
      <c r="E427">
        <v>1</v>
      </c>
      <c r="F427">
        <v>18</v>
      </c>
      <c r="G427" t="b">
        <v>0</v>
      </c>
      <c r="H427">
        <v>3</v>
      </c>
      <c r="I427">
        <v>1</v>
      </c>
      <c r="J427">
        <v>0.34</v>
      </c>
    </row>
    <row r="428" spans="1:10">
      <c r="A428">
        <v>427</v>
      </c>
      <c r="B428" s="2">
        <v>40562</v>
      </c>
      <c r="C428">
        <v>1</v>
      </c>
      <c r="D428">
        <v>0</v>
      </c>
      <c r="E428">
        <v>1</v>
      </c>
      <c r="F428">
        <v>19</v>
      </c>
      <c r="G428" t="b">
        <v>0</v>
      </c>
      <c r="H428">
        <v>3</v>
      </c>
      <c r="I428">
        <v>1</v>
      </c>
      <c r="J428">
        <v>0.32</v>
      </c>
    </row>
    <row r="429" spans="1:10">
      <c r="A429">
        <v>428</v>
      </c>
      <c r="B429" s="2">
        <v>40562</v>
      </c>
      <c r="C429">
        <v>1</v>
      </c>
      <c r="D429">
        <v>0</v>
      </c>
      <c r="E429">
        <v>1</v>
      </c>
      <c r="F429">
        <v>20</v>
      </c>
      <c r="G429" t="b">
        <v>0</v>
      </c>
      <c r="H429">
        <v>3</v>
      </c>
      <c r="I429">
        <v>1</v>
      </c>
      <c r="J429">
        <v>0.32</v>
      </c>
    </row>
    <row r="430" spans="1:10">
      <c r="A430">
        <v>429</v>
      </c>
      <c r="B430" s="2">
        <v>40562</v>
      </c>
      <c r="C430">
        <v>1</v>
      </c>
      <c r="D430">
        <v>0</v>
      </c>
      <c r="E430">
        <v>1</v>
      </c>
      <c r="F430">
        <v>21</v>
      </c>
      <c r="G430" t="b">
        <v>0</v>
      </c>
      <c r="H430">
        <v>3</v>
      </c>
      <c r="I430">
        <v>1</v>
      </c>
      <c r="J430">
        <v>0.32</v>
      </c>
    </row>
    <row r="431" spans="1:10">
      <c r="A431">
        <v>430</v>
      </c>
      <c r="B431" s="2">
        <v>40562</v>
      </c>
      <c r="C431">
        <v>1</v>
      </c>
      <c r="D431">
        <v>0</v>
      </c>
      <c r="E431">
        <v>1</v>
      </c>
      <c r="F431">
        <v>22</v>
      </c>
      <c r="G431" t="b">
        <v>0</v>
      </c>
      <c r="H431">
        <v>3</v>
      </c>
      <c r="I431">
        <v>1</v>
      </c>
      <c r="J431">
        <v>0.3</v>
      </c>
    </row>
    <row r="432" spans="1:10">
      <c r="A432">
        <v>431</v>
      </c>
      <c r="B432" s="2">
        <v>40562</v>
      </c>
      <c r="C432">
        <v>1</v>
      </c>
      <c r="D432">
        <v>0</v>
      </c>
      <c r="E432">
        <v>1</v>
      </c>
      <c r="F432">
        <v>23</v>
      </c>
      <c r="G432" t="b">
        <v>0</v>
      </c>
      <c r="H432">
        <v>3</v>
      </c>
      <c r="I432">
        <v>1</v>
      </c>
      <c r="J432">
        <v>0.3</v>
      </c>
    </row>
    <row r="433" spans="1:10">
      <c r="A433">
        <v>432</v>
      </c>
      <c r="B433" s="2">
        <v>40563</v>
      </c>
      <c r="C433">
        <v>1</v>
      </c>
      <c r="D433">
        <v>0</v>
      </c>
      <c r="E433">
        <v>1</v>
      </c>
      <c r="F433">
        <v>0</v>
      </c>
      <c r="G433" t="b">
        <v>0</v>
      </c>
      <c r="H433">
        <v>4</v>
      </c>
      <c r="I433">
        <v>1</v>
      </c>
      <c r="J433">
        <v>0.26</v>
      </c>
    </row>
    <row r="434" spans="1:10">
      <c r="A434">
        <v>433</v>
      </c>
      <c r="B434" s="2">
        <v>40563</v>
      </c>
      <c r="C434">
        <v>1</v>
      </c>
      <c r="D434">
        <v>0</v>
      </c>
      <c r="E434">
        <v>1</v>
      </c>
      <c r="F434">
        <v>1</v>
      </c>
      <c r="G434" t="b">
        <v>0</v>
      </c>
      <c r="H434">
        <v>4</v>
      </c>
      <c r="I434">
        <v>1</v>
      </c>
      <c r="J434">
        <v>0.26</v>
      </c>
    </row>
    <row r="435" spans="1:10">
      <c r="A435">
        <v>434</v>
      </c>
      <c r="B435" s="2">
        <v>40563</v>
      </c>
      <c r="C435">
        <v>1</v>
      </c>
      <c r="D435">
        <v>0</v>
      </c>
      <c r="E435">
        <v>1</v>
      </c>
      <c r="F435">
        <v>2</v>
      </c>
      <c r="G435" t="b">
        <v>0</v>
      </c>
      <c r="H435">
        <v>4</v>
      </c>
      <c r="I435">
        <v>1</v>
      </c>
      <c r="J435">
        <v>0.26</v>
      </c>
    </row>
    <row r="436" spans="1:10">
      <c r="A436">
        <v>435</v>
      </c>
      <c r="B436" s="2">
        <v>40563</v>
      </c>
      <c r="C436">
        <v>1</v>
      </c>
      <c r="D436">
        <v>0</v>
      </c>
      <c r="E436">
        <v>1</v>
      </c>
      <c r="F436">
        <v>3</v>
      </c>
      <c r="G436" t="b">
        <v>0</v>
      </c>
      <c r="H436">
        <v>4</v>
      </c>
      <c r="I436">
        <v>1</v>
      </c>
      <c r="J436">
        <v>0.26</v>
      </c>
    </row>
    <row r="437" spans="1:10">
      <c r="A437">
        <v>436</v>
      </c>
      <c r="B437" s="2">
        <v>40563</v>
      </c>
      <c r="C437">
        <v>1</v>
      </c>
      <c r="D437">
        <v>0</v>
      </c>
      <c r="E437">
        <v>1</v>
      </c>
      <c r="F437">
        <v>4</v>
      </c>
      <c r="G437" t="b">
        <v>0</v>
      </c>
      <c r="H437">
        <v>4</v>
      </c>
      <c r="I437">
        <v>1</v>
      </c>
      <c r="J437">
        <v>0.26</v>
      </c>
    </row>
    <row r="438" spans="1:10">
      <c r="A438">
        <v>437</v>
      </c>
      <c r="B438" s="2">
        <v>40563</v>
      </c>
      <c r="C438">
        <v>1</v>
      </c>
      <c r="D438">
        <v>0</v>
      </c>
      <c r="E438">
        <v>1</v>
      </c>
      <c r="F438">
        <v>5</v>
      </c>
      <c r="G438" t="b">
        <v>0</v>
      </c>
      <c r="H438">
        <v>4</v>
      </c>
      <c r="I438">
        <v>1</v>
      </c>
      <c r="J438">
        <v>0.24</v>
      </c>
    </row>
    <row r="439" spans="1:10">
      <c r="A439">
        <v>438</v>
      </c>
      <c r="B439" s="2">
        <v>40563</v>
      </c>
      <c r="C439">
        <v>1</v>
      </c>
      <c r="D439">
        <v>0</v>
      </c>
      <c r="E439">
        <v>1</v>
      </c>
      <c r="F439">
        <v>6</v>
      </c>
      <c r="G439" t="b">
        <v>0</v>
      </c>
      <c r="H439">
        <v>4</v>
      </c>
      <c r="I439">
        <v>1</v>
      </c>
      <c r="J439">
        <v>0.22</v>
      </c>
    </row>
    <row r="440" spans="1:10">
      <c r="A440">
        <v>439</v>
      </c>
      <c r="B440" s="2">
        <v>40563</v>
      </c>
      <c r="C440">
        <v>1</v>
      </c>
      <c r="D440">
        <v>0</v>
      </c>
      <c r="E440">
        <v>1</v>
      </c>
      <c r="F440">
        <v>7</v>
      </c>
      <c r="G440" t="b">
        <v>0</v>
      </c>
      <c r="H440">
        <v>4</v>
      </c>
      <c r="I440">
        <v>1</v>
      </c>
      <c r="J440">
        <v>0.22</v>
      </c>
    </row>
    <row r="441" spans="1:10">
      <c r="A441">
        <v>440</v>
      </c>
      <c r="B441" s="2">
        <v>40563</v>
      </c>
      <c r="C441">
        <v>1</v>
      </c>
      <c r="D441">
        <v>0</v>
      </c>
      <c r="E441">
        <v>1</v>
      </c>
      <c r="F441">
        <v>8</v>
      </c>
      <c r="G441" t="b">
        <v>0</v>
      </c>
      <c r="H441">
        <v>4</v>
      </c>
      <c r="I441">
        <v>1</v>
      </c>
      <c r="J441">
        <v>0.22</v>
      </c>
    </row>
    <row r="442" spans="1:10">
      <c r="A442">
        <v>441</v>
      </c>
      <c r="B442" s="2">
        <v>40563</v>
      </c>
      <c r="C442">
        <v>1</v>
      </c>
      <c r="D442">
        <v>0</v>
      </c>
      <c r="E442">
        <v>1</v>
      </c>
      <c r="F442">
        <v>9</v>
      </c>
      <c r="G442" t="b">
        <v>0</v>
      </c>
      <c r="H442">
        <v>4</v>
      </c>
      <c r="I442">
        <v>2</v>
      </c>
      <c r="J442">
        <v>0.24</v>
      </c>
    </row>
    <row r="443" spans="1:10">
      <c r="A443">
        <v>442</v>
      </c>
      <c r="B443" s="2">
        <v>40563</v>
      </c>
      <c r="C443">
        <v>1</v>
      </c>
      <c r="D443">
        <v>0</v>
      </c>
      <c r="E443">
        <v>1</v>
      </c>
      <c r="F443">
        <v>10</v>
      </c>
      <c r="G443" t="b">
        <v>0</v>
      </c>
      <c r="H443">
        <v>4</v>
      </c>
      <c r="I443">
        <v>1</v>
      </c>
      <c r="J443">
        <v>0.26</v>
      </c>
    </row>
    <row r="444" spans="1:10">
      <c r="A444">
        <v>443</v>
      </c>
      <c r="B444" s="2">
        <v>40563</v>
      </c>
      <c r="C444">
        <v>1</v>
      </c>
      <c r="D444">
        <v>0</v>
      </c>
      <c r="E444">
        <v>1</v>
      </c>
      <c r="F444">
        <v>11</v>
      </c>
      <c r="G444" t="b">
        <v>0</v>
      </c>
      <c r="H444">
        <v>4</v>
      </c>
      <c r="I444">
        <v>2</v>
      </c>
      <c r="J444">
        <v>0.28000000000000003</v>
      </c>
    </row>
    <row r="445" spans="1:10">
      <c r="A445">
        <v>444</v>
      </c>
      <c r="B445" s="2">
        <v>40563</v>
      </c>
      <c r="C445">
        <v>1</v>
      </c>
      <c r="D445">
        <v>0</v>
      </c>
      <c r="E445">
        <v>1</v>
      </c>
      <c r="F445">
        <v>12</v>
      </c>
      <c r="G445" t="b">
        <v>0</v>
      </c>
      <c r="H445">
        <v>4</v>
      </c>
      <c r="I445">
        <v>2</v>
      </c>
      <c r="J445">
        <v>0.3</v>
      </c>
    </row>
    <row r="446" spans="1:10">
      <c r="A446">
        <v>445</v>
      </c>
      <c r="B446" s="2">
        <v>40563</v>
      </c>
      <c r="C446">
        <v>1</v>
      </c>
      <c r="D446">
        <v>0</v>
      </c>
      <c r="E446">
        <v>1</v>
      </c>
      <c r="F446">
        <v>13</v>
      </c>
      <c r="G446" t="b">
        <v>0</v>
      </c>
      <c r="H446">
        <v>4</v>
      </c>
      <c r="I446">
        <v>2</v>
      </c>
      <c r="J446">
        <v>0.28000000000000003</v>
      </c>
    </row>
    <row r="447" spans="1:10">
      <c r="A447">
        <v>446</v>
      </c>
      <c r="B447" s="2">
        <v>40563</v>
      </c>
      <c r="C447">
        <v>1</v>
      </c>
      <c r="D447">
        <v>0</v>
      </c>
      <c r="E447">
        <v>1</v>
      </c>
      <c r="F447">
        <v>14</v>
      </c>
      <c r="G447" t="b">
        <v>0</v>
      </c>
      <c r="H447">
        <v>4</v>
      </c>
      <c r="I447">
        <v>2</v>
      </c>
      <c r="J447">
        <v>0.3</v>
      </c>
    </row>
    <row r="448" spans="1:10">
      <c r="A448">
        <v>447</v>
      </c>
      <c r="B448" s="2">
        <v>40563</v>
      </c>
      <c r="C448">
        <v>1</v>
      </c>
      <c r="D448">
        <v>0</v>
      </c>
      <c r="E448">
        <v>1</v>
      </c>
      <c r="F448">
        <v>15</v>
      </c>
      <c r="G448" t="b">
        <v>0</v>
      </c>
      <c r="H448">
        <v>4</v>
      </c>
      <c r="I448">
        <v>2</v>
      </c>
      <c r="J448">
        <v>0.32</v>
      </c>
    </row>
    <row r="449" spans="1:10">
      <c r="A449">
        <v>448</v>
      </c>
      <c r="B449" s="2">
        <v>40563</v>
      </c>
      <c r="C449">
        <v>1</v>
      </c>
      <c r="D449">
        <v>0</v>
      </c>
      <c r="E449">
        <v>1</v>
      </c>
      <c r="F449">
        <v>16</v>
      </c>
      <c r="G449" t="b">
        <v>0</v>
      </c>
      <c r="H449">
        <v>4</v>
      </c>
      <c r="I449">
        <v>2</v>
      </c>
      <c r="J449">
        <v>0.3</v>
      </c>
    </row>
    <row r="450" spans="1:10">
      <c r="A450">
        <v>449</v>
      </c>
      <c r="B450" s="2">
        <v>40563</v>
      </c>
      <c r="C450">
        <v>1</v>
      </c>
      <c r="D450">
        <v>0</v>
      </c>
      <c r="E450">
        <v>1</v>
      </c>
      <c r="F450">
        <v>17</v>
      </c>
      <c r="G450" t="b">
        <v>0</v>
      </c>
      <c r="H450">
        <v>4</v>
      </c>
      <c r="I450">
        <v>2</v>
      </c>
      <c r="J450">
        <v>0.3</v>
      </c>
    </row>
    <row r="451" spans="1:10">
      <c r="A451">
        <v>450</v>
      </c>
      <c r="B451" s="2">
        <v>40563</v>
      </c>
      <c r="C451">
        <v>1</v>
      </c>
      <c r="D451">
        <v>0</v>
      </c>
      <c r="E451">
        <v>1</v>
      </c>
      <c r="F451">
        <v>18</v>
      </c>
      <c r="G451" t="b">
        <v>0</v>
      </c>
      <c r="H451">
        <v>4</v>
      </c>
      <c r="I451">
        <v>2</v>
      </c>
      <c r="J451">
        <v>0.26</v>
      </c>
    </row>
    <row r="452" spans="1:10">
      <c r="A452">
        <v>451</v>
      </c>
      <c r="B452" s="2">
        <v>40563</v>
      </c>
      <c r="C452">
        <v>1</v>
      </c>
      <c r="D452">
        <v>0</v>
      </c>
      <c r="E452">
        <v>1</v>
      </c>
      <c r="F452">
        <v>19</v>
      </c>
      <c r="G452" t="b">
        <v>0</v>
      </c>
      <c r="H452">
        <v>4</v>
      </c>
      <c r="I452">
        <v>1</v>
      </c>
      <c r="J452">
        <v>0.26</v>
      </c>
    </row>
    <row r="453" spans="1:10">
      <c r="A453">
        <v>452</v>
      </c>
      <c r="B453" s="2">
        <v>40563</v>
      </c>
      <c r="C453">
        <v>1</v>
      </c>
      <c r="D453">
        <v>0</v>
      </c>
      <c r="E453">
        <v>1</v>
      </c>
      <c r="F453">
        <v>20</v>
      </c>
      <c r="G453" t="b">
        <v>0</v>
      </c>
      <c r="H453">
        <v>4</v>
      </c>
      <c r="I453">
        <v>2</v>
      </c>
      <c r="J453">
        <v>0.26</v>
      </c>
    </row>
    <row r="454" spans="1:10">
      <c r="A454">
        <v>453</v>
      </c>
      <c r="B454" s="2">
        <v>40563</v>
      </c>
      <c r="C454">
        <v>1</v>
      </c>
      <c r="D454">
        <v>0</v>
      </c>
      <c r="E454">
        <v>1</v>
      </c>
      <c r="F454">
        <v>21</v>
      </c>
      <c r="G454" t="b">
        <v>0</v>
      </c>
      <c r="H454">
        <v>4</v>
      </c>
      <c r="I454">
        <v>2</v>
      </c>
      <c r="J454">
        <v>0.24</v>
      </c>
    </row>
    <row r="455" spans="1:10">
      <c r="A455">
        <v>454</v>
      </c>
      <c r="B455" s="2">
        <v>40563</v>
      </c>
      <c r="C455">
        <v>1</v>
      </c>
      <c r="D455">
        <v>0</v>
      </c>
      <c r="E455">
        <v>1</v>
      </c>
      <c r="F455">
        <v>22</v>
      </c>
      <c r="G455" t="b">
        <v>0</v>
      </c>
      <c r="H455">
        <v>4</v>
      </c>
      <c r="I455">
        <v>2</v>
      </c>
      <c r="J455">
        <v>0.24</v>
      </c>
    </row>
    <row r="456" spans="1:10">
      <c r="A456">
        <v>455</v>
      </c>
      <c r="B456" s="2">
        <v>40563</v>
      </c>
      <c r="C456">
        <v>1</v>
      </c>
      <c r="D456">
        <v>0</v>
      </c>
      <c r="E456">
        <v>1</v>
      </c>
      <c r="F456">
        <v>23</v>
      </c>
      <c r="G456" t="b">
        <v>0</v>
      </c>
      <c r="H456">
        <v>4</v>
      </c>
      <c r="I456">
        <v>2</v>
      </c>
      <c r="J456">
        <v>0.24</v>
      </c>
    </row>
    <row r="457" spans="1:10">
      <c r="A457">
        <v>456</v>
      </c>
      <c r="B457" s="2">
        <v>40564</v>
      </c>
      <c r="C457">
        <v>1</v>
      </c>
      <c r="D457">
        <v>0</v>
      </c>
      <c r="E457">
        <v>1</v>
      </c>
      <c r="F457">
        <v>0</v>
      </c>
      <c r="G457" t="b">
        <v>0</v>
      </c>
      <c r="H457">
        <v>5</v>
      </c>
      <c r="I457">
        <v>2</v>
      </c>
      <c r="J457">
        <v>0.24</v>
      </c>
    </row>
    <row r="458" spans="1:10">
      <c r="A458">
        <v>457</v>
      </c>
      <c r="B458" s="2">
        <v>40564</v>
      </c>
      <c r="C458">
        <v>1</v>
      </c>
      <c r="D458">
        <v>0</v>
      </c>
      <c r="E458">
        <v>1</v>
      </c>
      <c r="F458">
        <v>1</v>
      </c>
      <c r="G458" t="b">
        <v>0</v>
      </c>
      <c r="H458">
        <v>5</v>
      </c>
      <c r="I458">
        <v>2</v>
      </c>
      <c r="J458">
        <v>0.24</v>
      </c>
    </row>
    <row r="459" spans="1:10">
      <c r="A459">
        <v>458</v>
      </c>
      <c r="B459" s="2">
        <v>40564</v>
      </c>
      <c r="C459">
        <v>1</v>
      </c>
      <c r="D459">
        <v>0</v>
      </c>
      <c r="E459">
        <v>1</v>
      </c>
      <c r="F459">
        <v>2</v>
      </c>
      <c r="G459" t="b">
        <v>0</v>
      </c>
      <c r="H459">
        <v>5</v>
      </c>
      <c r="I459">
        <v>3</v>
      </c>
      <c r="J459">
        <v>0.24</v>
      </c>
    </row>
    <row r="460" spans="1:10">
      <c r="A460">
        <v>459</v>
      </c>
      <c r="B460" s="2">
        <v>40564</v>
      </c>
      <c r="C460">
        <v>1</v>
      </c>
      <c r="D460">
        <v>0</v>
      </c>
      <c r="E460">
        <v>1</v>
      </c>
      <c r="F460">
        <v>3</v>
      </c>
      <c r="G460" t="b">
        <v>0</v>
      </c>
      <c r="H460">
        <v>5</v>
      </c>
      <c r="I460">
        <v>3</v>
      </c>
      <c r="J460">
        <v>0.22</v>
      </c>
    </row>
    <row r="461" spans="1:10">
      <c r="A461">
        <v>460</v>
      </c>
      <c r="B461" s="2">
        <v>40564</v>
      </c>
      <c r="C461">
        <v>1</v>
      </c>
      <c r="D461">
        <v>0</v>
      </c>
      <c r="E461">
        <v>1</v>
      </c>
      <c r="F461">
        <v>4</v>
      </c>
      <c r="G461" t="b">
        <v>0</v>
      </c>
      <c r="H461">
        <v>5</v>
      </c>
      <c r="I461">
        <v>2</v>
      </c>
      <c r="J461">
        <v>0.22</v>
      </c>
    </row>
    <row r="462" spans="1:10">
      <c r="A462">
        <v>461</v>
      </c>
      <c r="B462" s="2">
        <v>40564</v>
      </c>
      <c r="C462">
        <v>1</v>
      </c>
      <c r="D462">
        <v>0</v>
      </c>
      <c r="E462">
        <v>1</v>
      </c>
      <c r="F462">
        <v>5</v>
      </c>
      <c r="G462" t="b">
        <v>0</v>
      </c>
      <c r="H462">
        <v>5</v>
      </c>
      <c r="I462">
        <v>1</v>
      </c>
      <c r="J462">
        <v>0.24</v>
      </c>
    </row>
    <row r="463" spans="1:10">
      <c r="A463">
        <v>462</v>
      </c>
      <c r="B463" s="2">
        <v>40564</v>
      </c>
      <c r="C463">
        <v>1</v>
      </c>
      <c r="D463">
        <v>0</v>
      </c>
      <c r="E463">
        <v>1</v>
      </c>
      <c r="F463">
        <v>6</v>
      </c>
      <c r="G463" t="b">
        <v>0</v>
      </c>
      <c r="H463">
        <v>5</v>
      </c>
      <c r="I463">
        <v>1</v>
      </c>
      <c r="J463">
        <v>0.22</v>
      </c>
    </row>
    <row r="464" spans="1:10">
      <c r="A464">
        <v>463</v>
      </c>
      <c r="B464" s="2">
        <v>40564</v>
      </c>
      <c r="C464">
        <v>1</v>
      </c>
      <c r="D464">
        <v>0</v>
      </c>
      <c r="E464">
        <v>1</v>
      </c>
      <c r="F464">
        <v>7</v>
      </c>
      <c r="G464" t="b">
        <v>0</v>
      </c>
      <c r="H464">
        <v>5</v>
      </c>
      <c r="I464">
        <v>1</v>
      </c>
      <c r="J464">
        <v>0.2</v>
      </c>
    </row>
    <row r="465" spans="1:10">
      <c r="A465">
        <v>464</v>
      </c>
      <c r="B465" s="2">
        <v>40564</v>
      </c>
      <c r="C465">
        <v>1</v>
      </c>
      <c r="D465">
        <v>0</v>
      </c>
      <c r="E465">
        <v>1</v>
      </c>
      <c r="F465">
        <v>8</v>
      </c>
      <c r="G465" t="b">
        <v>0</v>
      </c>
      <c r="H465">
        <v>5</v>
      </c>
      <c r="I465">
        <v>1</v>
      </c>
      <c r="J465">
        <v>0.2</v>
      </c>
    </row>
    <row r="466" spans="1:10">
      <c r="A466">
        <v>465</v>
      </c>
      <c r="B466" s="2">
        <v>40564</v>
      </c>
      <c r="C466">
        <v>1</v>
      </c>
      <c r="D466">
        <v>0</v>
      </c>
      <c r="E466">
        <v>1</v>
      </c>
      <c r="F466">
        <v>9</v>
      </c>
      <c r="G466" t="b">
        <v>0</v>
      </c>
      <c r="H466">
        <v>5</v>
      </c>
      <c r="I466">
        <v>1</v>
      </c>
      <c r="J466">
        <v>0.2</v>
      </c>
    </row>
    <row r="467" spans="1:10">
      <c r="A467">
        <v>466</v>
      </c>
      <c r="B467" s="2">
        <v>40564</v>
      </c>
      <c r="C467">
        <v>1</v>
      </c>
      <c r="D467">
        <v>0</v>
      </c>
      <c r="E467">
        <v>1</v>
      </c>
      <c r="F467">
        <v>10</v>
      </c>
      <c r="G467" t="b">
        <v>0</v>
      </c>
      <c r="H467">
        <v>5</v>
      </c>
      <c r="I467">
        <v>1</v>
      </c>
      <c r="J467">
        <v>0.2</v>
      </c>
    </row>
    <row r="468" spans="1:10">
      <c r="A468">
        <v>467</v>
      </c>
      <c r="B468" s="2">
        <v>40564</v>
      </c>
      <c r="C468">
        <v>1</v>
      </c>
      <c r="D468">
        <v>0</v>
      </c>
      <c r="E468">
        <v>1</v>
      </c>
      <c r="F468">
        <v>11</v>
      </c>
      <c r="G468" t="b">
        <v>0</v>
      </c>
      <c r="H468">
        <v>5</v>
      </c>
      <c r="I468">
        <v>1</v>
      </c>
      <c r="J468">
        <v>0.22</v>
      </c>
    </row>
    <row r="469" spans="1:10">
      <c r="A469">
        <v>468</v>
      </c>
      <c r="B469" s="2">
        <v>40564</v>
      </c>
      <c r="C469">
        <v>1</v>
      </c>
      <c r="D469">
        <v>0</v>
      </c>
      <c r="E469">
        <v>1</v>
      </c>
      <c r="F469">
        <v>12</v>
      </c>
      <c r="G469" t="b">
        <v>0</v>
      </c>
      <c r="H469">
        <v>5</v>
      </c>
      <c r="I469">
        <v>1</v>
      </c>
      <c r="J469">
        <v>0.22</v>
      </c>
    </row>
    <row r="470" spans="1:10">
      <c r="A470">
        <v>469</v>
      </c>
      <c r="B470" s="2">
        <v>40564</v>
      </c>
      <c r="C470">
        <v>1</v>
      </c>
      <c r="D470">
        <v>0</v>
      </c>
      <c r="E470">
        <v>1</v>
      </c>
      <c r="F470">
        <v>13</v>
      </c>
      <c r="G470" t="b">
        <v>0</v>
      </c>
      <c r="H470">
        <v>5</v>
      </c>
      <c r="I470">
        <v>1</v>
      </c>
      <c r="J470">
        <v>0.2</v>
      </c>
    </row>
    <row r="471" spans="1:10">
      <c r="A471">
        <v>470</v>
      </c>
      <c r="B471" s="2">
        <v>40564</v>
      </c>
      <c r="C471">
        <v>1</v>
      </c>
      <c r="D471">
        <v>0</v>
      </c>
      <c r="E471">
        <v>1</v>
      </c>
      <c r="F471">
        <v>14</v>
      </c>
      <c r="G471" t="b">
        <v>0</v>
      </c>
      <c r="H471">
        <v>5</v>
      </c>
      <c r="I471">
        <v>1</v>
      </c>
      <c r="J471">
        <v>0.2</v>
      </c>
    </row>
    <row r="472" spans="1:10">
      <c r="A472">
        <v>471</v>
      </c>
      <c r="B472" s="2">
        <v>40564</v>
      </c>
      <c r="C472">
        <v>1</v>
      </c>
      <c r="D472">
        <v>0</v>
      </c>
      <c r="E472">
        <v>1</v>
      </c>
      <c r="F472">
        <v>15</v>
      </c>
      <c r="G472" t="b">
        <v>0</v>
      </c>
      <c r="H472">
        <v>5</v>
      </c>
      <c r="I472">
        <v>1</v>
      </c>
      <c r="J472">
        <v>0.16</v>
      </c>
    </row>
    <row r="473" spans="1:10">
      <c r="A473">
        <v>472</v>
      </c>
      <c r="B473" s="2">
        <v>40564</v>
      </c>
      <c r="C473">
        <v>1</v>
      </c>
      <c r="D473">
        <v>0</v>
      </c>
      <c r="E473">
        <v>1</v>
      </c>
      <c r="F473">
        <v>16</v>
      </c>
      <c r="G473" t="b">
        <v>0</v>
      </c>
      <c r="H473">
        <v>5</v>
      </c>
      <c r="I473">
        <v>1</v>
      </c>
      <c r="J473">
        <v>0.16</v>
      </c>
    </row>
    <row r="474" spans="1:10">
      <c r="A474">
        <v>473</v>
      </c>
      <c r="B474" s="2">
        <v>40564</v>
      </c>
      <c r="C474">
        <v>1</v>
      </c>
      <c r="D474">
        <v>0</v>
      </c>
      <c r="E474">
        <v>1</v>
      </c>
      <c r="F474">
        <v>17</v>
      </c>
      <c r="G474" t="b">
        <v>0</v>
      </c>
      <c r="H474">
        <v>5</v>
      </c>
      <c r="I474">
        <v>1</v>
      </c>
      <c r="J474">
        <v>0.14000000000000001</v>
      </c>
    </row>
    <row r="475" spans="1:10">
      <c r="A475">
        <v>474</v>
      </c>
      <c r="B475" s="2">
        <v>40564</v>
      </c>
      <c r="C475">
        <v>1</v>
      </c>
      <c r="D475">
        <v>0</v>
      </c>
      <c r="E475">
        <v>1</v>
      </c>
      <c r="F475">
        <v>18</v>
      </c>
      <c r="G475" t="b">
        <v>0</v>
      </c>
      <c r="H475">
        <v>5</v>
      </c>
      <c r="I475">
        <v>1</v>
      </c>
      <c r="J475">
        <v>0.12</v>
      </c>
    </row>
    <row r="476" spans="1:10">
      <c r="A476">
        <v>475</v>
      </c>
      <c r="B476" s="2">
        <v>40564</v>
      </c>
      <c r="C476">
        <v>1</v>
      </c>
      <c r="D476">
        <v>0</v>
      </c>
      <c r="E476">
        <v>1</v>
      </c>
      <c r="F476">
        <v>19</v>
      </c>
      <c r="G476" t="b">
        <v>0</v>
      </c>
      <c r="H476">
        <v>5</v>
      </c>
      <c r="I476">
        <v>1</v>
      </c>
      <c r="J476">
        <v>0.12</v>
      </c>
    </row>
    <row r="477" spans="1:10">
      <c r="A477">
        <v>476</v>
      </c>
      <c r="B477" s="2">
        <v>40564</v>
      </c>
      <c r="C477">
        <v>1</v>
      </c>
      <c r="D477">
        <v>0</v>
      </c>
      <c r="E477">
        <v>1</v>
      </c>
      <c r="F477">
        <v>20</v>
      </c>
      <c r="G477" t="b">
        <v>0</v>
      </c>
      <c r="H477">
        <v>5</v>
      </c>
      <c r="I477">
        <v>1</v>
      </c>
      <c r="J477">
        <v>0.1</v>
      </c>
    </row>
    <row r="478" spans="1:10">
      <c r="A478">
        <v>477</v>
      </c>
      <c r="B478" s="2">
        <v>40564</v>
      </c>
      <c r="C478">
        <v>1</v>
      </c>
      <c r="D478">
        <v>0</v>
      </c>
      <c r="E478">
        <v>1</v>
      </c>
      <c r="F478">
        <v>21</v>
      </c>
      <c r="G478" t="b">
        <v>0</v>
      </c>
      <c r="H478">
        <v>5</v>
      </c>
      <c r="I478">
        <v>1</v>
      </c>
      <c r="J478">
        <v>0.08</v>
      </c>
    </row>
    <row r="479" spans="1:10">
      <c r="A479">
        <v>478</v>
      </c>
      <c r="B479" s="2">
        <v>40564</v>
      </c>
      <c r="C479">
        <v>1</v>
      </c>
      <c r="D479">
        <v>0</v>
      </c>
      <c r="E479">
        <v>1</v>
      </c>
      <c r="F479">
        <v>22</v>
      </c>
      <c r="G479" t="b">
        <v>0</v>
      </c>
      <c r="H479">
        <v>5</v>
      </c>
      <c r="I479">
        <v>1</v>
      </c>
      <c r="J479">
        <v>0.06</v>
      </c>
    </row>
    <row r="480" spans="1:10">
      <c r="A480">
        <v>479</v>
      </c>
      <c r="B480" s="2">
        <v>40564</v>
      </c>
      <c r="C480">
        <v>1</v>
      </c>
      <c r="D480">
        <v>0</v>
      </c>
      <c r="E480">
        <v>1</v>
      </c>
      <c r="F480">
        <v>23</v>
      </c>
      <c r="G480" t="b">
        <v>0</v>
      </c>
      <c r="H480">
        <v>5</v>
      </c>
      <c r="I480">
        <v>1</v>
      </c>
      <c r="J480">
        <v>0.06</v>
      </c>
    </row>
    <row r="481" spans="1:10">
      <c r="A481">
        <v>480</v>
      </c>
      <c r="B481" s="2">
        <v>40565</v>
      </c>
      <c r="C481">
        <v>1</v>
      </c>
      <c r="D481">
        <v>0</v>
      </c>
      <c r="E481">
        <v>1</v>
      </c>
      <c r="F481">
        <v>0</v>
      </c>
      <c r="G481" t="b">
        <v>0</v>
      </c>
      <c r="H481">
        <v>6</v>
      </c>
      <c r="I481">
        <v>1</v>
      </c>
      <c r="J481">
        <v>0.04</v>
      </c>
    </row>
    <row r="482" spans="1:10">
      <c r="A482">
        <v>481</v>
      </c>
      <c r="B482" s="2">
        <v>40565</v>
      </c>
      <c r="C482">
        <v>1</v>
      </c>
      <c r="D482">
        <v>0</v>
      </c>
      <c r="E482">
        <v>1</v>
      </c>
      <c r="F482">
        <v>1</v>
      </c>
      <c r="G482" t="b">
        <v>0</v>
      </c>
      <c r="H482">
        <v>6</v>
      </c>
      <c r="I482">
        <v>2</v>
      </c>
      <c r="J482">
        <v>0.04</v>
      </c>
    </row>
    <row r="483" spans="1:10">
      <c r="A483">
        <v>482</v>
      </c>
      <c r="B483" s="2">
        <v>40565</v>
      </c>
      <c r="C483">
        <v>1</v>
      </c>
      <c r="D483">
        <v>0</v>
      </c>
      <c r="E483">
        <v>1</v>
      </c>
      <c r="F483">
        <v>2</v>
      </c>
      <c r="G483" t="b">
        <v>0</v>
      </c>
      <c r="H483">
        <v>6</v>
      </c>
      <c r="I483">
        <v>2</v>
      </c>
      <c r="J483">
        <v>0.04</v>
      </c>
    </row>
    <row r="484" spans="1:10">
      <c r="A484">
        <v>483</v>
      </c>
      <c r="B484" s="2">
        <v>40565</v>
      </c>
      <c r="C484">
        <v>1</v>
      </c>
      <c r="D484">
        <v>0</v>
      </c>
      <c r="E484">
        <v>1</v>
      </c>
      <c r="F484">
        <v>3</v>
      </c>
      <c r="G484" t="b">
        <v>0</v>
      </c>
      <c r="H484">
        <v>6</v>
      </c>
      <c r="I484">
        <v>2</v>
      </c>
      <c r="J484">
        <v>0.04</v>
      </c>
    </row>
    <row r="485" spans="1:10">
      <c r="A485">
        <v>484</v>
      </c>
      <c r="B485" s="2">
        <v>40565</v>
      </c>
      <c r="C485">
        <v>1</v>
      </c>
      <c r="D485">
        <v>0</v>
      </c>
      <c r="E485">
        <v>1</v>
      </c>
      <c r="F485">
        <v>4</v>
      </c>
      <c r="G485" t="b">
        <v>0</v>
      </c>
      <c r="H485">
        <v>6</v>
      </c>
      <c r="I485">
        <v>2</v>
      </c>
      <c r="J485">
        <v>0.02</v>
      </c>
    </row>
    <row r="486" spans="1:10">
      <c r="A486">
        <v>485</v>
      </c>
      <c r="B486" s="2">
        <v>40565</v>
      </c>
      <c r="C486">
        <v>1</v>
      </c>
      <c r="D486">
        <v>0</v>
      </c>
      <c r="E486">
        <v>1</v>
      </c>
      <c r="F486">
        <v>6</v>
      </c>
      <c r="G486" t="b">
        <v>0</v>
      </c>
      <c r="H486">
        <v>6</v>
      </c>
      <c r="I486">
        <v>2</v>
      </c>
      <c r="J486">
        <v>0.02</v>
      </c>
    </row>
    <row r="487" spans="1:10">
      <c r="A487">
        <v>486</v>
      </c>
      <c r="B487" s="2">
        <v>40565</v>
      </c>
      <c r="C487">
        <v>1</v>
      </c>
      <c r="D487">
        <v>0</v>
      </c>
      <c r="E487">
        <v>1</v>
      </c>
      <c r="F487">
        <v>7</v>
      </c>
      <c r="G487" t="b">
        <v>0</v>
      </c>
      <c r="H487">
        <v>6</v>
      </c>
      <c r="I487">
        <v>1</v>
      </c>
      <c r="J487">
        <v>0.02</v>
      </c>
    </row>
    <row r="488" spans="1:10">
      <c r="A488">
        <v>487</v>
      </c>
      <c r="B488" s="2">
        <v>40565</v>
      </c>
      <c r="C488">
        <v>1</v>
      </c>
      <c r="D488">
        <v>0</v>
      </c>
      <c r="E488">
        <v>1</v>
      </c>
      <c r="F488">
        <v>8</v>
      </c>
      <c r="G488" t="b">
        <v>0</v>
      </c>
      <c r="H488">
        <v>6</v>
      </c>
      <c r="I488">
        <v>1</v>
      </c>
      <c r="J488">
        <v>0.02</v>
      </c>
    </row>
    <row r="489" spans="1:10">
      <c r="A489">
        <v>488</v>
      </c>
      <c r="B489" s="2">
        <v>40565</v>
      </c>
      <c r="C489">
        <v>1</v>
      </c>
      <c r="D489">
        <v>0</v>
      </c>
      <c r="E489">
        <v>1</v>
      </c>
      <c r="F489">
        <v>9</v>
      </c>
      <c r="G489" t="b">
        <v>0</v>
      </c>
      <c r="H489">
        <v>6</v>
      </c>
      <c r="I489">
        <v>1</v>
      </c>
      <c r="J489">
        <v>0.04</v>
      </c>
    </row>
    <row r="490" spans="1:10">
      <c r="A490">
        <v>489</v>
      </c>
      <c r="B490" s="2">
        <v>40565</v>
      </c>
      <c r="C490">
        <v>1</v>
      </c>
      <c r="D490">
        <v>0</v>
      </c>
      <c r="E490">
        <v>1</v>
      </c>
      <c r="F490">
        <v>10</v>
      </c>
      <c r="G490" t="b">
        <v>0</v>
      </c>
      <c r="H490">
        <v>6</v>
      </c>
      <c r="I490">
        <v>2</v>
      </c>
      <c r="J490">
        <v>0.04</v>
      </c>
    </row>
    <row r="491" spans="1:10">
      <c r="A491">
        <v>490</v>
      </c>
      <c r="B491" s="2">
        <v>40565</v>
      </c>
      <c r="C491">
        <v>1</v>
      </c>
      <c r="D491">
        <v>0</v>
      </c>
      <c r="E491">
        <v>1</v>
      </c>
      <c r="F491">
        <v>11</v>
      </c>
      <c r="G491" t="b">
        <v>0</v>
      </c>
      <c r="H491">
        <v>6</v>
      </c>
      <c r="I491">
        <v>2</v>
      </c>
      <c r="J491">
        <v>0.06</v>
      </c>
    </row>
    <row r="492" spans="1:10">
      <c r="A492">
        <v>491</v>
      </c>
      <c r="B492" s="2">
        <v>40565</v>
      </c>
      <c r="C492">
        <v>1</v>
      </c>
      <c r="D492">
        <v>0</v>
      </c>
      <c r="E492">
        <v>1</v>
      </c>
      <c r="F492">
        <v>12</v>
      </c>
      <c r="G492" t="b">
        <v>0</v>
      </c>
      <c r="H492">
        <v>6</v>
      </c>
      <c r="I492">
        <v>2</v>
      </c>
      <c r="J492">
        <v>0.06</v>
      </c>
    </row>
    <row r="493" spans="1:10">
      <c r="A493">
        <v>492</v>
      </c>
      <c r="B493" s="2">
        <v>40565</v>
      </c>
      <c r="C493">
        <v>1</v>
      </c>
      <c r="D493">
        <v>0</v>
      </c>
      <c r="E493">
        <v>1</v>
      </c>
      <c r="F493">
        <v>13</v>
      </c>
      <c r="G493" t="b">
        <v>0</v>
      </c>
      <c r="H493">
        <v>6</v>
      </c>
      <c r="I493">
        <v>1</v>
      </c>
      <c r="J493">
        <v>0.08</v>
      </c>
    </row>
    <row r="494" spans="1:10">
      <c r="A494">
        <v>493</v>
      </c>
      <c r="B494" s="2">
        <v>40565</v>
      </c>
      <c r="C494">
        <v>1</v>
      </c>
      <c r="D494">
        <v>0</v>
      </c>
      <c r="E494">
        <v>1</v>
      </c>
      <c r="F494">
        <v>14</v>
      </c>
      <c r="G494" t="b">
        <v>0</v>
      </c>
      <c r="H494">
        <v>6</v>
      </c>
      <c r="I494">
        <v>1</v>
      </c>
      <c r="J494">
        <v>0.1</v>
      </c>
    </row>
    <row r="495" spans="1:10">
      <c r="A495">
        <v>494</v>
      </c>
      <c r="B495" s="2">
        <v>40565</v>
      </c>
      <c r="C495">
        <v>1</v>
      </c>
      <c r="D495">
        <v>0</v>
      </c>
      <c r="E495">
        <v>1</v>
      </c>
      <c r="F495">
        <v>15</v>
      </c>
      <c r="G495" t="b">
        <v>0</v>
      </c>
      <c r="H495">
        <v>6</v>
      </c>
      <c r="I495">
        <v>1</v>
      </c>
      <c r="J495">
        <v>0.12</v>
      </c>
    </row>
    <row r="496" spans="1:10">
      <c r="A496">
        <v>495</v>
      </c>
      <c r="B496" s="2">
        <v>40565</v>
      </c>
      <c r="C496">
        <v>1</v>
      </c>
      <c r="D496">
        <v>0</v>
      </c>
      <c r="E496">
        <v>1</v>
      </c>
      <c r="F496">
        <v>16</v>
      </c>
      <c r="G496" t="b">
        <v>0</v>
      </c>
      <c r="H496">
        <v>6</v>
      </c>
      <c r="I496">
        <v>1</v>
      </c>
      <c r="J496">
        <v>0.12</v>
      </c>
    </row>
    <row r="497" spans="1:10">
      <c r="A497">
        <v>496</v>
      </c>
      <c r="B497" s="2">
        <v>40565</v>
      </c>
      <c r="C497">
        <v>1</v>
      </c>
      <c r="D497">
        <v>0</v>
      </c>
      <c r="E497">
        <v>1</v>
      </c>
      <c r="F497">
        <v>17</v>
      </c>
      <c r="G497" t="b">
        <v>0</v>
      </c>
      <c r="H497">
        <v>6</v>
      </c>
      <c r="I497">
        <v>1</v>
      </c>
      <c r="J497">
        <v>0.12</v>
      </c>
    </row>
    <row r="498" spans="1:10">
      <c r="A498">
        <v>497</v>
      </c>
      <c r="B498" s="2">
        <v>40565</v>
      </c>
      <c r="C498">
        <v>1</v>
      </c>
      <c r="D498">
        <v>0</v>
      </c>
      <c r="E498">
        <v>1</v>
      </c>
      <c r="F498">
        <v>18</v>
      </c>
      <c r="G498" t="b">
        <v>0</v>
      </c>
      <c r="H498">
        <v>6</v>
      </c>
      <c r="I498">
        <v>1</v>
      </c>
      <c r="J498">
        <v>0.08</v>
      </c>
    </row>
    <row r="499" spans="1:10">
      <c r="A499">
        <v>498</v>
      </c>
      <c r="B499" s="2">
        <v>40565</v>
      </c>
      <c r="C499">
        <v>1</v>
      </c>
      <c r="D499">
        <v>0</v>
      </c>
      <c r="E499">
        <v>1</v>
      </c>
      <c r="F499">
        <v>19</v>
      </c>
      <c r="G499" t="b">
        <v>0</v>
      </c>
      <c r="H499">
        <v>6</v>
      </c>
      <c r="I499">
        <v>1</v>
      </c>
      <c r="J499">
        <v>0.08</v>
      </c>
    </row>
    <row r="500" spans="1:10">
      <c r="A500">
        <v>499</v>
      </c>
      <c r="B500" s="2">
        <v>40565</v>
      </c>
      <c r="C500">
        <v>1</v>
      </c>
      <c r="D500">
        <v>0</v>
      </c>
      <c r="E500">
        <v>1</v>
      </c>
      <c r="F500">
        <v>20</v>
      </c>
      <c r="G500" t="b">
        <v>0</v>
      </c>
      <c r="H500">
        <v>6</v>
      </c>
      <c r="I500">
        <v>1</v>
      </c>
      <c r="J500">
        <v>0.06</v>
      </c>
    </row>
    <row r="501" spans="1:10">
      <c r="A501">
        <v>500</v>
      </c>
      <c r="B501" s="2">
        <v>40565</v>
      </c>
      <c r="C501">
        <v>1</v>
      </c>
      <c r="D501">
        <v>0</v>
      </c>
      <c r="E501">
        <v>1</v>
      </c>
      <c r="F501">
        <v>21</v>
      </c>
      <c r="G501" t="b">
        <v>0</v>
      </c>
      <c r="H501">
        <v>6</v>
      </c>
      <c r="I501">
        <v>1</v>
      </c>
      <c r="J501">
        <v>0.06</v>
      </c>
    </row>
    <row r="502" spans="1:10">
      <c r="A502">
        <v>501</v>
      </c>
      <c r="B502" s="2">
        <v>40565</v>
      </c>
      <c r="C502">
        <v>1</v>
      </c>
      <c r="D502">
        <v>0</v>
      </c>
      <c r="E502">
        <v>1</v>
      </c>
      <c r="F502">
        <v>22</v>
      </c>
      <c r="G502" t="b">
        <v>0</v>
      </c>
      <c r="H502">
        <v>6</v>
      </c>
      <c r="I502">
        <v>1</v>
      </c>
      <c r="J502">
        <v>0.06</v>
      </c>
    </row>
    <row r="503" spans="1:10">
      <c r="A503">
        <v>502</v>
      </c>
      <c r="B503" s="2">
        <v>40565</v>
      </c>
      <c r="C503">
        <v>1</v>
      </c>
      <c r="D503">
        <v>0</v>
      </c>
      <c r="E503">
        <v>1</v>
      </c>
      <c r="F503">
        <v>23</v>
      </c>
      <c r="G503" t="b">
        <v>0</v>
      </c>
      <c r="H503">
        <v>6</v>
      </c>
      <c r="I503">
        <v>1</v>
      </c>
      <c r="J503">
        <v>0.04</v>
      </c>
    </row>
    <row r="504" spans="1:10">
      <c r="A504">
        <v>503</v>
      </c>
      <c r="B504" s="2">
        <v>40566</v>
      </c>
      <c r="C504">
        <v>1</v>
      </c>
      <c r="D504">
        <v>0</v>
      </c>
      <c r="E504">
        <v>1</v>
      </c>
      <c r="F504">
        <v>0</v>
      </c>
      <c r="G504" t="b">
        <v>0</v>
      </c>
      <c r="H504">
        <v>0</v>
      </c>
      <c r="I504">
        <v>1</v>
      </c>
      <c r="J504">
        <v>0.04</v>
      </c>
    </row>
    <row r="505" spans="1:10">
      <c r="A505">
        <v>504</v>
      </c>
      <c r="B505" s="2">
        <v>40566</v>
      </c>
      <c r="C505">
        <v>1</v>
      </c>
      <c r="D505">
        <v>0</v>
      </c>
      <c r="E505">
        <v>1</v>
      </c>
      <c r="F505">
        <v>1</v>
      </c>
      <c r="G505" t="b">
        <v>0</v>
      </c>
      <c r="H505">
        <v>0</v>
      </c>
      <c r="I505">
        <v>1</v>
      </c>
      <c r="J505">
        <v>0.04</v>
      </c>
    </row>
    <row r="506" spans="1:10">
      <c r="A506">
        <v>505</v>
      </c>
      <c r="B506" s="2">
        <v>40566</v>
      </c>
      <c r="C506">
        <v>1</v>
      </c>
      <c r="D506">
        <v>0</v>
      </c>
      <c r="E506">
        <v>1</v>
      </c>
      <c r="F506">
        <v>2</v>
      </c>
      <c r="G506" t="b">
        <v>0</v>
      </c>
      <c r="H506">
        <v>0</v>
      </c>
      <c r="I506">
        <v>1</v>
      </c>
      <c r="J506">
        <v>0.02</v>
      </c>
    </row>
    <row r="507" spans="1:10">
      <c r="A507">
        <v>506</v>
      </c>
      <c r="B507" s="2">
        <v>40566</v>
      </c>
      <c r="C507">
        <v>1</v>
      </c>
      <c r="D507">
        <v>0</v>
      </c>
      <c r="E507">
        <v>1</v>
      </c>
      <c r="F507">
        <v>3</v>
      </c>
      <c r="G507" t="b">
        <v>0</v>
      </c>
      <c r="H507">
        <v>0</v>
      </c>
      <c r="I507">
        <v>1</v>
      </c>
      <c r="J507">
        <v>0.02</v>
      </c>
    </row>
    <row r="508" spans="1:10">
      <c r="A508">
        <v>507</v>
      </c>
      <c r="B508" s="2">
        <v>40566</v>
      </c>
      <c r="C508">
        <v>1</v>
      </c>
      <c r="D508">
        <v>0</v>
      </c>
      <c r="E508">
        <v>1</v>
      </c>
      <c r="F508">
        <v>5</v>
      </c>
      <c r="G508" t="b">
        <v>0</v>
      </c>
      <c r="H508">
        <v>0</v>
      </c>
      <c r="I508">
        <v>2</v>
      </c>
      <c r="J508">
        <v>0.04</v>
      </c>
    </row>
    <row r="509" spans="1:10">
      <c r="A509">
        <v>508</v>
      </c>
      <c r="B509" s="2">
        <v>40566</v>
      </c>
      <c r="C509">
        <v>1</v>
      </c>
      <c r="D509">
        <v>0</v>
      </c>
      <c r="E509">
        <v>1</v>
      </c>
      <c r="F509">
        <v>6</v>
      </c>
      <c r="G509" t="b">
        <v>0</v>
      </c>
      <c r="H509">
        <v>0</v>
      </c>
      <c r="I509">
        <v>2</v>
      </c>
      <c r="J509">
        <v>0.04</v>
      </c>
    </row>
    <row r="510" spans="1:10">
      <c r="A510">
        <v>509</v>
      </c>
      <c r="B510" s="2">
        <v>40566</v>
      </c>
      <c r="C510">
        <v>1</v>
      </c>
      <c r="D510">
        <v>0</v>
      </c>
      <c r="E510">
        <v>1</v>
      </c>
      <c r="F510">
        <v>7</v>
      </c>
      <c r="G510" t="b">
        <v>0</v>
      </c>
      <c r="H510">
        <v>0</v>
      </c>
      <c r="I510">
        <v>1</v>
      </c>
      <c r="J510">
        <v>0.08</v>
      </c>
    </row>
    <row r="511" spans="1:10">
      <c r="A511">
        <v>510</v>
      </c>
      <c r="B511" s="2">
        <v>40566</v>
      </c>
      <c r="C511">
        <v>1</v>
      </c>
      <c r="D511">
        <v>0</v>
      </c>
      <c r="E511">
        <v>1</v>
      </c>
      <c r="F511">
        <v>8</v>
      </c>
      <c r="G511" t="b">
        <v>0</v>
      </c>
      <c r="H511">
        <v>0</v>
      </c>
      <c r="I511">
        <v>1</v>
      </c>
      <c r="J511">
        <v>0.06</v>
      </c>
    </row>
    <row r="512" spans="1:10">
      <c r="A512">
        <v>511</v>
      </c>
      <c r="B512" s="2">
        <v>40566</v>
      </c>
      <c r="C512">
        <v>1</v>
      </c>
      <c r="D512">
        <v>0</v>
      </c>
      <c r="E512">
        <v>1</v>
      </c>
      <c r="F512">
        <v>9</v>
      </c>
      <c r="G512" t="b">
        <v>0</v>
      </c>
      <c r="H512">
        <v>0</v>
      </c>
      <c r="I512">
        <v>1</v>
      </c>
      <c r="J512">
        <v>0.1</v>
      </c>
    </row>
    <row r="513" spans="1:10">
      <c r="A513">
        <v>512</v>
      </c>
      <c r="B513" s="2">
        <v>40566</v>
      </c>
      <c r="C513">
        <v>1</v>
      </c>
      <c r="D513">
        <v>0</v>
      </c>
      <c r="E513">
        <v>1</v>
      </c>
      <c r="F513">
        <v>10</v>
      </c>
      <c r="G513" t="b">
        <v>0</v>
      </c>
      <c r="H513">
        <v>0</v>
      </c>
      <c r="I513">
        <v>1</v>
      </c>
      <c r="J513">
        <v>0.14000000000000001</v>
      </c>
    </row>
    <row r="514" spans="1:10">
      <c r="A514">
        <v>513</v>
      </c>
      <c r="B514" s="2">
        <v>40566</v>
      </c>
      <c r="C514">
        <v>1</v>
      </c>
      <c r="D514">
        <v>0</v>
      </c>
      <c r="E514">
        <v>1</v>
      </c>
      <c r="F514">
        <v>11</v>
      </c>
      <c r="G514" t="b">
        <v>0</v>
      </c>
      <c r="H514">
        <v>0</v>
      </c>
      <c r="I514">
        <v>1</v>
      </c>
      <c r="J514">
        <v>0.14000000000000001</v>
      </c>
    </row>
    <row r="515" spans="1:10">
      <c r="A515">
        <v>514</v>
      </c>
      <c r="B515" s="2">
        <v>40566</v>
      </c>
      <c r="C515">
        <v>1</v>
      </c>
      <c r="D515">
        <v>0</v>
      </c>
      <c r="E515">
        <v>1</v>
      </c>
      <c r="F515">
        <v>12</v>
      </c>
      <c r="G515" t="b">
        <v>0</v>
      </c>
      <c r="H515">
        <v>0</v>
      </c>
      <c r="I515">
        <v>1</v>
      </c>
      <c r="J515">
        <v>0.16</v>
      </c>
    </row>
    <row r="516" spans="1:10">
      <c r="A516">
        <v>515</v>
      </c>
      <c r="B516" s="2">
        <v>40566</v>
      </c>
      <c r="C516">
        <v>1</v>
      </c>
      <c r="D516">
        <v>0</v>
      </c>
      <c r="E516">
        <v>1</v>
      </c>
      <c r="F516">
        <v>13</v>
      </c>
      <c r="G516" t="b">
        <v>0</v>
      </c>
      <c r="H516">
        <v>0</v>
      </c>
      <c r="I516">
        <v>1</v>
      </c>
      <c r="J516">
        <v>0.14000000000000001</v>
      </c>
    </row>
    <row r="517" spans="1:10">
      <c r="A517">
        <v>516</v>
      </c>
      <c r="B517" s="2">
        <v>40566</v>
      </c>
      <c r="C517">
        <v>1</v>
      </c>
      <c r="D517">
        <v>0</v>
      </c>
      <c r="E517">
        <v>1</v>
      </c>
      <c r="F517">
        <v>14</v>
      </c>
      <c r="G517" t="b">
        <v>0</v>
      </c>
      <c r="H517">
        <v>0</v>
      </c>
      <c r="I517">
        <v>1</v>
      </c>
      <c r="J517">
        <v>0.16</v>
      </c>
    </row>
    <row r="518" spans="1:10">
      <c r="A518">
        <v>517</v>
      </c>
      <c r="B518" s="2">
        <v>40566</v>
      </c>
      <c r="C518">
        <v>1</v>
      </c>
      <c r="D518">
        <v>0</v>
      </c>
      <c r="E518">
        <v>1</v>
      </c>
      <c r="F518">
        <v>15</v>
      </c>
      <c r="G518" t="b">
        <v>0</v>
      </c>
      <c r="H518">
        <v>0</v>
      </c>
      <c r="I518">
        <v>1</v>
      </c>
      <c r="J518">
        <v>0.16</v>
      </c>
    </row>
    <row r="519" spans="1:10">
      <c r="A519">
        <v>518</v>
      </c>
      <c r="B519" s="2">
        <v>40566</v>
      </c>
      <c r="C519">
        <v>1</v>
      </c>
      <c r="D519">
        <v>0</v>
      </c>
      <c r="E519">
        <v>1</v>
      </c>
      <c r="F519">
        <v>16</v>
      </c>
      <c r="G519" t="b">
        <v>0</v>
      </c>
      <c r="H519">
        <v>0</v>
      </c>
      <c r="I519">
        <v>1</v>
      </c>
      <c r="J519">
        <v>0.16</v>
      </c>
    </row>
    <row r="520" spans="1:10">
      <c r="A520">
        <v>519</v>
      </c>
      <c r="B520" s="2">
        <v>40566</v>
      </c>
      <c r="C520">
        <v>1</v>
      </c>
      <c r="D520">
        <v>0</v>
      </c>
      <c r="E520">
        <v>1</v>
      </c>
      <c r="F520">
        <v>17</v>
      </c>
      <c r="G520" t="b">
        <v>0</v>
      </c>
      <c r="H520">
        <v>0</v>
      </c>
      <c r="I520">
        <v>1</v>
      </c>
      <c r="J520">
        <v>0.14000000000000001</v>
      </c>
    </row>
    <row r="521" spans="1:10">
      <c r="A521">
        <v>520</v>
      </c>
      <c r="B521" s="2">
        <v>40566</v>
      </c>
      <c r="C521">
        <v>1</v>
      </c>
      <c r="D521">
        <v>0</v>
      </c>
      <c r="E521">
        <v>1</v>
      </c>
      <c r="F521">
        <v>18</v>
      </c>
      <c r="G521" t="b">
        <v>0</v>
      </c>
      <c r="H521">
        <v>0</v>
      </c>
      <c r="I521">
        <v>1</v>
      </c>
      <c r="J521">
        <v>0.12</v>
      </c>
    </row>
    <row r="522" spans="1:10">
      <c r="A522">
        <v>521</v>
      </c>
      <c r="B522" s="2">
        <v>40566</v>
      </c>
      <c r="C522">
        <v>1</v>
      </c>
      <c r="D522">
        <v>0</v>
      </c>
      <c r="E522">
        <v>1</v>
      </c>
      <c r="F522">
        <v>19</v>
      </c>
      <c r="G522" t="b">
        <v>0</v>
      </c>
      <c r="H522">
        <v>0</v>
      </c>
      <c r="I522">
        <v>1</v>
      </c>
      <c r="J522">
        <v>0.12</v>
      </c>
    </row>
    <row r="523" spans="1:10">
      <c r="A523">
        <v>522</v>
      </c>
      <c r="B523" s="2">
        <v>40566</v>
      </c>
      <c r="C523">
        <v>1</v>
      </c>
      <c r="D523">
        <v>0</v>
      </c>
      <c r="E523">
        <v>1</v>
      </c>
      <c r="F523">
        <v>20</v>
      </c>
      <c r="G523" t="b">
        <v>0</v>
      </c>
      <c r="H523">
        <v>0</v>
      </c>
      <c r="I523">
        <v>1</v>
      </c>
      <c r="J523">
        <v>0.1</v>
      </c>
    </row>
    <row r="524" spans="1:10">
      <c r="A524">
        <v>523</v>
      </c>
      <c r="B524" s="2">
        <v>40566</v>
      </c>
      <c r="C524">
        <v>1</v>
      </c>
      <c r="D524">
        <v>0</v>
      </c>
      <c r="E524">
        <v>1</v>
      </c>
      <c r="F524">
        <v>21</v>
      </c>
      <c r="G524" t="b">
        <v>0</v>
      </c>
      <c r="H524">
        <v>0</v>
      </c>
      <c r="I524">
        <v>1</v>
      </c>
      <c r="J524">
        <v>0.1</v>
      </c>
    </row>
    <row r="525" spans="1:10">
      <c r="A525">
        <v>524</v>
      </c>
      <c r="B525" s="2">
        <v>40566</v>
      </c>
      <c r="C525">
        <v>1</v>
      </c>
      <c r="D525">
        <v>0</v>
      </c>
      <c r="E525">
        <v>1</v>
      </c>
      <c r="F525">
        <v>22</v>
      </c>
      <c r="G525" t="b">
        <v>0</v>
      </c>
      <c r="H525">
        <v>0</v>
      </c>
      <c r="I525">
        <v>1</v>
      </c>
      <c r="J525">
        <v>0.08</v>
      </c>
    </row>
    <row r="526" spans="1:10">
      <c r="A526">
        <v>525</v>
      </c>
      <c r="B526" s="2">
        <v>40566</v>
      </c>
      <c r="C526">
        <v>1</v>
      </c>
      <c r="D526">
        <v>0</v>
      </c>
      <c r="E526">
        <v>1</v>
      </c>
      <c r="F526">
        <v>23</v>
      </c>
      <c r="G526" t="b">
        <v>0</v>
      </c>
      <c r="H526">
        <v>0</v>
      </c>
      <c r="I526">
        <v>1</v>
      </c>
      <c r="J526">
        <v>0.06</v>
      </c>
    </row>
    <row r="527" spans="1:10">
      <c r="A527">
        <v>526</v>
      </c>
      <c r="B527" s="2">
        <v>40567</v>
      </c>
      <c r="C527">
        <v>1</v>
      </c>
      <c r="D527">
        <v>0</v>
      </c>
      <c r="E527">
        <v>1</v>
      </c>
      <c r="F527">
        <v>0</v>
      </c>
      <c r="G527" t="b">
        <v>0</v>
      </c>
      <c r="H527">
        <v>1</v>
      </c>
      <c r="I527">
        <v>1</v>
      </c>
      <c r="J527">
        <v>0.06</v>
      </c>
    </row>
    <row r="528" spans="1:10">
      <c r="A528">
        <v>527</v>
      </c>
      <c r="B528" s="2">
        <v>40567</v>
      </c>
      <c r="C528">
        <v>1</v>
      </c>
      <c r="D528">
        <v>0</v>
      </c>
      <c r="E528">
        <v>1</v>
      </c>
      <c r="F528">
        <v>1</v>
      </c>
      <c r="G528" t="b">
        <v>0</v>
      </c>
      <c r="H528">
        <v>1</v>
      </c>
      <c r="I528">
        <v>1</v>
      </c>
      <c r="J528">
        <v>0.04</v>
      </c>
    </row>
    <row r="529" spans="1:10">
      <c r="A529">
        <v>528</v>
      </c>
      <c r="B529" s="2">
        <v>40567</v>
      </c>
      <c r="C529">
        <v>1</v>
      </c>
      <c r="D529">
        <v>0</v>
      </c>
      <c r="E529">
        <v>1</v>
      </c>
      <c r="F529">
        <v>3</v>
      </c>
      <c r="G529" t="b">
        <v>0</v>
      </c>
      <c r="H529">
        <v>1</v>
      </c>
      <c r="I529">
        <v>1</v>
      </c>
      <c r="J529">
        <v>0.04</v>
      </c>
    </row>
    <row r="530" spans="1:10">
      <c r="A530">
        <v>529</v>
      </c>
      <c r="B530" s="2">
        <v>40567</v>
      </c>
      <c r="C530">
        <v>1</v>
      </c>
      <c r="D530">
        <v>0</v>
      </c>
      <c r="E530">
        <v>1</v>
      </c>
      <c r="F530">
        <v>4</v>
      </c>
      <c r="G530" t="b">
        <v>0</v>
      </c>
      <c r="H530">
        <v>1</v>
      </c>
      <c r="I530">
        <v>1</v>
      </c>
      <c r="J530">
        <v>0.02</v>
      </c>
    </row>
    <row r="531" spans="1:10">
      <c r="A531">
        <v>530</v>
      </c>
      <c r="B531" s="2">
        <v>40567</v>
      </c>
      <c r="C531">
        <v>1</v>
      </c>
      <c r="D531">
        <v>0</v>
      </c>
      <c r="E531">
        <v>1</v>
      </c>
      <c r="F531">
        <v>5</v>
      </c>
      <c r="G531" t="b">
        <v>0</v>
      </c>
      <c r="H531">
        <v>1</v>
      </c>
      <c r="I531">
        <v>1</v>
      </c>
      <c r="J531">
        <v>0.02</v>
      </c>
    </row>
    <row r="532" spans="1:10">
      <c r="A532">
        <v>531</v>
      </c>
      <c r="B532" s="2">
        <v>40567</v>
      </c>
      <c r="C532">
        <v>1</v>
      </c>
      <c r="D532">
        <v>0</v>
      </c>
      <c r="E532">
        <v>1</v>
      </c>
      <c r="F532">
        <v>6</v>
      </c>
      <c r="G532" t="b">
        <v>0</v>
      </c>
      <c r="H532">
        <v>1</v>
      </c>
      <c r="I532">
        <v>1</v>
      </c>
      <c r="J532">
        <v>0.02</v>
      </c>
    </row>
    <row r="533" spans="1:10">
      <c r="A533">
        <v>532</v>
      </c>
      <c r="B533" s="2">
        <v>40567</v>
      </c>
      <c r="C533">
        <v>1</v>
      </c>
      <c r="D533">
        <v>0</v>
      </c>
      <c r="E533">
        <v>1</v>
      </c>
      <c r="F533">
        <v>7</v>
      </c>
      <c r="G533" t="b">
        <v>0</v>
      </c>
      <c r="H533">
        <v>1</v>
      </c>
      <c r="I533">
        <v>1</v>
      </c>
      <c r="J533">
        <v>0.02</v>
      </c>
    </row>
    <row r="534" spans="1:10">
      <c r="A534">
        <v>533</v>
      </c>
      <c r="B534" s="2">
        <v>40567</v>
      </c>
      <c r="C534">
        <v>1</v>
      </c>
      <c r="D534">
        <v>0</v>
      </c>
      <c r="E534">
        <v>1</v>
      </c>
      <c r="F534">
        <v>8</v>
      </c>
      <c r="G534" t="b">
        <v>0</v>
      </c>
      <c r="H534">
        <v>1</v>
      </c>
      <c r="I534">
        <v>1</v>
      </c>
      <c r="J534">
        <v>0.04</v>
      </c>
    </row>
    <row r="535" spans="1:10">
      <c r="A535">
        <v>534</v>
      </c>
      <c r="B535" s="2">
        <v>40567</v>
      </c>
      <c r="C535">
        <v>1</v>
      </c>
      <c r="D535">
        <v>0</v>
      </c>
      <c r="E535">
        <v>1</v>
      </c>
      <c r="F535">
        <v>9</v>
      </c>
      <c r="G535" t="b">
        <v>0</v>
      </c>
      <c r="H535">
        <v>1</v>
      </c>
      <c r="I535">
        <v>1</v>
      </c>
      <c r="J535">
        <v>0.06</v>
      </c>
    </row>
    <row r="536" spans="1:10">
      <c r="A536">
        <v>535</v>
      </c>
      <c r="B536" s="2">
        <v>40567</v>
      </c>
      <c r="C536">
        <v>1</v>
      </c>
      <c r="D536">
        <v>0</v>
      </c>
      <c r="E536">
        <v>1</v>
      </c>
      <c r="F536">
        <v>10</v>
      </c>
      <c r="G536" t="b">
        <v>0</v>
      </c>
      <c r="H536">
        <v>1</v>
      </c>
      <c r="I536">
        <v>1</v>
      </c>
      <c r="J536">
        <v>0.1</v>
      </c>
    </row>
    <row r="537" spans="1:10">
      <c r="A537">
        <v>536</v>
      </c>
      <c r="B537" s="2">
        <v>40567</v>
      </c>
      <c r="C537">
        <v>1</v>
      </c>
      <c r="D537">
        <v>0</v>
      </c>
      <c r="E537">
        <v>1</v>
      </c>
      <c r="F537">
        <v>11</v>
      </c>
      <c r="G537" t="b">
        <v>0</v>
      </c>
      <c r="H537">
        <v>1</v>
      </c>
      <c r="I537">
        <v>1</v>
      </c>
      <c r="J537">
        <v>0.1</v>
      </c>
    </row>
    <row r="538" spans="1:10">
      <c r="A538">
        <v>537</v>
      </c>
      <c r="B538" s="2">
        <v>40567</v>
      </c>
      <c r="C538">
        <v>1</v>
      </c>
      <c r="D538">
        <v>0</v>
      </c>
      <c r="E538">
        <v>1</v>
      </c>
      <c r="F538">
        <v>12</v>
      </c>
      <c r="G538" t="b">
        <v>0</v>
      </c>
      <c r="H538">
        <v>1</v>
      </c>
      <c r="I538">
        <v>2</v>
      </c>
      <c r="J538">
        <v>0.12</v>
      </c>
    </row>
    <row r="539" spans="1:10">
      <c r="A539">
        <v>538</v>
      </c>
      <c r="B539" s="2">
        <v>40567</v>
      </c>
      <c r="C539">
        <v>1</v>
      </c>
      <c r="D539">
        <v>0</v>
      </c>
      <c r="E539">
        <v>1</v>
      </c>
      <c r="F539">
        <v>13</v>
      </c>
      <c r="G539" t="b">
        <v>0</v>
      </c>
      <c r="H539">
        <v>1</v>
      </c>
      <c r="I539">
        <v>2</v>
      </c>
      <c r="J539">
        <v>0.14000000000000001</v>
      </c>
    </row>
    <row r="540" spans="1:10">
      <c r="A540">
        <v>539</v>
      </c>
      <c r="B540" s="2">
        <v>40567</v>
      </c>
      <c r="C540">
        <v>1</v>
      </c>
      <c r="D540">
        <v>0</v>
      </c>
      <c r="E540">
        <v>1</v>
      </c>
      <c r="F540">
        <v>14</v>
      </c>
      <c r="G540" t="b">
        <v>0</v>
      </c>
      <c r="H540">
        <v>1</v>
      </c>
      <c r="I540">
        <v>2</v>
      </c>
      <c r="J540">
        <v>0.14000000000000001</v>
      </c>
    </row>
    <row r="541" spans="1:10">
      <c r="A541">
        <v>540</v>
      </c>
      <c r="B541" s="2">
        <v>40567</v>
      </c>
      <c r="C541">
        <v>1</v>
      </c>
      <c r="D541">
        <v>0</v>
      </c>
      <c r="E541">
        <v>1</v>
      </c>
      <c r="F541">
        <v>15</v>
      </c>
      <c r="G541" t="b">
        <v>0</v>
      </c>
      <c r="H541">
        <v>1</v>
      </c>
      <c r="I541">
        <v>1</v>
      </c>
      <c r="J541">
        <v>0.16</v>
      </c>
    </row>
    <row r="542" spans="1:10">
      <c r="A542">
        <v>541</v>
      </c>
      <c r="B542" s="2">
        <v>40567</v>
      </c>
      <c r="C542">
        <v>1</v>
      </c>
      <c r="D542">
        <v>0</v>
      </c>
      <c r="E542">
        <v>1</v>
      </c>
      <c r="F542">
        <v>16</v>
      </c>
      <c r="G542" t="b">
        <v>0</v>
      </c>
      <c r="H542">
        <v>1</v>
      </c>
      <c r="I542">
        <v>1</v>
      </c>
      <c r="J542">
        <v>0.16</v>
      </c>
    </row>
    <row r="543" spans="1:10">
      <c r="A543">
        <v>542</v>
      </c>
      <c r="B543" s="2">
        <v>40567</v>
      </c>
      <c r="C543">
        <v>1</v>
      </c>
      <c r="D543">
        <v>0</v>
      </c>
      <c r="E543">
        <v>1</v>
      </c>
      <c r="F543">
        <v>17</v>
      </c>
      <c r="G543" t="b">
        <v>0</v>
      </c>
      <c r="H543">
        <v>1</v>
      </c>
      <c r="I543">
        <v>1</v>
      </c>
      <c r="J543">
        <v>0.14000000000000001</v>
      </c>
    </row>
    <row r="544" spans="1:10">
      <c r="A544">
        <v>543</v>
      </c>
      <c r="B544" s="2">
        <v>40567</v>
      </c>
      <c r="C544">
        <v>1</v>
      </c>
      <c r="D544">
        <v>0</v>
      </c>
      <c r="E544">
        <v>1</v>
      </c>
      <c r="F544">
        <v>18</v>
      </c>
      <c r="G544" t="b">
        <v>0</v>
      </c>
      <c r="H544">
        <v>1</v>
      </c>
      <c r="I544">
        <v>1</v>
      </c>
      <c r="J544">
        <v>0.14000000000000001</v>
      </c>
    </row>
    <row r="545" spans="1:10">
      <c r="A545">
        <v>544</v>
      </c>
      <c r="B545" s="2">
        <v>40567</v>
      </c>
      <c r="C545">
        <v>1</v>
      </c>
      <c r="D545">
        <v>0</v>
      </c>
      <c r="E545">
        <v>1</v>
      </c>
      <c r="F545">
        <v>19</v>
      </c>
      <c r="G545" t="b">
        <v>0</v>
      </c>
      <c r="H545">
        <v>1</v>
      </c>
      <c r="I545">
        <v>1</v>
      </c>
      <c r="J545">
        <v>0.14000000000000001</v>
      </c>
    </row>
    <row r="546" spans="1:10">
      <c r="A546">
        <v>545</v>
      </c>
      <c r="B546" s="2">
        <v>40567</v>
      </c>
      <c r="C546">
        <v>1</v>
      </c>
      <c r="D546">
        <v>0</v>
      </c>
      <c r="E546">
        <v>1</v>
      </c>
      <c r="F546">
        <v>20</v>
      </c>
      <c r="G546" t="b">
        <v>0</v>
      </c>
      <c r="H546">
        <v>1</v>
      </c>
      <c r="I546">
        <v>1</v>
      </c>
      <c r="J546">
        <v>0.14000000000000001</v>
      </c>
    </row>
    <row r="547" spans="1:10">
      <c r="A547">
        <v>546</v>
      </c>
      <c r="B547" s="2">
        <v>40567</v>
      </c>
      <c r="C547">
        <v>1</v>
      </c>
      <c r="D547">
        <v>0</v>
      </c>
      <c r="E547">
        <v>1</v>
      </c>
      <c r="F547">
        <v>21</v>
      </c>
      <c r="G547" t="b">
        <v>0</v>
      </c>
      <c r="H547">
        <v>1</v>
      </c>
      <c r="I547">
        <v>1</v>
      </c>
      <c r="J547">
        <v>0.14000000000000001</v>
      </c>
    </row>
    <row r="548" spans="1:10">
      <c r="A548">
        <v>547</v>
      </c>
      <c r="B548" s="2">
        <v>40567</v>
      </c>
      <c r="C548">
        <v>1</v>
      </c>
      <c r="D548">
        <v>0</v>
      </c>
      <c r="E548">
        <v>1</v>
      </c>
      <c r="F548">
        <v>22</v>
      </c>
      <c r="G548" t="b">
        <v>0</v>
      </c>
      <c r="H548">
        <v>1</v>
      </c>
      <c r="I548">
        <v>2</v>
      </c>
      <c r="J548">
        <v>0.14000000000000001</v>
      </c>
    </row>
    <row r="549" spans="1:10">
      <c r="A549">
        <v>548</v>
      </c>
      <c r="B549" s="2">
        <v>40567</v>
      </c>
      <c r="C549">
        <v>1</v>
      </c>
      <c r="D549">
        <v>0</v>
      </c>
      <c r="E549">
        <v>1</v>
      </c>
      <c r="F549">
        <v>23</v>
      </c>
      <c r="G549" t="b">
        <v>0</v>
      </c>
      <c r="H549">
        <v>1</v>
      </c>
      <c r="I549">
        <v>2</v>
      </c>
      <c r="J549">
        <v>0.16</v>
      </c>
    </row>
    <row r="550" spans="1:10">
      <c r="A550">
        <v>549</v>
      </c>
      <c r="B550" s="2">
        <v>40568</v>
      </c>
      <c r="C550">
        <v>1</v>
      </c>
      <c r="D550">
        <v>0</v>
      </c>
      <c r="E550">
        <v>1</v>
      </c>
      <c r="F550">
        <v>0</v>
      </c>
      <c r="G550" t="b">
        <v>0</v>
      </c>
      <c r="H550">
        <v>2</v>
      </c>
      <c r="I550">
        <v>2</v>
      </c>
      <c r="J550">
        <v>0.16</v>
      </c>
    </row>
    <row r="551" spans="1:10">
      <c r="A551">
        <v>550</v>
      </c>
      <c r="B551" s="2">
        <v>40568</v>
      </c>
      <c r="C551">
        <v>1</v>
      </c>
      <c r="D551">
        <v>0</v>
      </c>
      <c r="E551">
        <v>1</v>
      </c>
      <c r="F551">
        <v>1</v>
      </c>
      <c r="G551" t="b">
        <v>0</v>
      </c>
      <c r="H551">
        <v>2</v>
      </c>
      <c r="I551">
        <v>2</v>
      </c>
      <c r="J551">
        <v>0.16</v>
      </c>
    </row>
    <row r="552" spans="1:10">
      <c r="A552">
        <v>551</v>
      </c>
      <c r="B552" s="2">
        <v>40568</v>
      </c>
      <c r="C552">
        <v>1</v>
      </c>
      <c r="D552">
        <v>0</v>
      </c>
      <c r="E552">
        <v>1</v>
      </c>
      <c r="F552">
        <v>2</v>
      </c>
      <c r="G552" t="b">
        <v>0</v>
      </c>
      <c r="H552">
        <v>2</v>
      </c>
      <c r="I552">
        <v>1</v>
      </c>
      <c r="J552">
        <v>0.16</v>
      </c>
    </row>
    <row r="553" spans="1:10">
      <c r="A553">
        <v>552</v>
      </c>
      <c r="B553" s="2">
        <v>40568</v>
      </c>
      <c r="C553">
        <v>1</v>
      </c>
      <c r="D553">
        <v>0</v>
      </c>
      <c r="E553">
        <v>1</v>
      </c>
      <c r="F553">
        <v>4</v>
      </c>
      <c r="G553" t="b">
        <v>0</v>
      </c>
      <c r="H553">
        <v>2</v>
      </c>
      <c r="I553">
        <v>1</v>
      </c>
      <c r="J553">
        <v>0.14000000000000001</v>
      </c>
    </row>
    <row r="554" spans="1:10">
      <c r="A554">
        <v>553</v>
      </c>
      <c r="B554" s="2">
        <v>40568</v>
      </c>
      <c r="C554">
        <v>1</v>
      </c>
      <c r="D554">
        <v>0</v>
      </c>
      <c r="E554">
        <v>1</v>
      </c>
      <c r="F554">
        <v>5</v>
      </c>
      <c r="G554" t="b">
        <v>0</v>
      </c>
      <c r="H554">
        <v>2</v>
      </c>
      <c r="I554">
        <v>1</v>
      </c>
      <c r="J554">
        <v>0.14000000000000001</v>
      </c>
    </row>
    <row r="555" spans="1:10">
      <c r="A555">
        <v>554</v>
      </c>
      <c r="B555" s="2">
        <v>40568</v>
      </c>
      <c r="C555">
        <v>1</v>
      </c>
      <c r="D555">
        <v>0</v>
      </c>
      <c r="E555">
        <v>1</v>
      </c>
      <c r="F555">
        <v>6</v>
      </c>
      <c r="G555" t="b">
        <v>0</v>
      </c>
      <c r="H555">
        <v>2</v>
      </c>
      <c r="I555">
        <v>1</v>
      </c>
      <c r="J555">
        <v>0.16</v>
      </c>
    </row>
    <row r="556" spans="1:10">
      <c r="A556">
        <v>555</v>
      </c>
      <c r="B556" s="2">
        <v>40568</v>
      </c>
      <c r="C556">
        <v>1</v>
      </c>
      <c r="D556">
        <v>0</v>
      </c>
      <c r="E556">
        <v>1</v>
      </c>
      <c r="F556">
        <v>7</v>
      </c>
      <c r="G556" t="b">
        <v>0</v>
      </c>
      <c r="H556">
        <v>2</v>
      </c>
      <c r="I556">
        <v>1</v>
      </c>
      <c r="J556">
        <v>0.16</v>
      </c>
    </row>
    <row r="557" spans="1:10">
      <c r="A557">
        <v>556</v>
      </c>
      <c r="B557" s="2">
        <v>40568</v>
      </c>
      <c r="C557">
        <v>1</v>
      </c>
      <c r="D557">
        <v>0</v>
      </c>
      <c r="E557">
        <v>1</v>
      </c>
      <c r="F557">
        <v>8</v>
      </c>
      <c r="G557" t="b">
        <v>0</v>
      </c>
      <c r="H557">
        <v>2</v>
      </c>
      <c r="I557">
        <v>2</v>
      </c>
      <c r="J557">
        <v>0.16</v>
      </c>
    </row>
    <row r="558" spans="1:10">
      <c r="A558">
        <v>557</v>
      </c>
      <c r="B558" s="2">
        <v>40568</v>
      </c>
      <c r="C558">
        <v>1</v>
      </c>
      <c r="D558">
        <v>0</v>
      </c>
      <c r="E558">
        <v>1</v>
      </c>
      <c r="F558">
        <v>9</v>
      </c>
      <c r="G558" t="b">
        <v>0</v>
      </c>
      <c r="H558">
        <v>2</v>
      </c>
      <c r="I558">
        <v>2</v>
      </c>
      <c r="J558">
        <v>0.2</v>
      </c>
    </row>
    <row r="559" spans="1:10">
      <c r="A559">
        <v>558</v>
      </c>
      <c r="B559" s="2">
        <v>40568</v>
      </c>
      <c r="C559">
        <v>1</v>
      </c>
      <c r="D559">
        <v>0</v>
      </c>
      <c r="E559">
        <v>1</v>
      </c>
      <c r="F559">
        <v>10</v>
      </c>
      <c r="G559" t="b">
        <v>0</v>
      </c>
      <c r="H559">
        <v>2</v>
      </c>
      <c r="I559">
        <v>2</v>
      </c>
      <c r="J559">
        <v>0.22</v>
      </c>
    </row>
    <row r="560" spans="1:10">
      <c r="A560">
        <v>559</v>
      </c>
      <c r="B560" s="2">
        <v>40568</v>
      </c>
      <c r="C560">
        <v>1</v>
      </c>
      <c r="D560">
        <v>0</v>
      </c>
      <c r="E560">
        <v>1</v>
      </c>
      <c r="F560">
        <v>11</v>
      </c>
      <c r="G560" t="b">
        <v>0</v>
      </c>
      <c r="H560">
        <v>2</v>
      </c>
      <c r="I560">
        <v>2</v>
      </c>
      <c r="J560">
        <v>0.24</v>
      </c>
    </row>
    <row r="561" spans="1:10">
      <c r="A561">
        <v>560</v>
      </c>
      <c r="B561" s="2">
        <v>40568</v>
      </c>
      <c r="C561">
        <v>1</v>
      </c>
      <c r="D561">
        <v>0</v>
      </c>
      <c r="E561">
        <v>1</v>
      </c>
      <c r="F561">
        <v>12</v>
      </c>
      <c r="G561" t="b">
        <v>0</v>
      </c>
      <c r="H561">
        <v>2</v>
      </c>
      <c r="I561">
        <v>2</v>
      </c>
      <c r="J561">
        <v>0.26</v>
      </c>
    </row>
    <row r="562" spans="1:10">
      <c r="A562">
        <v>561</v>
      </c>
      <c r="B562" s="2">
        <v>40568</v>
      </c>
      <c r="C562">
        <v>1</v>
      </c>
      <c r="D562">
        <v>0</v>
      </c>
      <c r="E562">
        <v>1</v>
      </c>
      <c r="F562">
        <v>13</v>
      </c>
      <c r="G562" t="b">
        <v>0</v>
      </c>
      <c r="H562">
        <v>2</v>
      </c>
      <c r="I562">
        <v>2</v>
      </c>
      <c r="J562">
        <v>0.26</v>
      </c>
    </row>
    <row r="563" spans="1:10">
      <c r="A563">
        <v>562</v>
      </c>
      <c r="B563" s="2">
        <v>40568</v>
      </c>
      <c r="C563">
        <v>1</v>
      </c>
      <c r="D563">
        <v>0</v>
      </c>
      <c r="E563">
        <v>1</v>
      </c>
      <c r="F563">
        <v>14</v>
      </c>
      <c r="G563" t="b">
        <v>0</v>
      </c>
      <c r="H563">
        <v>2</v>
      </c>
      <c r="I563">
        <v>2</v>
      </c>
      <c r="J563">
        <v>0.3</v>
      </c>
    </row>
    <row r="564" spans="1:10">
      <c r="A564">
        <v>563</v>
      </c>
      <c r="B564" s="2">
        <v>40568</v>
      </c>
      <c r="C564">
        <v>1</v>
      </c>
      <c r="D564">
        <v>0</v>
      </c>
      <c r="E564">
        <v>1</v>
      </c>
      <c r="F564">
        <v>15</v>
      </c>
      <c r="G564" t="b">
        <v>0</v>
      </c>
      <c r="H564">
        <v>2</v>
      </c>
      <c r="I564">
        <v>2</v>
      </c>
      <c r="J564">
        <v>0.32</v>
      </c>
    </row>
    <row r="565" spans="1:10">
      <c r="A565">
        <v>564</v>
      </c>
      <c r="B565" s="2">
        <v>40568</v>
      </c>
      <c r="C565">
        <v>1</v>
      </c>
      <c r="D565">
        <v>0</v>
      </c>
      <c r="E565">
        <v>1</v>
      </c>
      <c r="F565">
        <v>16</v>
      </c>
      <c r="G565" t="b">
        <v>0</v>
      </c>
      <c r="H565">
        <v>2</v>
      </c>
      <c r="I565">
        <v>2</v>
      </c>
      <c r="J565">
        <v>0.32</v>
      </c>
    </row>
    <row r="566" spans="1:10">
      <c r="A566">
        <v>565</v>
      </c>
      <c r="B566" s="2">
        <v>40568</v>
      </c>
      <c r="C566">
        <v>1</v>
      </c>
      <c r="D566">
        <v>0</v>
      </c>
      <c r="E566">
        <v>1</v>
      </c>
      <c r="F566">
        <v>17</v>
      </c>
      <c r="G566" t="b">
        <v>0</v>
      </c>
      <c r="H566">
        <v>2</v>
      </c>
      <c r="I566">
        <v>1</v>
      </c>
      <c r="J566">
        <v>0.3</v>
      </c>
    </row>
    <row r="567" spans="1:10">
      <c r="A567">
        <v>566</v>
      </c>
      <c r="B567" s="2">
        <v>40568</v>
      </c>
      <c r="C567">
        <v>1</v>
      </c>
      <c r="D567">
        <v>0</v>
      </c>
      <c r="E567">
        <v>1</v>
      </c>
      <c r="F567">
        <v>18</v>
      </c>
      <c r="G567" t="b">
        <v>0</v>
      </c>
      <c r="H567">
        <v>2</v>
      </c>
      <c r="I567">
        <v>2</v>
      </c>
      <c r="J567">
        <v>0.3</v>
      </c>
    </row>
    <row r="568" spans="1:10">
      <c r="A568">
        <v>567</v>
      </c>
      <c r="B568" s="2">
        <v>40568</v>
      </c>
      <c r="C568">
        <v>1</v>
      </c>
      <c r="D568">
        <v>0</v>
      </c>
      <c r="E568">
        <v>1</v>
      </c>
      <c r="F568">
        <v>19</v>
      </c>
      <c r="G568" t="b">
        <v>0</v>
      </c>
      <c r="H568">
        <v>2</v>
      </c>
      <c r="I568">
        <v>2</v>
      </c>
      <c r="J568">
        <v>0.26</v>
      </c>
    </row>
    <row r="569" spans="1:10">
      <c r="A569">
        <v>568</v>
      </c>
      <c r="B569" s="2">
        <v>40568</v>
      </c>
      <c r="C569">
        <v>1</v>
      </c>
      <c r="D569">
        <v>0</v>
      </c>
      <c r="E569">
        <v>1</v>
      </c>
      <c r="F569">
        <v>20</v>
      </c>
      <c r="G569" t="b">
        <v>0</v>
      </c>
      <c r="H569">
        <v>2</v>
      </c>
      <c r="I569">
        <v>1</v>
      </c>
      <c r="J569">
        <v>0.24</v>
      </c>
    </row>
    <row r="570" spans="1:10">
      <c r="A570">
        <v>569</v>
      </c>
      <c r="B570" s="2">
        <v>40568</v>
      </c>
      <c r="C570">
        <v>1</v>
      </c>
      <c r="D570">
        <v>0</v>
      </c>
      <c r="E570">
        <v>1</v>
      </c>
      <c r="F570">
        <v>21</v>
      </c>
      <c r="G570" t="b">
        <v>0</v>
      </c>
      <c r="H570">
        <v>2</v>
      </c>
      <c r="I570">
        <v>1</v>
      </c>
      <c r="J570">
        <v>0.24</v>
      </c>
    </row>
    <row r="571" spans="1:10">
      <c r="A571">
        <v>570</v>
      </c>
      <c r="B571" s="2">
        <v>40568</v>
      </c>
      <c r="C571">
        <v>1</v>
      </c>
      <c r="D571">
        <v>0</v>
      </c>
      <c r="E571">
        <v>1</v>
      </c>
      <c r="F571">
        <v>22</v>
      </c>
      <c r="G571" t="b">
        <v>0</v>
      </c>
      <c r="H571">
        <v>2</v>
      </c>
      <c r="I571">
        <v>1</v>
      </c>
      <c r="J571">
        <v>0.22</v>
      </c>
    </row>
    <row r="572" spans="1:10">
      <c r="A572">
        <v>571</v>
      </c>
      <c r="B572" s="2">
        <v>40568</v>
      </c>
      <c r="C572">
        <v>1</v>
      </c>
      <c r="D572">
        <v>0</v>
      </c>
      <c r="E572">
        <v>1</v>
      </c>
      <c r="F572">
        <v>23</v>
      </c>
      <c r="G572" t="b">
        <v>0</v>
      </c>
      <c r="H572">
        <v>2</v>
      </c>
      <c r="I572">
        <v>2</v>
      </c>
      <c r="J572">
        <v>0.22</v>
      </c>
    </row>
    <row r="573" spans="1:10">
      <c r="A573">
        <v>572</v>
      </c>
      <c r="B573" s="2">
        <v>40569</v>
      </c>
      <c r="C573">
        <v>1</v>
      </c>
      <c r="D573">
        <v>0</v>
      </c>
      <c r="E573">
        <v>1</v>
      </c>
      <c r="F573">
        <v>0</v>
      </c>
      <c r="G573" t="b">
        <v>0</v>
      </c>
      <c r="H573">
        <v>3</v>
      </c>
      <c r="I573">
        <v>2</v>
      </c>
      <c r="J573">
        <v>0.22</v>
      </c>
    </row>
    <row r="574" spans="1:10">
      <c r="A574">
        <v>573</v>
      </c>
      <c r="B574" s="2">
        <v>40569</v>
      </c>
      <c r="C574">
        <v>1</v>
      </c>
      <c r="D574">
        <v>0</v>
      </c>
      <c r="E574">
        <v>1</v>
      </c>
      <c r="F574">
        <v>1</v>
      </c>
      <c r="G574" t="b">
        <v>0</v>
      </c>
      <c r="H574">
        <v>3</v>
      </c>
      <c r="I574">
        <v>2</v>
      </c>
      <c r="J574">
        <v>0.24</v>
      </c>
    </row>
    <row r="575" spans="1:10">
      <c r="A575">
        <v>574</v>
      </c>
      <c r="B575" s="2">
        <v>40569</v>
      </c>
      <c r="C575">
        <v>1</v>
      </c>
      <c r="D575">
        <v>0</v>
      </c>
      <c r="E575">
        <v>1</v>
      </c>
      <c r="F575">
        <v>2</v>
      </c>
      <c r="G575" t="b">
        <v>0</v>
      </c>
      <c r="H575">
        <v>3</v>
      </c>
      <c r="I575">
        <v>3</v>
      </c>
      <c r="J575">
        <v>0.22</v>
      </c>
    </row>
    <row r="576" spans="1:10">
      <c r="A576">
        <v>575</v>
      </c>
      <c r="B576" s="2">
        <v>40569</v>
      </c>
      <c r="C576">
        <v>1</v>
      </c>
      <c r="D576">
        <v>0</v>
      </c>
      <c r="E576">
        <v>1</v>
      </c>
      <c r="F576">
        <v>5</v>
      </c>
      <c r="G576" t="b">
        <v>0</v>
      </c>
      <c r="H576">
        <v>3</v>
      </c>
      <c r="I576">
        <v>3</v>
      </c>
      <c r="J576">
        <v>0.2</v>
      </c>
    </row>
    <row r="577" spans="1:10">
      <c r="A577">
        <v>576</v>
      </c>
      <c r="B577" s="2">
        <v>40569</v>
      </c>
      <c r="C577">
        <v>1</v>
      </c>
      <c r="D577">
        <v>0</v>
      </c>
      <c r="E577">
        <v>1</v>
      </c>
      <c r="F577">
        <v>6</v>
      </c>
      <c r="G577" t="b">
        <v>0</v>
      </c>
      <c r="H577">
        <v>3</v>
      </c>
      <c r="I577">
        <v>3</v>
      </c>
      <c r="J577">
        <v>0.2</v>
      </c>
    </row>
    <row r="578" spans="1:10">
      <c r="A578">
        <v>577</v>
      </c>
      <c r="B578" s="2">
        <v>40569</v>
      </c>
      <c r="C578">
        <v>1</v>
      </c>
      <c r="D578">
        <v>0</v>
      </c>
      <c r="E578">
        <v>1</v>
      </c>
      <c r="F578">
        <v>7</v>
      </c>
      <c r="G578" t="b">
        <v>0</v>
      </c>
      <c r="H578">
        <v>3</v>
      </c>
      <c r="I578">
        <v>3</v>
      </c>
      <c r="J578">
        <v>0.22</v>
      </c>
    </row>
    <row r="579" spans="1:10">
      <c r="A579">
        <v>578</v>
      </c>
      <c r="B579" s="2">
        <v>40569</v>
      </c>
      <c r="C579">
        <v>1</v>
      </c>
      <c r="D579">
        <v>0</v>
      </c>
      <c r="E579">
        <v>1</v>
      </c>
      <c r="F579">
        <v>8</v>
      </c>
      <c r="G579" t="b">
        <v>0</v>
      </c>
      <c r="H579">
        <v>3</v>
      </c>
      <c r="I579">
        <v>3</v>
      </c>
      <c r="J579">
        <v>0.22</v>
      </c>
    </row>
    <row r="580" spans="1:10">
      <c r="A580">
        <v>579</v>
      </c>
      <c r="B580" s="2">
        <v>40569</v>
      </c>
      <c r="C580">
        <v>1</v>
      </c>
      <c r="D580">
        <v>0</v>
      </c>
      <c r="E580">
        <v>1</v>
      </c>
      <c r="F580">
        <v>9</v>
      </c>
      <c r="G580" t="b">
        <v>0</v>
      </c>
      <c r="H580">
        <v>3</v>
      </c>
      <c r="I580">
        <v>3</v>
      </c>
      <c r="J580">
        <v>0.22</v>
      </c>
    </row>
    <row r="581" spans="1:10">
      <c r="A581">
        <v>580</v>
      </c>
      <c r="B581" s="2">
        <v>40569</v>
      </c>
      <c r="C581">
        <v>1</v>
      </c>
      <c r="D581">
        <v>0</v>
      </c>
      <c r="E581">
        <v>1</v>
      </c>
      <c r="F581">
        <v>10</v>
      </c>
      <c r="G581" t="b">
        <v>0</v>
      </c>
      <c r="H581">
        <v>3</v>
      </c>
      <c r="I581">
        <v>3</v>
      </c>
      <c r="J581">
        <v>0.22</v>
      </c>
    </row>
    <row r="582" spans="1:10">
      <c r="A582">
        <v>581</v>
      </c>
      <c r="B582" s="2">
        <v>40569</v>
      </c>
      <c r="C582">
        <v>1</v>
      </c>
      <c r="D582">
        <v>0</v>
      </c>
      <c r="E582">
        <v>1</v>
      </c>
      <c r="F582">
        <v>11</v>
      </c>
      <c r="G582" t="b">
        <v>0</v>
      </c>
      <c r="H582">
        <v>3</v>
      </c>
      <c r="I582">
        <v>3</v>
      </c>
      <c r="J582">
        <v>0.22</v>
      </c>
    </row>
    <row r="583" spans="1:10">
      <c r="A583">
        <v>582</v>
      </c>
      <c r="B583" s="2">
        <v>40569</v>
      </c>
      <c r="C583">
        <v>1</v>
      </c>
      <c r="D583">
        <v>0</v>
      </c>
      <c r="E583">
        <v>1</v>
      </c>
      <c r="F583">
        <v>12</v>
      </c>
      <c r="G583" t="b">
        <v>0</v>
      </c>
      <c r="H583">
        <v>3</v>
      </c>
      <c r="I583">
        <v>3</v>
      </c>
      <c r="J583">
        <v>0.22</v>
      </c>
    </row>
    <row r="584" spans="1:10">
      <c r="A584">
        <v>583</v>
      </c>
      <c r="B584" s="2">
        <v>40569</v>
      </c>
      <c r="C584">
        <v>1</v>
      </c>
      <c r="D584">
        <v>0</v>
      </c>
      <c r="E584">
        <v>1</v>
      </c>
      <c r="F584">
        <v>13</v>
      </c>
      <c r="G584" t="b">
        <v>0</v>
      </c>
      <c r="H584">
        <v>3</v>
      </c>
      <c r="I584">
        <v>3</v>
      </c>
      <c r="J584">
        <v>0.22</v>
      </c>
    </row>
    <row r="585" spans="1:10">
      <c r="A585">
        <v>584</v>
      </c>
      <c r="B585" s="2">
        <v>40569</v>
      </c>
      <c r="C585">
        <v>1</v>
      </c>
      <c r="D585">
        <v>0</v>
      </c>
      <c r="E585">
        <v>1</v>
      </c>
      <c r="F585">
        <v>14</v>
      </c>
      <c r="G585" t="b">
        <v>0</v>
      </c>
      <c r="H585">
        <v>3</v>
      </c>
      <c r="I585">
        <v>3</v>
      </c>
      <c r="J585">
        <v>0.22</v>
      </c>
    </row>
    <row r="586" spans="1:10">
      <c r="A586">
        <v>585</v>
      </c>
      <c r="B586" s="2">
        <v>40569</v>
      </c>
      <c r="C586">
        <v>1</v>
      </c>
      <c r="D586">
        <v>0</v>
      </c>
      <c r="E586">
        <v>1</v>
      </c>
      <c r="F586">
        <v>15</v>
      </c>
      <c r="G586" t="b">
        <v>0</v>
      </c>
      <c r="H586">
        <v>3</v>
      </c>
      <c r="I586">
        <v>3</v>
      </c>
      <c r="J586">
        <v>0.22</v>
      </c>
    </row>
    <row r="587" spans="1:10">
      <c r="A587">
        <v>586</v>
      </c>
      <c r="B587" s="2">
        <v>40569</v>
      </c>
      <c r="C587">
        <v>1</v>
      </c>
      <c r="D587">
        <v>0</v>
      </c>
      <c r="E587">
        <v>1</v>
      </c>
      <c r="F587">
        <v>16</v>
      </c>
      <c r="G587" t="b">
        <v>0</v>
      </c>
      <c r="H587">
        <v>3</v>
      </c>
      <c r="I587">
        <v>4</v>
      </c>
      <c r="J587">
        <v>0.22</v>
      </c>
    </row>
    <row r="588" spans="1:10">
      <c r="A588">
        <v>587</v>
      </c>
      <c r="B588" s="2">
        <v>40569</v>
      </c>
      <c r="C588">
        <v>1</v>
      </c>
      <c r="D588">
        <v>0</v>
      </c>
      <c r="E588">
        <v>1</v>
      </c>
      <c r="F588">
        <v>17</v>
      </c>
      <c r="G588" t="b">
        <v>0</v>
      </c>
      <c r="H588">
        <v>3</v>
      </c>
      <c r="I588">
        <v>3</v>
      </c>
      <c r="J588">
        <v>0.2</v>
      </c>
    </row>
    <row r="589" spans="1:10">
      <c r="A589">
        <v>588</v>
      </c>
      <c r="B589" s="2">
        <v>40570</v>
      </c>
      <c r="C589">
        <v>1</v>
      </c>
      <c r="D589">
        <v>0</v>
      </c>
      <c r="E589">
        <v>1</v>
      </c>
      <c r="F589">
        <v>16</v>
      </c>
      <c r="G589" t="b">
        <v>0</v>
      </c>
      <c r="H589">
        <v>4</v>
      </c>
      <c r="I589">
        <v>1</v>
      </c>
      <c r="J589">
        <v>0.22</v>
      </c>
    </row>
    <row r="590" spans="1:10">
      <c r="A590">
        <v>589</v>
      </c>
      <c r="B590" s="2">
        <v>40570</v>
      </c>
      <c r="C590">
        <v>1</v>
      </c>
      <c r="D590">
        <v>0</v>
      </c>
      <c r="E590">
        <v>1</v>
      </c>
      <c r="F590">
        <v>17</v>
      </c>
      <c r="G590" t="b">
        <v>0</v>
      </c>
      <c r="H590">
        <v>4</v>
      </c>
      <c r="I590">
        <v>1</v>
      </c>
      <c r="J590">
        <v>0.22</v>
      </c>
    </row>
    <row r="591" spans="1:10">
      <c r="A591">
        <v>590</v>
      </c>
      <c r="B591" s="2">
        <v>40570</v>
      </c>
      <c r="C591">
        <v>1</v>
      </c>
      <c r="D591">
        <v>0</v>
      </c>
      <c r="E591">
        <v>1</v>
      </c>
      <c r="F591">
        <v>18</v>
      </c>
      <c r="G591" t="b">
        <v>0</v>
      </c>
      <c r="H591">
        <v>4</v>
      </c>
      <c r="I591">
        <v>1</v>
      </c>
      <c r="J591">
        <v>0.2</v>
      </c>
    </row>
    <row r="592" spans="1:10">
      <c r="A592">
        <v>591</v>
      </c>
      <c r="B592" s="2">
        <v>40570</v>
      </c>
      <c r="C592">
        <v>1</v>
      </c>
      <c r="D592">
        <v>0</v>
      </c>
      <c r="E592">
        <v>1</v>
      </c>
      <c r="F592">
        <v>19</v>
      </c>
      <c r="G592" t="b">
        <v>0</v>
      </c>
      <c r="H592">
        <v>4</v>
      </c>
      <c r="I592">
        <v>1</v>
      </c>
      <c r="J592">
        <v>0.2</v>
      </c>
    </row>
    <row r="593" spans="1:10">
      <c r="A593">
        <v>592</v>
      </c>
      <c r="B593" s="2">
        <v>40570</v>
      </c>
      <c r="C593">
        <v>1</v>
      </c>
      <c r="D593">
        <v>0</v>
      </c>
      <c r="E593">
        <v>1</v>
      </c>
      <c r="F593">
        <v>20</v>
      </c>
      <c r="G593" t="b">
        <v>0</v>
      </c>
      <c r="H593">
        <v>4</v>
      </c>
      <c r="I593">
        <v>1</v>
      </c>
      <c r="J593">
        <v>0.18</v>
      </c>
    </row>
    <row r="594" spans="1:10">
      <c r="A594">
        <v>593</v>
      </c>
      <c r="B594" s="2">
        <v>40570</v>
      </c>
      <c r="C594">
        <v>1</v>
      </c>
      <c r="D594">
        <v>0</v>
      </c>
      <c r="E594">
        <v>1</v>
      </c>
      <c r="F594">
        <v>21</v>
      </c>
      <c r="G594" t="b">
        <v>0</v>
      </c>
      <c r="H594">
        <v>4</v>
      </c>
      <c r="I594">
        <v>1</v>
      </c>
      <c r="J594">
        <v>0.18</v>
      </c>
    </row>
    <row r="595" spans="1:10">
      <c r="A595">
        <v>594</v>
      </c>
      <c r="B595" s="2">
        <v>40570</v>
      </c>
      <c r="C595">
        <v>1</v>
      </c>
      <c r="D595">
        <v>0</v>
      </c>
      <c r="E595">
        <v>1</v>
      </c>
      <c r="F595">
        <v>22</v>
      </c>
      <c r="G595" t="b">
        <v>0</v>
      </c>
      <c r="H595">
        <v>4</v>
      </c>
      <c r="I595">
        <v>1</v>
      </c>
      <c r="J595">
        <v>0.18</v>
      </c>
    </row>
    <row r="596" spans="1:10">
      <c r="A596">
        <v>595</v>
      </c>
      <c r="B596" s="2">
        <v>40570</v>
      </c>
      <c r="C596">
        <v>1</v>
      </c>
      <c r="D596">
        <v>0</v>
      </c>
      <c r="E596">
        <v>1</v>
      </c>
      <c r="F596">
        <v>23</v>
      </c>
      <c r="G596" t="b">
        <v>0</v>
      </c>
      <c r="H596">
        <v>4</v>
      </c>
      <c r="I596">
        <v>1</v>
      </c>
      <c r="J596">
        <v>0.18</v>
      </c>
    </row>
    <row r="597" spans="1:10">
      <c r="A597">
        <v>596</v>
      </c>
      <c r="B597" s="2">
        <v>40571</v>
      </c>
      <c r="C597">
        <v>1</v>
      </c>
      <c r="D597">
        <v>0</v>
      </c>
      <c r="E597">
        <v>1</v>
      </c>
      <c r="F597">
        <v>0</v>
      </c>
      <c r="G597" t="b">
        <v>0</v>
      </c>
      <c r="H597">
        <v>5</v>
      </c>
      <c r="I597">
        <v>2</v>
      </c>
      <c r="J597">
        <v>0.2</v>
      </c>
    </row>
    <row r="598" spans="1:10">
      <c r="A598">
        <v>597</v>
      </c>
      <c r="B598" s="2">
        <v>40571</v>
      </c>
      <c r="C598">
        <v>1</v>
      </c>
      <c r="D598">
        <v>0</v>
      </c>
      <c r="E598">
        <v>1</v>
      </c>
      <c r="F598">
        <v>1</v>
      </c>
      <c r="G598" t="b">
        <v>0</v>
      </c>
      <c r="H598">
        <v>5</v>
      </c>
      <c r="I598">
        <v>2</v>
      </c>
      <c r="J598">
        <v>0.2</v>
      </c>
    </row>
    <row r="599" spans="1:10">
      <c r="A599">
        <v>598</v>
      </c>
      <c r="B599" s="2">
        <v>40571</v>
      </c>
      <c r="C599">
        <v>1</v>
      </c>
      <c r="D599">
        <v>0</v>
      </c>
      <c r="E599">
        <v>1</v>
      </c>
      <c r="F599">
        <v>2</v>
      </c>
      <c r="G599" t="b">
        <v>0</v>
      </c>
      <c r="H599">
        <v>5</v>
      </c>
      <c r="I599">
        <v>2</v>
      </c>
      <c r="J599">
        <v>0.2</v>
      </c>
    </row>
    <row r="600" spans="1:10">
      <c r="A600">
        <v>599</v>
      </c>
      <c r="B600" s="2">
        <v>40571</v>
      </c>
      <c r="C600">
        <v>1</v>
      </c>
      <c r="D600">
        <v>0</v>
      </c>
      <c r="E600">
        <v>1</v>
      </c>
      <c r="F600">
        <v>3</v>
      </c>
      <c r="G600" t="b">
        <v>0</v>
      </c>
      <c r="H600">
        <v>5</v>
      </c>
      <c r="I600">
        <v>2</v>
      </c>
      <c r="J600">
        <v>0.2</v>
      </c>
    </row>
    <row r="601" spans="1:10">
      <c r="A601">
        <v>600</v>
      </c>
      <c r="B601" s="2">
        <v>40571</v>
      </c>
      <c r="C601">
        <v>1</v>
      </c>
      <c r="D601">
        <v>0</v>
      </c>
      <c r="E601">
        <v>1</v>
      </c>
      <c r="F601">
        <v>5</v>
      </c>
      <c r="G601" t="b">
        <v>0</v>
      </c>
      <c r="H601">
        <v>5</v>
      </c>
      <c r="I601">
        <v>2</v>
      </c>
      <c r="J601">
        <v>0.18</v>
      </c>
    </row>
    <row r="602" spans="1:10">
      <c r="A602">
        <v>601</v>
      </c>
      <c r="B602" s="2">
        <v>40571</v>
      </c>
      <c r="C602">
        <v>1</v>
      </c>
      <c r="D602">
        <v>0</v>
      </c>
      <c r="E602">
        <v>1</v>
      </c>
      <c r="F602">
        <v>6</v>
      </c>
      <c r="G602" t="b">
        <v>0</v>
      </c>
      <c r="H602">
        <v>5</v>
      </c>
      <c r="I602">
        <v>2</v>
      </c>
      <c r="J602">
        <v>0.18</v>
      </c>
    </row>
    <row r="603" spans="1:10">
      <c r="A603">
        <v>602</v>
      </c>
      <c r="B603" s="2">
        <v>40571</v>
      </c>
      <c r="C603">
        <v>1</v>
      </c>
      <c r="D603">
        <v>0</v>
      </c>
      <c r="E603">
        <v>1</v>
      </c>
      <c r="F603">
        <v>7</v>
      </c>
      <c r="G603" t="b">
        <v>0</v>
      </c>
      <c r="H603">
        <v>5</v>
      </c>
      <c r="I603">
        <v>2</v>
      </c>
      <c r="J603">
        <v>0.16</v>
      </c>
    </row>
    <row r="604" spans="1:10">
      <c r="A604">
        <v>603</v>
      </c>
      <c r="B604" s="2">
        <v>40571</v>
      </c>
      <c r="C604">
        <v>1</v>
      </c>
      <c r="D604">
        <v>0</v>
      </c>
      <c r="E604">
        <v>1</v>
      </c>
      <c r="F604">
        <v>8</v>
      </c>
      <c r="G604" t="b">
        <v>0</v>
      </c>
      <c r="H604">
        <v>5</v>
      </c>
      <c r="I604">
        <v>2</v>
      </c>
      <c r="J604">
        <v>0.16</v>
      </c>
    </row>
    <row r="605" spans="1:10">
      <c r="A605">
        <v>604</v>
      </c>
      <c r="B605" s="2">
        <v>40571</v>
      </c>
      <c r="C605">
        <v>1</v>
      </c>
      <c r="D605">
        <v>0</v>
      </c>
      <c r="E605">
        <v>1</v>
      </c>
      <c r="F605">
        <v>9</v>
      </c>
      <c r="G605" t="b">
        <v>0</v>
      </c>
      <c r="H605">
        <v>5</v>
      </c>
      <c r="I605">
        <v>3</v>
      </c>
      <c r="J605">
        <v>0.18</v>
      </c>
    </row>
    <row r="606" spans="1:10">
      <c r="A606">
        <v>605</v>
      </c>
      <c r="B606" s="2">
        <v>40571</v>
      </c>
      <c r="C606">
        <v>1</v>
      </c>
      <c r="D606">
        <v>0</v>
      </c>
      <c r="E606">
        <v>1</v>
      </c>
      <c r="F606">
        <v>10</v>
      </c>
      <c r="G606" t="b">
        <v>0</v>
      </c>
      <c r="H606">
        <v>5</v>
      </c>
      <c r="I606">
        <v>3</v>
      </c>
      <c r="J606">
        <v>0.18</v>
      </c>
    </row>
    <row r="607" spans="1:10">
      <c r="A607">
        <v>606</v>
      </c>
      <c r="B607" s="2">
        <v>40571</v>
      </c>
      <c r="C607">
        <v>1</v>
      </c>
      <c r="D607">
        <v>0</v>
      </c>
      <c r="E607">
        <v>1</v>
      </c>
      <c r="F607">
        <v>11</v>
      </c>
      <c r="G607" t="b">
        <v>0</v>
      </c>
      <c r="H607">
        <v>5</v>
      </c>
      <c r="I607">
        <v>3</v>
      </c>
      <c r="J607">
        <v>0.18</v>
      </c>
    </row>
    <row r="608" spans="1:10">
      <c r="A608">
        <v>607</v>
      </c>
      <c r="B608" s="2">
        <v>40571</v>
      </c>
      <c r="C608">
        <v>1</v>
      </c>
      <c r="D608">
        <v>0</v>
      </c>
      <c r="E608">
        <v>1</v>
      </c>
      <c r="F608">
        <v>12</v>
      </c>
      <c r="G608" t="b">
        <v>0</v>
      </c>
      <c r="H608">
        <v>5</v>
      </c>
      <c r="I608">
        <v>3</v>
      </c>
      <c r="J608">
        <v>0.18</v>
      </c>
    </row>
    <row r="609" spans="1:10">
      <c r="A609">
        <v>608</v>
      </c>
      <c r="B609" s="2">
        <v>40571</v>
      </c>
      <c r="C609">
        <v>1</v>
      </c>
      <c r="D609">
        <v>0</v>
      </c>
      <c r="E609">
        <v>1</v>
      </c>
      <c r="F609">
        <v>13</v>
      </c>
      <c r="G609" t="b">
        <v>0</v>
      </c>
      <c r="H609">
        <v>5</v>
      </c>
      <c r="I609">
        <v>3</v>
      </c>
      <c r="J609">
        <v>0.18</v>
      </c>
    </row>
    <row r="610" spans="1:10">
      <c r="A610">
        <v>609</v>
      </c>
      <c r="B610" s="2">
        <v>40571</v>
      </c>
      <c r="C610">
        <v>1</v>
      </c>
      <c r="D610">
        <v>0</v>
      </c>
      <c r="E610">
        <v>1</v>
      </c>
      <c r="F610">
        <v>14</v>
      </c>
      <c r="G610" t="b">
        <v>0</v>
      </c>
      <c r="H610">
        <v>5</v>
      </c>
      <c r="I610">
        <v>3</v>
      </c>
      <c r="J610">
        <v>0.22</v>
      </c>
    </row>
    <row r="611" spans="1:10">
      <c r="A611">
        <v>610</v>
      </c>
      <c r="B611" s="2">
        <v>40571</v>
      </c>
      <c r="C611">
        <v>1</v>
      </c>
      <c r="D611">
        <v>0</v>
      </c>
      <c r="E611">
        <v>1</v>
      </c>
      <c r="F611">
        <v>15</v>
      </c>
      <c r="G611" t="b">
        <v>0</v>
      </c>
      <c r="H611">
        <v>5</v>
      </c>
      <c r="I611">
        <v>2</v>
      </c>
      <c r="J611">
        <v>0.2</v>
      </c>
    </row>
  </sheetData>
  <phoneticPr fontId="2"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C7D4DE-AA79-4494-AF1E-6A93D37C5AC0}">
  <dimension ref="A1:G611"/>
  <sheetViews>
    <sheetView workbookViewId="0">
      <selection activeCell="G441" sqref="G441"/>
    </sheetView>
  </sheetViews>
  <sheetFormatPr defaultRowHeight="14.6"/>
  <cols>
    <col min="1" max="1" width="8.84375" bestFit="1" customWidth="1"/>
    <col min="2" max="2" width="11.84375" bestFit="1" customWidth="1"/>
    <col min="3" max="3" width="6.84375" bestFit="1" customWidth="1"/>
    <col min="4" max="4" width="12.07421875" bestFit="1" customWidth="1"/>
    <col min="5" max="5" width="8.23046875" bestFit="1" customWidth="1"/>
    <col min="6" max="6" width="11.3828125" bestFit="1" customWidth="1"/>
    <col min="7" max="7" width="5.69140625" bestFit="1" customWidth="1"/>
  </cols>
  <sheetData>
    <row r="1" spans="1:7">
      <c r="A1" s="1" t="s">
        <v>0</v>
      </c>
      <c r="B1" s="1" t="s">
        <v>10</v>
      </c>
      <c r="C1" s="1" t="s">
        <v>11</v>
      </c>
      <c r="D1" s="1" t="s">
        <v>12</v>
      </c>
      <c r="E1" s="1" t="s">
        <v>13</v>
      </c>
      <c r="F1" s="1" t="s">
        <v>14</v>
      </c>
      <c r="G1" s="1" t="s">
        <v>15</v>
      </c>
    </row>
    <row r="2" spans="1:7">
      <c r="A2" s="1">
        <v>1</v>
      </c>
      <c r="B2" s="1">
        <v>0.28789999999999999</v>
      </c>
      <c r="C2" s="1">
        <v>0.81</v>
      </c>
      <c r="D2" s="1">
        <v>0</v>
      </c>
      <c r="E2" s="1">
        <v>3</v>
      </c>
      <c r="F2" s="1">
        <v>13</v>
      </c>
      <c r="G2" s="1">
        <v>16</v>
      </c>
    </row>
    <row r="3" spans="1:7">
      <c r="A3" s="1">
        <v>2</v>
      </c>
      <c r="B3" s="1">
        <v>0.2727</v>
      </c>
      <c r="C3" s="1">
        <v>0.8</v>
      </c>
      <c r="D3" s="1">
        <v>0</v>
      </c>
      <c r="E3" s="1">
        <v>8</v>
      </c>
      <c r="F3" s="1">
        <v>32</v>
      </c>
      <c r="G3" s="1">
        <v>40</v>
      </c>
    </row>
    <row r="4" spans="1:7">
      <c r="A4" s="1">
        <v>3</v>
      </c>
      <c r="B4" s="1">
        <v>0.2727</v>
      </c>
      <c r="C4" s="1">
        <v>0.8</v>
      </c>
      <c r="D4" s="1">
        <v>0</v>
      </c>
      <c r="E4" s="1">
        <v>5</v>
      </c>
      <c r="F4" s="1">
        <v>27</v>
      </c>
      <c r="G4" s="1">
        <v>32</v>
      </c>
    </row>
    <row r="5" spans="1:7">
      <c r="A5" s="1">
        <v>4</v>
      </c>
      <c r="B5" s="1">
        <v>0.28789999999999999</v>
      </c>
      <c r="C5" s="1">
        <v>0.75</v>
      </c>
      <c r="D5" s="1">
        <v>0</v>
      </c>
      <c r="E5" s="1">
        <v>3</v>
      </c>
      <c r="F5" s="1">
        <v>10</v>
      </c>
      <c r="G5" s="1">
        <v>13</v>
      </c>
    </row>
    <row r="6" spans="1:7">
      <c r="A6" s="1">
        <v>5</v>
      </c>
      <c r="B6" s="1">
        <v>0.28789999999999999</v>
      </c>
      <c r="C6" s="1">
        <v>0.75</v>
      </c>
      <c r="D6" s="1">
        <v>0</v>
      </c>
      <c r="E6" s="1">
        <v>0</v>
      </c>
      <c r="F6" s="1">
        <v>1</v>
      </c>
      <c r="G6" s="1">
        <v>1</v>
      </c>
    </row>
    <row r="7" spans="1:7">
      <c r="A7" s="1">
        <v>6</v>
      </c>
      <c r="B7" s="1">
        <v>0.2576</v>
      </c>
      <c r="C7" s="1">
        <v>0.75</v>
      </c>
      <c r="D7" s="1">
        <v>8.9599999999999999E-2</v>
      </c>
      <c r="E7" s="1">
        <v>0</v>
      </c>
      <c r="F7" s="1">
        <v>1</v>
      </c>
      <c r="G7" s="1">
        <v>1</v>
      </c>
    </row>
    <row r="8" spans="1:7">
      <c r="A8" s="1">
        <v>7</v>
      </c>
      <c r="B8" s="1">
        <v>0.2727</v>
      </c>
      <c r="C8" s="1">
        <v>0.8</v>
      </c>
      <c r="D8" s="1">
        <v>0</v>
      </c>
      <c r="E8" s="1">
        <v>2</v>
      </c>
      <c r="F8" s="1">
        <v>0</v>
      </c>
      <c r="G8" s="1">
        <v>2</v>
      </c>
    </row>
    <row r="9" spans="1:7">
      <c r="A9" s="1">
        <v>8</v>
      </c>
      <c r="B9" s="1">
        <v>0.2576</v>
      </c>
      <c r="C9" s="1">
        <v>0.86</v>
      </c>
      <c r="D9" s="1">
        <v>0</v>
      </c>
      <c r="E9" s="1">
        <v>1</v>
      </c>
      <c r="F9" s="1">
        <v>2</v>
      </c>
      <c r="G9" s="1">
        <v>3</v>
      </c>
    </row>
    <row r="10" spans="1:7">
      <c r="A10" s="1">
        <v>9</v>
      </c>
      <c r="B10" s="1">
        <v>0.19993489148580967</v>
      </c>
      <c r="C10" s="1">
        <v>0.75</v>
      </c>
      <c r="D10" s="1">
        <v>0</v>
      </c>
      <c r="E10" s="1">
        <v>1</v>
      </c>
      <c r="F10" s="1">
        <v>7</v>
      </c>
      <c r="G10" s="1">
        <v>8</v>
      </c>
    </row>
    <row r="11" spans="1:7">
      <c r="A11" s="1">
        <v>10</v>
      </c>
      <c r="B11" s="1">
        <v>0.34849999999999998</v>
      </c>
      <c r="C11" s="1">
        <v>0.76</v>
      </c>
      <c r="D11" s="1">
        <v>0</v>
      </c>
      <c r="E11" s="1">
        <v>8</v>
      </c>
      <c r="F11" s="1">
        <v>6</v>
      </c>
      <c r="G11" s="1">
        <v>14</v>
      </c>
    </row>
    <row r="12" spans="1:7">
      <c r="A12" s="1">
        <v>11</v>
      </c>
      <c r="B12" s="1">
        <v>0.39389999999999997</v>
      </c>
      <c r="C12" s="1">
        <v>0.76</v>
      </c>
      <c r="D12" s="1">
        <v>0.25369999999999998</v>
      </c>
      <c r="E12" s="1">
        <v>12</v>
      </c>
      <c r="F12" s="1">
        <v>24</v>
      </c>
      <c r="G12" s="1">
        <v>36</v>
      </c>
    </row>
    <row r="13" spans="1:7">
      <c r="A13" s="1">
        <v>12</v>
      </c>
      <c r="B13" s="1">
        <v>0.33329999999999999</v>
      </c>
      <c r="C13" s="1">
        <v>0.81</v>
      </c>
      <c r="D13" s="1">
        <v>0.28360000000000002</v>
      </c>
      <c r="E13" s="1">
        <v>26</v>
      </c>
      <c r="F13" s="1">
        <v>30</v>
      </c>
      <c r="G13" s="1">
        <v>56</v>
      </c>
    </row>
    <row r="14" spans="1:7">
      <c r="A14" s="1">
        <v>13</v>
      </c>
      <c r="B14" s="1">
        <v>0.42420000000000002</v>
      </c>
      <c r="C14" s="1">
        <v>0.77</v>
      </c>
      <c r="D14" s="1">
        <v>0.28360000000000002</v>
      </c>
      <c r="E14" s="1">
        <v>29</v>
      </c>
      <c r="F14" s="1">
        <v>55</v>
      </c>
      <c r="G14" s="1">
        <v>84</v>
      </c>
    </row>
    <row r="15" spans="1:7">
      <c r="A15" s="1">
        <v>14</v>
      </c>
      <c r="B15" s="1">
        <v>0.45450000000000002</v>
      </c>
      <c r="C15" s="1">
        <v>0.72</v>
      </c>
      <c r="D15" s="1">
        <v>0.29849999999999999</v>
      </c>
      <c r="E15" s="1">
        <v>47</v>
      </c>
      <c r="F15" s="1">
        <v>47</v>
      </c>
      <c r="G15" s="1">
        <v>94</v>
      </c>
    </row>
    <row r="16" spans="1:7">
      <c r="A16" s="1">
        <v>15</v>
      </c>
      <c r="B16" s="1">
        <v>0.45450000000000002</v>
      </c>
      <c r="C16" s="1">
        <v>0.72</v>
      </c>
      <c r="D16" s="1">
        <v>0.28360000000000002</v>
      </c>
      <c r="E16" s="1">
        <v>35</v>
      </c>
      <c r="F16" s="1">
        <v>71</v>
      </c>
      <c r="G16" s="1">
        <v>106</v>
      </c>
    </row>
    <row r="17" spans="1:7">
      <c r="A17" s="1">
        <v>16</v>
      </c>
      <c r="B17" s="1">
        <v>0.43940000000000001</v>
      </c>
      <c r="C17" s="1">
        <v>0.77</v>
      </c>
      <c r="D17" s="1">
        <v>0.29849999999999999</v>
      </c>
      <c r="E17" s="1">
        <v>40</v>
      </c>
      <c r="F17" s="1">
        <v>70</v>
      </c>
      <c r="G17" s="1">
        <v>110</v>
      </c>
    </row>
    <row r="18" spans="1:7">
      <c r="A18" s="1">
        <v>17</v>
      </c>
      <c r="B18" s="1">
        <v>0.42420000000000002</v>
      </c>
      <c r="C18" s="1">
        <v>0.82</v>
      </c>
      <c r="D18" s="1">
        <v>0.29849999999999999</v>
      </c>
      <c r="E18" s="1">
        <v>41</v>
      </c>
      <c r="F18" s="1">
        <v>52</v>
      </c>
      <c r="G18" s="1">
        <v>93</v>
      </c>
    </row>
    <row r="19" spans="1:7">
      <c r="A19" s="1">
        <v>18</v>
      </c>
      <c r="B19" s="1">
        <v>0.19993489148580967</v>
      </c>
      <c r="C19" s="1">
        <v>0.82</v>
      </c>
      <c r="D19" s="1">
        <v>0.28360000000000002</v>
      </c>
      <c r="E19" s="1">
        <v>15</v>
      </c>
      <c r="F19" s="1">
        <v>52</v>
      </c>
      <c r="G19" s="1">
        <v>67</v>
      </c>
    </row>
    <row r="20" spans="1:7">
      <c r="A20" s="1">
        <v>19</v>
      </c>
      <c r="B20" s="1">
        <v>0.42420000000000002</v>
      </c>
      <c r="C20" s="1">
        <v>0.88</v>
      </c>
      <c r="D20" s="1">
        <v>0.25369999999999998</v>
      </c>
      <c r="E20" s="1">
        <v>9</v>
      </c>
      <c r="F20" s="1">
        <v>26</v>
      </c>
      <c r="G20" s="1">
        <v>35</v>
      </c>
    </row>
    <row r="21" spans="1:7">
      <c r="A21" s="1">
        <v>20</v>
      </c>
      <c r="B21" s="1">
        <v>0.42420000000000002</v>
      </c>
      <c r="C21" s="1">
        <v>0.88</v>
      </c>
      <c r="D21" s="1">
        <v>0.25369999999999998</v>
      </c>
      <c r="E21" s="1">
        <v>6</v>
      </c>
      <c r="F21" s="1">
        <v>31</v>
      </c>
      <c r="G21" s="1">
        <v>37</v>
      </c>
    </row>
    <row r="22" spans="1:7">
      <c r="A22" s="1">
        <v>21</v>
      </c>
      <c r="B22" s="1">
        <v>0.40910000000000002</v>
      </c>
      <c r="C22" s="1">
        <v>0.87</v>
      </c>
      <c r="D22" s="1">
        <v>0.25369999999999998</v>
      </c>
      <c r="E22" s="1">
        <v>11</v>
      </c>
      <c r="F22" s="1">
        <v>25</v>
      </c>
      <c r="G22" s="1">
        <v>36</v>
      </c>
    </row>
    <row r="23" spans="1:7">
      <c r="A23" s="1">
        <v>22</v>
      </c>
      <c r="B23" s="1">
        <v>0.40910000000000002</v>
      </c>
      <c r="C23" s="1">
        <v>0.87</v>
      </c>
      <c r="D23" s="1">
        <v>0.19400000000000001</v>
      </c>
      <c r="E23" s="1">
        <v>3</v>
      </c>
      <c r="F23" s="1">
        <v>31</v>
      </c>
      <c r="G23" s="1">
        <v>34</v>
      </c>
    </row>
    <row r="24" spans="1:7">
      <c r="A24" s="1">
        <v>23</v>
      </c>
      <c r="B24" s="1">
        <v>0.40910000000000002</v>
      </c>
      <c r="C24" s="1">
        <v>0.94</v>
      </c>
      <c r="D24" s="1">
        <v>0.22389999999999999</v>
      </c>
      <c r="E24" s="1">
        <v>11</v>
      </c>
      <c r="F24" s="1">
        <v>17</v>
      </c>
      <c r="G24" s="1">
        <v>28</v>
      </c>
    </row>
    <row r="25" spans="1:7">
      <c r="A25" s="1">
        <v>24</v>
      </c>
      <c r="B25" s="1">
        <v>0.19993489148580967</v>
      </c>
      <c r="C25" s="1">
        <v>0.88</v>
      </c>
      <c r="D25" s="1">
        <v>0.29849999999999999</v>
      </c>
      <c r="E25" s="1">
        <v>15</v>
      </c>
      <c r="F25" s="1">
        <v>24</v>
      </c>
      <c r="G25" s="1">
        <v>39</v>
      </c>
    </row>
    <row r="26" spans="1:7">
      <c r="A26" s="1">
        <v>25</v>
      </c>
      <c r="B26" s="1">
        <v>0.45450000000000002</v>
      </c>
      <c r="C26" s="1">
        <v>0.88</v>
      </c>
      <c r="D26" s="1">
        <v>0.29849999999999999</v>
      </c>
      <c r="E26" s="1">
        <v>4</v>
      </c>
      <c r="F26" s="1">
        <v>13</v>
      </c>
      <c r="G26" s="1">
        <v>17</v>
      </c>
    </row>
    <row r="27" spans="1:7">
      <c r="A27" s="1">
        <v>26</v>
      </c>
      <c r="B27" s="1">
        <v>0.43940000000000001</v>
      </c>
      <c r="C27" s="1">
        <v>0.94</v>
      </c>
      <c r="D27" s="1">
        <v>0.25369999999999998</v>
      </c>
      <c r="E27" s="1">
        <v>1</v>
      </c>
      <c r="F27" s="1">
        <v>16</v>
      </c>
      <c r="G27" s="1">
        <v>17</v>
      </c>
    </row>
    <row r="28" spans="1:7">
      <c r="A28" s="1">
        <v>27</v>
      </c>
      <c r="B28" s="1">
        <v>0.42420000000000002</v>
      </c>
      <c r="C28" s="1">
        <v>1</v>
      </c>
      <c r="D28" s="1">
        <v>0.28360000000000002</v>
      </c>
      <c r="E28" s="1">
        <v>1</v>
      </c>
      <c r="F28" s="1">
        <v>8</v>
      </c>
      <c r="G28" s="1">
        <v>9</v>
      </c>
    </row>
    <row r="29" spans="1:7">
      <c r="A29">
        <v>28</v>
      </c>
      <c r="B29">
        <v>0.45450000000000002</v>
      </c>
      <c r="C29">
        <v>0.94</v>
      </c>
      <c r="D29">
        <v>0.19400000000000001</v>
      </c>
      <c r="E29">
        <v>2</v>
      </c>
      <c r="F29">
        <v>4</v>
      </c>
      <c r="G29">
        <v>6</v>
      </c>
    </row>
    <row r="30" spans="1:7">
      <c r="A30">
        <v>29</v>
      </c>
      <c r="B30">
        <v>0.19993489148580967</v>
      </c>
      <c r="C30">
        <v>0.94</v>
      </c>
      <c r="D30">
        <v>0.19400000000000001</v>
      </c>
      <c r="E30">
        <v>2</v>
      </c>
      <c r="F30">
        <v>1</v>
      </c>
      <c r="G30">
        <v>3</v>
      </c>
    </row>
    <row r="31" spans="1:7">
      <c r="A31">
        <v>30</v>
      </c>
      <c r="B31">
        <v>0.42420000000000002</v>
      </c>
      <c r="C31">
        <v>0.77</v>
      </c>
      <c r="D31">
        <v>0.29849999999999999</v>
      </c>
      <c r="E31">
        <v>0</v>
      </c>
      <c r="F31">
        <v>2</v>
      </c>
      <c r="G31">
        <v>2</v>
      </c>
    </row>
    <row r="32" spans="1:7">
      <c r="A32">
        <v>31</v>
      </c>
      <c r="B32">
        <v>0.40910000000000002</v>
      </c>
      <c r="C32">
        <v>0.76</v>
      </c>
      <c r="D32">
        <v>0.19400000000000001</v>
      </c>
      <c r="E32">
        <v>0</v>
      </c>
      <c r="F32">
        <v>1</v>
      </c>
      <c r="G32">
        <v>1</v>
      </c>
    </row>
    <row r="33" spans="1:7">
      <c r="A33">
        <v>32</v>
      </c>
      <c r="B33">
        <v>0.40910000000000002</v>
      </c>
      <c r="C33">
        <v>0.71</v>
      </c>
      <c r="D33">
        <v>0.22389999999999999</v>
      </c>
      <c r="E33">
        <v>0</v>
      </c>
      <c r="F33">
        <v>8</v>
      </c>
      <c r="G33">
        <v>8</v>
      </c>
    </row>
    <row r="34" spans="1:7">
      <c r="A34">
        <v>33</v>
      </c>
      <c r="B34">
        <v>0.19993489148580967</v>
      </c>
      <c r="C34">
        <v>0.76</v>
      </c>
      <c r="D34">
        <v>0.22389999999999999</v>
      </c>
      <c r="E34">
        <v>1</v>
      </c>
      <c r="F34">
        <v>19</v>
      </c>
      <c r="G34">
        <v>20</v>
      </c>
    </row>
    <row r="35" spans="1:7">
      <c r="A35">
        <v>34</v>
      </c>
      <c r="B35">
        <v>0.34849999999999998</v>
      </c>
      <c r="C35">
        <v>0.81</v>
      </c>
      <c r="D35">
        <v>0.22389999999999999</v>
      </c>
      <c r="E35">
        <v>7</v>
      </c>
      <c r="F35">
        <v>46</v>
      </c>
      <c r="G35">
        <v>53</v>
      </c>
    </row>
    <row r="36" spans="1:7">
      <c r="A36">
        <v>35</v>
      </c>
      <c r="B36">
        <v>0.33329999999999999</v>
      </c>
      <c r="C36">
        <v>0.71</v>
      </c>
      <c r="D36">
        <v>0.25369999999999998</v>
      </c>
      <c r="E36">
        <v>16</v>
      </c>
      <c r="F36">
        <v>54</v>
      </c>
      <c r="G36">
        <v>70</v>
      </c>
    </row>
    <row r="37" spans="1:7">
      <c r="A37">
        <v>36</v>
      </c>
      <c r="B37">
        <v>0.33329999999999999</v>
      </c>
      <c r="C37">
        <v>0.66</v>
      </c>
      <c r="D37">
        <v>0.29849999999999999</v>
      </c>
      <c r="E37">
        <v>20</v>
      </c>
      <c r="F37">
        <v>73</v>
      </c>
      <c r="G37">
        <v>93</v>
      </c>
    </row>
    <row r="38" spans="1:7">
      <c r="A38">
        <v>37</v>
      </c>
      <c r="B38">
        <v>0.34849999999999998</v>
      </c>
      <c r="C38">
        <v>0.66</v>
      </c>
      <c r="D38">
        <v>0.1343</v>
      </c>
      <c r="E38">
        <v>11</v>
      </c>
      <c r="F38">
        <v>64</v>
      </c>
      <c r="G38">
        <v>75</v>
      </c>
    </row>
    <row r="39" spans="1:7">
      <c r="A39">
        <v>38</v>
      </c>
      <c r="B39">
        <v>0.19993489148580967</v>
      </c>
      <c r="C39">
        <v>0.76</v>
      </c>
      <c r="D39">
        <v>0.19400000000000001</v>
      </c>
      <c r="E39">
        <v>4</v>
      </c>
      <c r="F39">
        <v>55</v>
      </c>
      <c r="G39">
        <v>59</v>
      </c>
    </row>
    <row r="40" spans="1:7">
      <c r="A40">
        <v>39</v>
      </c>
      <c r="B40">
        <v>0.33329999999999999</v>
      </c>
      <c r="C40">
        <v>0.81</v>
      </c>
      <c r="D40">
        <v>0.16420000000000001</v>
      </c>
      <c r="E40">
        <v>19</v>
      </c>
      <c r="F40">
        <v>55</v>
      </c>
      <c r="G40">
        <v>74</v>
      </c>
    </row>
    <row r="41" spans="1:7">
      <c r="A41">
        <v>40</v>
      </c>
      <c r="B41">
        <v>0.33329999999999999</v>
      </c>
      <c r="C41">
        <v>0.71</v>
      </c>
      <c r="D41">
        <v>0.16420000000000001</v>
      </c>
      <c r="E41">
        <v>9</v>
      </c>
      <c r="F41">
        <v>67</v>
      </c>
      <c r="G41">
        <v>76</v>
      </c>
    </row>
    <row r="42" spans="1:7">
      <c r="A42">
        <v>41</v>
      </c>
      <c r="B42">
        <v>0.33329999999999999</v>
      </c>
      <c r="C42">
        <v>0.56999999999999995</v>
      </c>
      <c r="D42">
        <v>0.19400000000000001</v>
      </c>
      <c r="E42">
        <v>7</v>
      </c>
      <c r="F42">
        <v>58</v>
      </c>
      <c r="G42">
        <v>65</v>
      </c>
    </row>
    <row r="43" spans="1:7">
      <c r="A43">
        <v>42</v>
      </c>
      <c r="B43">
        <v>0.33329999999999999</v>
      </c>
      <c r="C43">
        <v>0.46</v>
      </c>
      <c r="D43">
        <v>0.32840000000000003</v>
      </c>
      <c r="E43">
        <v>10</v>
      </c>
      <c r="F43">
        <v>43</v>
      </c>
      <c r="G43">
        <v>53</v>
      </c>
    </row>
    <row r="44" spans="1:7">
      <c r="A44">
        <v>43</v>
      </c>
      <c r="B44">
        <v>0.28789999999999999</v>
      </c>
      <c r="C44">
        <v>0.42</v>
      </c>
      <c r="D44">
        <v>0.44779999999999998</v>
      </c>
      <c r="E44">
        <v>1</v>
      </c>
      <c r="F44">
        <v>29</v>
      </c>
      <c r="G44">
        <v>30</v>
      </c>
    </row>
    <row r="45" spans="1:7">
      <c r="A45">
        <v>44</v>
      </c>
      <c r="B45">
        <v>0.19993489148580967</v>
      </c>
      <c r="C45">
        <v>0.39</v>
      </c>
      <c r="D45">
        <v>0.35820000000000002</v>
      </c>
      <c r="E45">
        <v>5</v>
      </c>
      <c r="F45">
        <v>17</v>
      </c>
      <c r="G45">
        <v>22</v>
      </c>
    </row>
    <row r="46" spans="1:7">
      <c r="A46">
        <v>45</v>
      </c>
      <c r="B46">
        <v>0.2273</v>
      </c>
      <c r="C46">
        <v>0.44</v>
      </c>
      <c r="D46">
        <v>0.32840000000000003</v>
      </c>
      <c r="E46">
        <v>11</v>
      </c>
      <c r="F46">
        <v>20</v>
      </c>
      <c r="G46">
        <v>31</v>
      </c>
    </row>
    <row r="47" spans="1:7">
      <c r="A47">
        <v>46</v>
      </c>
      <c r="B47">
        <v>0.21210000000000001</v>
      </c>
      <c r="C47">
        <v>0.44</v>
      </c>
      <c r="D47">
        <v>0.29849999999999999</v>
      </c>
      <c r="E47">
        <v>0</v>
      </c>
      <c r="F47">
        <v>9</v>
      </c>
      <c r="G47">
        <v>9</v>
      </c>
    </row>
    <row r="48" spans="1:7">
      <c r="A48">
        <v>47</v>
      </c>
      <c r="B48">
        <v>0.2273</v>
      </c>
      <c r="C48">
        <v>0.47</v>
      </c>
      <c r="D48">
        <v>0.16420000000000001</v>
      </c>
      <c r="E48">
        <v>0</v>
      </c>
      <c r="F48">
        <v>8</v>
      </c>
      <c r="G48">
        <v>8</v>
      </c>
    </row>
    <row r="49" spans="1:7">
      <c r="A49">
        <v>48</v>
      </c>
      <c r="B49">
        <v>0.19700000000000001</v>
      </c>
      <c r="C49">
        <v>0.44</v>
      </c>
      <c r="D49">
        <v>0.35820000000000002</v>
      </c>
      <c r="E49">
        <v>0</v>
      </c>
      <c r="F49">
        <v>5</v>
      </c>
      <c r="G49">
        <v>5</v>
      </c>
    </row>
    <row r="50" spans="1:7">
      <c r="A50">
        <v>49</v>
      </c>
      <c r="B50">
        <v>0.19993489148580967</v>
      </c>
      <c r="C50">
        <v>0.44</v>
      </c>
      <c r="D50">
        <v>0.41789999999999999</v>
      </c>
      <c r="E50">
        <v>0</v>
      </c>
      <c r="F50">
        <v>2</v>
      </c>
      <c r="G50">
        <v>2</v>
      </c>
    </row>
    <row r="51" spans="1:7">
      <c r="A51">
        <v>50</v>
      </c>
      <c r="B51">
        <v>0.13639999999999999</v>
      </c>
      <c r="C51">
        <v>0.47</v>
      </c>
      <c r="D51">
        <v>0.3881</v>
      </c>
      <c r="E51">
        <v>0</v>
      </c>
      <c r="F51">
        <v>1</v>
      </c>
      <c r="G51">
        <v>1</v>
      </c>
    </row>
    <row r="52" spans="1:7">
      <c r="A52">
        <v>51</v>
      </c>
      <c r="B52">
        <v>0.13639999999999999</v>
      </c>
      <c r="C52">
        <v>0.47</v>
      </c>
      <c r="D52">
        <v>0.28360000000000002</v>
      </c>
      <c r="E52">
        <v>0</v>
      </c>
      <c r="F52">
        <v>3</v>
      </c>
      <c r="G52">
        <v>3</v>
      </c>
    </row>
    <row r="53" spans="1:7">
      <c r="A53">
        <v>52</v>
      </c>
      <c r="B53">
        <v>0.1061</v>
      </c>
      <c r="C53">
        <v>0.5</v>
      </c>
      <c r="D53">
        <v>0.3881</v>
      </c>
      <c r="E53">
        <v>0</v>
      </c>
      <c r="F53">
        <v>30</v>
      </c>
      <c r="G53">
        <v>30</v>
      </c>
    </row>
    <row r="54" spans="1:7">
      <c r="A54">
        <v>53</v>
      </c>
      <c r="B54">
        <v>0.13639999999999999</v>
      </c>
      <c r="C54">
        <v>0.5</v>
      </c>
      <c r="D54">
        <v>0.19400000000000001</v>
      </c>
      <c r="E54">
        <v>1</v>
      </c>
      <c r="F54">
        <v>63</v>
      </c>
      <c r="G54">
        <v>64</v>
      </c>
    </row>
    <row r="55" spans="1:7">
      <c r="A55">
        <v>54</v>
      </c>
      <c r="B55">
        <v>0.1212</v>
      </c>
      <c r="C55">
        <v>0.5</v>
      </c>
      <c r="D55">
        <v>0.28360000000000002</v>
      </c>
      <c r="E55">
        <v>1</v>
      </c>
      <c r="F55">
        <v>153</v>
      </c>
      <c r="G55">
        <v>154</v>
      </c>
    </row>
    <row r="56" spans="1:7">
      <c r="A56">
        <v>55</v>
      </c>
      <c r="B56">
        <v>0.13639999999999999</v>
      </c>
      <c r="C56">
        <v>0.43</v>
      </c>
      <c r="D56">
        <v>0.3881</v>
      </c>
      <c r="E56">
        <v>7</v>
      </c>
      <c r="F56">
        <v>81</v>
      </c>
      <c r="G56">
        <v>88</v>
      </c>
    </row>
    <row r="57" spans="1:7">
      <c r="A57">
        <v>56</v>
      </c>
      <c r="B57">
        <v>0.16669999999999999</v>
      </c>
      <c r="C57">
        <v>0.43</v>
      </c>
      <c r="D57">
        <v>0.25369999999999998</v>
      </c>
      <c r="E57">
        <v>11</v>
      </c>
      <c r="F57">
        <v>33</v>
      </c>
      <c r="G57">
        <v>44</v>
      </c>
    </row>
    <row r="58" spans="1:7">
      <c r="A58">
        <v>57</v>
      </c>
      <c r="B58">
        <v>0.18179999999999999</v>
      </c>
      <c r="C58">
        <v>0.4</v>
      </c>
      <c r="D58">
        <v>0.32840000000000003</v>
      </c>
      <c r="E58">
        <v>10</v>
      </c>
      <c r="F58">
        <v>41</v>
      </c>
      <c r="G58">
        <v>51</v>
      </c>
    </row>
    <row r="59" spans="1:7">
      <c r="A59">
        <v>58</v>
      </c>
      <c r="B59">
        <v>0.21210000000000001</v>
      </c>
      <c r="C59">
        <v>0.35</v>
      </c>
      <c r="D59">
        <v>0.29849999999999999</v>
      </c>
      <c r="E59">
        <v>13</v>
      </c>
      <c r="F59">
        <v>48</v>
      </c>
      <c r="G59">
        <v>61</v>
      </c>
    </row>
    <row r="60" spans="1:7">
      <c r="A60">
        <v>59</v>
      </c>
      <c r="B60">
        <v>0.19993489148580967</v>
      </c>
      <c r="C60">
        <v>0.35</v>
      </c>
      <c r="D60">
        <v>0.28360000000000002</v>
      </c>
      <c r="E60">
        <v>8</v>
      </c>
      <c r="F60">
        <v>53</v>
      </c>
      <c r="G60">
        <v>61</v>
      </c>
    </row>
    <row r="61" spans="1:7">
      <c r="A61">
        <v>60</v>
      </c>
      <c r="B61">
        <v>0.2424</v>
      </c>
      <c r="C61">
        <v>0.3</v>
      </c>
      <c r="D61">
        <v>0.28360000000000002</v>
      </c>
      <c r="E61">
        <v>11</v>
      </c>
      <c r="F61">
        <v>66</v>
      </c>
      <c r="G61">
        <v>77</v>
      </c>
    </row>
    <row r="62" spans="1:7">
      <c r="A62">
        <v>61</v>
      </c>
      <c r="B62">
        <v>0.2424</v>
      </c>
      <c r="C62">
        <v>0.3</v>
      </c>
      <c r="D62">
        <v>0.25369999999999998</v>
      </c>
      <c r="E62">
        <v>14</v>
      </c>
      <c r="F62">
        <v>58</v>
      </c>
      <c r="G62">
        <v>72</v>
      </c>
    </row>
    <row r="63" spans="1:7">
      <c r="A63">
        <v>62</v>
      </c>
      <c r="B63">
        <v>0.2424</v>
      </c>
      <c r="C63">
        <v>0.3</v>
      </c>
      <c r="D63">
        <v>0.25369999999999998</v>
      </c>
      <c r="E63">
        <v>9</v>
      </c>
      <c r="F63">
        <v>67</v>
      </c>
      <c r="G63">
        <v>76</v>
      </c>
    </row>
    <row r="64" spans="1:7">
      <c r="A64">
        <v>63</v>
      </c>
      <c r="B64">
        <v>0.2273</v>
      </c>
      <c r="C64">
        <v>0.3</v>
      </c>
      <c r="D64">
        <v>0.22389999999999999</v>
      </c>
      <c r="E64">
        <v>11</v>
      </c>
      <c r="F64">
        <v>146</v>
      </c>
      <c r="G64">
        <v>157</v>
      </c>
    </row>
    <row r="65" spans="1:7">
      <c r="A65">
        <v>64</v>
      </c>
      <c r="B65">
        <v>0.2576</v>
      </c>
      <c r="C65">
        <v>0.32</v>
      </c>
      <c r="D65">
        <v>0.1045</v>
      </c>
      <c r="E65">
        <v>9</v>
      </c>
      <c r="F65">
        <v>148</v>
      </c>
      <c r="G65">
        <v>157</v>
      </c>
    </row>
    <row r="66" spans="1:7">
      <c r="A66">
        <v>65</v>
      </c>
      <c r="B66">
        <v>0.2576</v>
      </c>
      <c r="C66">
        <v>0.47</v>
      </c>
      <c r="D66">
        <v>0</v>
      </c>
      <c r="E66">
        <v>8</v>
      </c>
      <c r="F66">
        <v>102</v>
      </c>
      <c r="G66">
        <v>110</v>
      </c>
    </row>
    <row r="67" spans="1:7">
      <c r="A67">
        <v>66</v>
      </c>
      <c r="B67">
        <v>0.19993489148580967</v>
      </c>
      <c r="C67">
        <v>0.47</v>
      </c>
      <c r="D67">
        <v>0.1045</v>
      </c>
      <c r="E67">
        <v>3</v>
      </c>
      <c r="F67">
        <v>49</v>
      </c>
      <c r="G67">
        <v>52</v>
      </c>
    </row>
    <row r="68" spans="1:7">
      <c r="A68">
        <v>67</v>
      </c>
      <c r="B68">
        <v>0.19700000000000001</v>
      </c>
      <c r="C68">
        <v>0.64</v>
      </c>
      <c r="D68">
        <v>0.1343</v>
      </c>
      <c r="E68">
        <v>3</v>
      </c>
      <c r="F68">
        <v>49</v>
      </c>
      <c r="G68">
        <v>52</v>
      </c>
    </row>
    <row r="69" spans="1:7">
      <c r="A69">
        <v>68</v>
      </c>
      <c r="B69">
        <v>0.1515</v>
      </c>
      <c r="C69">
        <v>0.69</v>
      </c>
      <c r="D69">
        <v>0.1343</v>
      </c>
      <c r="E69">
        <v>0</v>
      </c>
      <c r="F69">
        <v>20</v>
      </c>
      <c r="G69">
        <v>20</v>
      </c>
    </row>
    <row r="70" spans="1:7">
      <c r="A70">
        <v>69</v>
      </c>
      <c r="B70">
        <v>0.21210000000000001</v>
      </c>
      <c r="C70">
        <v>0.55000000000000004</v>
      </c>
      <c r="D70">
        <v>0.1045</v>
      </c>
      <c r="E70">
        <v>1</v>
      </c>
      <c r="F70">
        <v>11</v>
      </c>
      <c r="G70">
        <v>12</v>
      </c>
    </row>
    <row r="71" spans="1:7">
      <c r="A71">
        <v>70</v>
      </c>
      <c r="B71">
        <v>0.19993489148580967</v>
      </c>
      <c r="C71">
        <v>0.55000000000000004</v>
      </c>
      <c r="D71">
        <v>0.1045</v>
      </c>
      <c r="E71">
        <v>0</v>
      </c>
      <c r="F71">
        <v>5</v>
      </c>
      <c r="G71">
        <v>5</v>
      </c>
    </row>
    <row r="72" spans="1:7">
      <c r="A72">
        <v>71</v>
      </c>
      <c r="B72">
        <v>0.18179999999999999</v>
      </c>
      <c r="C72">
        <v>0.59</v>
      </c>
      <c r="D72">
        <v>0.1045</v>
      </c>
      <c r="E72">
        <v>0</v>
      </c>
      <c r="F72">
        <v>2</v>
      </c>
      <c r="G72">
        <v>2</v>
      </c>
    </row>
    <row r="73" spans="1:7">
      <c r="A73">
        <v>72</v>
      </c>
      <c r="B73">
        <v>0.1515</v>
      </c>
      <c r="C73">
        <v>0.63</v>
      </c>
      <c r="D73">
        <v>0.1343</v>
      </c>
      <c r="E73">
        <v>0</v>
      </c>
      <c r="F73">
        <v>1</v>
      </c>
      <c r="G73">
        <v>1</v>
      </c>
    </row>
    <row r="74" spans="1:7">
      <c r="A74">
        <v>73</v>
      </c>
      <c r="B74">
        <v>0.18179999999999999</v>
      </c>
      <c r="C74">
        <v>0.63</v>
      </c>
      <c r="D74">
        <v>8.9599999999999999E-2</v>
      </c>
      <c r="E74">
        <v>0</v>
      </c>
      <c r="F74">
        <v>2</v>
      </c>
      <c r="G74">
        <v>2</v>
      </c>
    </row>
    <row r="75" spans="1:7">
      <c r="A75">
        <v>74</v>
      </c>
      <c r="B75">
        <v>0.1515</v>
      </c>
      <c r="C75">
        <v>0.68</v>
      </c>
      <c r="D75">
        <v>0.1045</v>
      </c>
      <c r="E75">
        <v>0</v>
      </c>
      <c r="F75">
        <v>4</v>
      </c>
      <c r="G75">
        <v>4</v>
      </c>
    </row>
    <row r="76" spans="1:7">
      <c r="A76">
        <v>75</v>
      </c>
      <c r="B76">
        <v>0.1515</v>
      </c>
      <c r="C76">
        <v>0.74</v>
      </c>
      <c r="D76">
        <v>0.1045</v>
      </c>
      <c r="E76">
        <v>0</v>
      </c>
      <c r="F76">
        <v>36</v>
      </c>
      <c r="G76">
        <v>36</v>
      </c>
    </row>
    <row r="77" spans="1:7">
      <c r="A77">
        <v>76</v>
      </c>
      <c r="B77">
        <v>0.1515</v>
      </c>
      <c r="C77">
        <v>0.74</v>
      </c>
      <c r="D77">
        <v>0.1343</v>
      </c>
      <c r="E77">
        <v>2</v>
      </c>
      <c r="F77">
        <v>92</v>
      </c>
      <c r="G77">
        <v>94</v>
      </c>
    </row>
    <row r="78" spans="1:7">
      <c r="A78">
        <v>77</v>
      </c>
      <c r="B78">
        <v>0.1515</v>
      </c>
      <c r="C78">
        <v>0.69</v>
      </c>
      <c r="D78">
        <v>0.16420000000000001</v>
      </c>
      <c r="E78">
        <v>2</v>
      </c>
      <c r="F78">
        <v>177</v>
      </c>
      <c r="G78">
        <v>179</v>
      </c>
    </row>
    <row r="79" spans="1:7">
      <c r="A79">
        <v>78</v>
      </c>
      <c r="B79">
        <v>0.1515</v>
      </c>
      <c r="C79">
        <v>0.64</v>
      </c>
      <c r="D79">
        <v>0.22389999999999999</v>
      </c>
      <c r="E79">
        <v>2</v>
      </c>
      <c r="F79">
        <v>98</v>
      </c>
      <c r="G79">
        <v>100</v>
      </c>
    </row>
    <row r="80" spans="1:7">
      <c r="A80">
        <v>79</v>
      </c>
      <c r="B80">
        <v>0.13639999999999999</v>
      </c>
      <c r="C80">
        <v>0.69</v>
      </c>
      <c r="D80">
        <v>0.32840000000000003</v>
      </c>
      <c r="E80">
        <v>5</v>
      </c>
      <c r="F80">
        <v>37</v>
      </c>
      <c r="G80">
        <v>42</v>
      </c>
    </row>
    <row r="81" spans="1:7">
      <c r="A81">
        <v>80</v>
      </c>
      <c r="B81">
        <v>0.21210000000000001</v>
      </c>
      <c r="C81">
        <v>0.51</v>
      </c>
      <c r="D81">
        <v>0.29849999999999999</v>
      </c>
      <c r="E81">
        <v>7</v>
      </c>
      <c r="F81">
        <v>50</v>
      </c>
      <c r="G81">
        <v>57</v>
      </c>
    </row>
    <row r="82" spans="1:7">
      <c r="A82">
        <v>81</v>
      </c>
      <c r="B82">
        <v>0.2273</v>
      </c>
      <c r="C82">
        <v>0.51</v>
      </c>
      <c r="D82">
        <v>0.16420000000000001</v>
      </c>
      <c r="E82">
        <v>12</v>
      </c>
      <c r="F82">
        <v>66</v>
      </c>
      <c r="G82">
        <v>78</v>
      </c>
    </row>
    <row r="83" spans="1:7">
      <c r="A83">
        <v>82</v>
      </c>
      <c r="B83">
        <v>0.2273</v>
      </c>
      <c r="C83">
        <v>0.56000000000000005</v>
      </c>
      <c r="D83">
        <v>0.19400000000000001</v>
      </c>
      <c r="E83">
        <v>18</v>
      </c>
      <c r="F83">
        <v>79</v>
      </c>
      <c r="G83">
        <v>97</v>
      </c>
    </row>
    <row r="84" spans="1:7">
      <c r="A84">
        <v>83</v>
      </c>
      <c r="B84">
        <v>0.2576</v>
      </c>
      <c r="C84">
        <v>0.52</v>
      </c>
      <c r="D84">
        <v>0.22389999999999999</v>
      </c>
      <c r="E84">
        <v>9</v>
      </c>
      <c r="F84">
        <v>54</v>
      </c>
      <c r="G84">
        <v>63</v>
      </c>
    </row>
    <row r="85" spans="1:7">
      <c r="A85">
        <v>84</v>
      </c>
      <c r="B85">
        <v>0.2727</v>
      </c>
      <c r="C85">
        <v>0.52</v>
      </c>
      <c r="D85">
        <v>0.25369999999999998</v>
      </c>
      <c r="E85">
        <v>17</v>
      </c>
      <c r="F85">
        <v>48</v>
      </c>
      <c r="G85">
        <v>65</v>
      </c>
    </row>
    <row r="86" spans="1:7">
      <c r="A86">
        <v>85</v>
      </c>
      <c r="B86">
        <v>0.28789999999999999</v>
      </c>
      <c r="C86">
        <v>0.49</v>
      </c>
      <c r="D86">
        <v>0.25369999999999998</v>
      </c>
      <c r="E86">
        <v>15</v>
      </c>
      <c r="F86">
        <v>68</v>
      </c>
      <c r="G86">
        <v>83</v>
      </c>
    </row>
    <row r="87" spans="1:7">
      <c r="A87">
        <v>86</v>
      </c>
      <c r="B87">
        <v>0.2727</v>
      </c>
      <c r="C87">
        <v>0.48</v>
      </c>
      <c r="D87">
        <v>0.22389999999999999</v>
      </c>
      <c r="E87">
        <v>10</v>
      </c>
      <c r="F87">
        <v>202</v>
      </c>
      <c r="G87">
        <v>212</v>
      </c>
    </row>
    <row r="88" spans="1:7">
      <c r="A88">
        <v>87</v>
      </c>
      <c r="B88">
        <v>0.2576</v>
      </c>
      <c r="C88">
        <v>0.48</v>
      </c>
      <c r="D88">
        <v>0.19400000000000001</v>
      </c>
      <c r="E88">
        <v>3</v>
      </c>
      <c r="F88">
        <v>179</v>
      </c>
      <c r="G88">
        <v>182</v>
      </c>
    </row>
    <row r="89" spans="1:7">
      <c r="A89">
        <v>88</v>
      </c>
      <c r="B89">
        <v>0.2576</v>
      </c>
      <c r="C89">
        <v>0.48</v>
      </c>
      <c r="D89">
        <v>0.1045</v>
      </c>
      <c r="E89">
        <v>2</v>
      </c>
      <c r="F89">
        <v>110</v>
      </c>
      <c r="G89">
        <v>112</v>
      </c>
    </row>
    <row r="90" spans="1:7">
      <c r="A90">
        <v>89</v>
      </c>
      <c r="B90">
        <v>0.2576</v>
      </c>
      <c r="C90">
        <v>0.48</v>
      </c>
      <c r="D90">
        <v>0.1045</v>
      </c>
      <c r="E90">
        <v>1</v>
      </c>
      <c r="F90">
        <v>53</v>
      </c>
      <c r="G90">
        <v>54</v>
      </c>
    </row>
    <row r="91" spans="1:7">
      <c r="A91">
        <v>90</v>
      </c>
      <c r="B91">
        <v>0.2727</v>
      </c>
      <c r="C91">
        <v>0.64</v>
      </c>
      <c r="D91">
        <v>0</v>
      </c>
      <c r="E91">
        <v>0</v>
      </c>
      <c r="F91">
        <v>48</v>
      </c>
      <c r="G91">
        <v>48</v>
      </c>
    </row>
    <row r="92" spans="1:7">
      <c r="A92">
        <v>91</v>
      </c>
      <c r="B92">
        <v>0.2576</v>
      </c>
      <c r="C92">
        <v>0.64</v>
      </c>
      <c r="D92">
        <v>8.9599999999999999E-2</v>
      </c>
      <c r="E92">
        <v>1</v>
      </c>
      <c r="F92">
        <v>34</v>
      </c>
      <c r="G92">
        <v>35</v>
      </c>
    </row>
    <row r="93" spans="1:7">
      <c r="A93">
        <v>92</v>
      </c>
      <c r="B93">
        <v>0.2273</v>
      </c>
      <c r="C93">
        <v>0.69</v>
      </c>
      <c r="D93">
        <v>8.9599999999999999E-2</v>
      </c>
      <c r="E93">
        <v>2</v>
      </c>
      <c r="F93">
        <v>9</v>
      </c>
      <c r="G93">
        <v>11</v>
      </c>
    </row>
    <row r="94" spans="1:7">
      <c r="A94">
        <v>93</v>
      </c>
      <c r="B94">
        <v>0.2576</v>
      </c>
      <c r="C94">
        <v>0.64</v>
      </c>
      <c r="D94">
        <v>0</v>
      </c>
      <c r="E94">
        <v>0</v>
      </c>
      <c r="F94">
        <v>6</v>
      </c>
      <c r="G94">
        <v>6</v>
      </c>
    </row>
    <row r="95" spans="1:7">
      <c r="A95">
        <v>94</v>
      </c>
      <c r="B95">
        <v>0.19700000000000001</v>
      </c>
      <c r="C95">
        <v>0.74</v>
      </c>
      <c r="D95">
        <v>8.9599999999999999E-2</v>
      </c>
      <c r="E95">
        <v>0</v>
      </c>
      <c r="F95">
        <v>6</v>
      </c>
      <c r="G95">
        <v>6</v>
      </c>
    </row>
    <row r="96" spans="1:7">
      <c r="A96">
        <v>95</v>
      </c>
      <c r="B96">
        <v>0.19700000000000001</v>
      </c>
      <c r="C96">
        <v>0.74</v>
      </c>
      <c r="D96">
        <v>8.9599999999999999E-2</v>
      </c>
      <c r="E96">
        <v>0</v>
      </c>
      <c r="F96">
        <v>2</v>
      </c>
      <c r="G96">
        <v>2</v>
      </c>
    </row>
    <row r="97" spans="1:7">
      <c r="A97">
        <v>96</v>
      </c>
      <c r="B97">
        <v>0.2273</v>
      </c>
      <c r="C97">
        <v>0.48</v>
      </c>
      <c r="D97">
        <v>0.22389999999999999</v>
      </c>
      <c r="E97">
        <v>0</v>
      </c>
      <c r="F97">
        <v>2</v>
      </c>
      <c r="G97">
        <v>2</v>
      </c>
    </row>
    <row r="98" spans="1:7">
      <c r="A98">
        <v>97</v>
      </c>
      <c r="B98">
        <v>0.2273</v>
      </c>
      <c r="C98">
        <v>0.47</v>
      </c>
      <c r="D98">
        <v>0.16420000000000001</v>
      </c>
      <c r="E98">
        <v>0</v>
      </c>
      <c r="F98">
        <v>3</v>
      </c>
      <c r="G98">
        <v>3</v>
      </c>
    </row>
    <row r="99" spans="1:7">
      <c r="A99">
        <v>98</v>
      </c>
      <c r="B99">
        <v>0.19700000000000001</v>
      </c>
      <c r="C99">
        <v>0.47</v>
      </c>
      <c r="D99">
        <v>0.22389999999999999</v>
      </c>
      <c r="E99">
        <v>0</v>
      </c>
      <c r="F99">
        <v>33</v>
      </c>
      <c r="G99">
        <v>33</v>
      </c>
    </row>
    <row r="100" spans="1:7">
      <c r="A100">
        <v>99</v>
      </c>
      <c r="B100">
        <v>0.18179999999999999</v>
      </c>
      <c r="C100">
        <v>0.43</v>
      </c>
      <c r="D100">
        <v>0.19400000000000001</v>
      </c>
      <c r="E100">
        <v>1</v>
      </c>
      <c r="F100">
        <v>87</v>
      </c>
      <c r="G100">
        <v>88</v>
      </c>
    </row>
    <row r="101" spans="1:7">
      <c r="A101">
        <v>100</v>
      </c>
      <c r="B101">
        <v>0.18179999999999999</v>
      </c>
      <c r="C101">
        <v>0.4</v>
      </c>
      <c r="D101">
        <v>0.29849999999999999</v>
      </c>
      <c r="E101">
        <v>3</v>
      </c>
      <c r="F101">
        <v>192</v>
      </c>
      <c r="G101">
        <v>195</v>
      </c>
    </row>
    <row r="102" spans="1:7">
      <c r="A102">
        <v>101</v>
      </c>
      <c r="B102">
        <v>0.19700000000000001</v>
      </c>
      <c r="C102">
        <v>0.37</v>
      </c>
      <c r="D102">
        <v>0.32840000000000003</v>
      </c>
      <c r="E102">
        <v>6</v>
      </c>
      <c r="F102">
        <v>109</v>
      </c>
      <c r="G102">
        <v>115</v>
      </c>
    </row>
    <row r="103" spans="1:7">
      <c r="A103">
        <v>102</v>
      </c>
      <c r="B103">
        <v>0.19700000000000001</v>
      </c>
      <c r="C103">
        <v>0.37</v>
      </c>
      <c r="D103">
        <v>0.32840000000000003</v>
      </c>
      <c r="E103">
        <v>4</v>
      </c>
      <c r="F103">
        <v>53</v>
      </c>
      <c r="G103">
        <v>57</v>
      </c>
    </row>
    <row r="104" spans="1:7">
      <c r="A104">
        <v>103</v>
      </c>
      <c r="B104">
        <v>0.2273</v>
      </c>
      <c r="C104">
        <v>0.33</v>
      </c>
      <c r="D104">
        <v>0.32840000000000003</v>
      </c>
      <c r="E104">
        <v>12</v>
      </c>
      <c r="F104">
        <v>34</v>
      </c>
      <c r="G104">
        <v>46</v>
      </c>
    </row>
    <row r="105" spans="1:7">
      <c r="A105">
        <v>104</v>
      </c>
      <c r="B105">
        <v>0.2273</v>
      </c>
      <c r="C105">
        <v>0.33</v>
      </c>
      <c r="D105">
        <v>0.32840000000000003</v>
      </c>
      <c r="E105">
        <v>5</v>
      </c>
      <c r="F105">
        <v>74</v>
      </c>
      <c r="G105">
        <v>79</v>
      </c>
    </row>
    <row r="106" spans="1:7">
      <c r="A106">
        <v>105</v>
      </c>
      <c r="B106">
        <v>0.2576</v>
      </c>
      <c r="C106">
        <v>0.3</v>
      </c>
      <c r="D106">
        <v>0.29849999999999999</v>
      </c>
      <c r="E106">
        <v>6</v>
      </c>
      <c r="F106">
        <v>65</v>
      </c>
      <c r="G106">
        <v>71</v>
      </c>
    </row>
    <row r="107" spans="1:7">
      <c r="A107">
        <v>106</v>
      </c>
      <c r="B107">
        <v>0.28789999999999999</v>
      </c>
      <c r="C107">
        <v>0.28000000000000003</v>
      </c>
      <c r="D107">
        <v>0.19400000000000001</v>
      </c>
      <c r="E107">
        <v>10</v>
      </c>
      <c r="F107">
        <v>52</v>
      </c>
      <c r="G107">
        <v>62</v>
      </c>
    </row>
    <row r="108" spans="1:7">
      <c r="A108">
        <v>107</v>
      </c>
      <c r="B108">
        <v>0.28789999999999999</v>
      </c>
      <c r="C108">
        <v>0.28000000000000003</v>
      </c>
      <c r="D108">
        <v>0.19400000000000001</v>
      </c>
      <c r="E108">
        <v>7</v>
      </c>
      <c r="F108">
        <v>55</v>
      </c>
      <c r="G108">
        <v>62</v>
      </c>
    </row>
    <row r="109" spans="1:7">
      <c r="A109">
        <v>108</v>
      </c>
      <c r="B109">
        <v>0.31819999999999998</v>
      </c>
      <c r="C109">
        <v>0.28000000000000003</v>
      </c>
      <c r="D109">
        <v>8.9599999999999999E-2</v>
      </c>
      <c r="E109">
        <v>4</v>
      </c>
      <c r="F109">
        <v>85</v>
      </c>
      <c r="G109">
        <v>89</v>
      </c>
    </row>
    <row r="110" spans="1:7">
      <c r="A110">
        <v>109</v>
      </c>
      <c r="B110">
        <v>0.2273</v>
      </c>
      <c r="C110">
        <v>0.38</v>
      </c>
      <c r="D110">
        <v>0.19400000000000001</v>
      </c>
      <c r="E110">
        <v>4</v>
      </c>
      <c r="F110">
        <v>186</v>
      </c>
      <c r="G110">
        <v>190</v>
      </c>
    </row>
    <row r="111" spans="1:7">
      <c r="A111">
        <v>110</v>
      </c>
      <c r="B111">
        <v>0.2424</v>
      </c>
      <c r="C111">
        <v>0.38</v>
      </c>
      <c r="D111">
        <v>0.1343</v>
      </c>
      <c r="E111">
        <v>3</v>
      </c>
      <c r="F111">
        <v>166</v>
      </c>
      <c r="G111">
        <v>169</v>
      </c>
    </row>
    <row r="112" spans="1:7">
      <c r="A112">
        <v>111</v>
      </c>
      <c r="B112">
        <v>0.2576</v>
      </c>
      <c r="C112">
        <v>0.38</v>
      </c>
      <c r="D112">
        <v>0.1045</v>
      </c>
      <c r="E112">
        <v>5</v>
      </c>
      <c r="F112">
        <v>127</v>
      </c>
      <c r="G112">
        <v>132</v>
      </c>
    </row>
    <row r="113" spans="1:7">
      <c r="A113">
        <v>112</v>
      </c>
      <c r="B113">
        <v>0.2273</v>
      </c>
      <c r="C113">
        <v>0.47</v>
      </c>
      <c r="D113">
        <v>0.16420000000000001</v>
      </c>
      <c r="E113">
        <v>7</v>
      </c>
      <c r="F113">
        <v>82</v>
      </c>
      <c r="G113">
        <v>89</v>
      </c>
    </row>
    <row r="114" spans="1:7">
      <c r="A114">
        <v>113</v>
      </c>
      <c r="B114">
        <v>0.19700000000000001</v>
      </c>
      <c r="C114">
        <v>0.51</v>
      </c>
      <c r="D114">
        <v>0.19400000000000001</v>
      </c>
      <c r="E114">
        <v>3</v>
      </c>
      <c r="F114">
        <v>40</v>
      </c>
      <c r="G114">
        <v>43</v>
      </c>
    </row>
    <row r="115" spans="1:7">
      <c r="A115">
        <v>114</v>
      </c>
      <c r="B115">
        <v>0.19700000000000001</v>
      </c>
      <c r="C115">
        <v>0.55000000000000004</v>
      </c>
      <c r="D115">
        <v>0.1343</v>
      </c>
      <c r="E115">
        <v>1</v>
      </c>
      <c r="F115">
        <v>41</v>
      </c>
      <c r="G115">
        <v>42</v>
      </c>
    </row>
    <row r="116" spans="1:7">
      <c r="A116">
        <v>115</v>
      </c>
      <c r="B116">
        <v>0.2576</v>
      </c>
      <c r="C116">
        <v>0.47</v>
      </c>
      <c r="D116">
        <v>0</v>
      </c>
      <c r="E116">
        <v>1</v>
      </c>
      <c r="F116">
        <v>18</v>
      </c>
      <c r="G116">
        <v>19</v>
      </c>
    </row>
    <row r="117" spans="1:7">
      <c r="A117">
        <v>116</v>
      </c>
      <c r="B117">
        <v>0.2424</v>
      </c>
      <c r="C117">
        <v>0.55000000000000004</v>
      </c>
      <c r="D117">
        <v>0</v>
      </c>
      <c r="E117">
        <v>0</v>
      </c>
      <c r="F117">
        <v>11</v>
      </c>
      <c r="G117">
        <v>11</v>
      </c>
    </row>
    <row r="118" spans="1:7">
      <c r="A118">
        <v>117</v>
      </c>
      <c r="B118">
        <v>0.2273</v>
      </c>
      <c r="C118">
        <v>0.64</v>
      </c>
      <c r="D118">
        <v>0</v>
      </c>
      <c r="E118">
        <v>0</v>
      </c>
      <c r="F118">
        <v>4</v>
      </c>
      <c r="G118">
        <v>4</v>
      </c>
    </row>
    <row r="119" spans="1:7">
      <c r="A119">
        <v>118</v>
      </c>
      <c r="B119">
        <v>0.2273</v>
      </c>
      <c r="C119">
        <v>0.64</v>
      </c>
      <c r="D119">
        <v>0</v>
      </c>
      <c r="E119">
        <v>0</v>
      </c>
      <c r="F119">
        <v>2</v>
      </c>
      <c r="G119">
        <v>2</v>
      </c>
    </row>
    <row r="120" spans="1:7">
      <c r="A120">
        <v>119</v>
      </c>
      <c r="B120">
        <v>0.19700000000000001</v>
      </c>
      <c r="C120">
        <v>0.64</v>
      </c>
      <c r="D120">
        <v>8.9599999999999999E-2</v>
      </c>
      <c r="E120">
        <v>0</v>
      </c>
      <c r="F120">
        <v>1</v>
      </c>
      <c r="G120">
        <v>1</v>
      </c>
    </row>
    <row r="121" spans="1:7">
      <c r="A121">
        <v>120</v>
      </c>
      <c r="B121">
        <v>0.18179999999999999</v>
      </c>
      <c r="C121">
        <v>0.69</v>
      </c>
      <c r="D121">
        <v>8.9599999999999999E-2</v>
      </c>
      <c r="E121">
        <v>0</v>
      </c>
      <c r="F121">
        <v>4</v>
      </c>
      <c r="G121">
        <v>4</v>
      </c>
    </row>
    <row r="122" spans="1:7">
      <c r="A122">
        <v>121</v>
      </c>
      <c r="B122">
        <v>0.16669999999999999</v>
      </c>
      <c r="C122">
        <v>0.63</v>
      </c>
      <c r="D122">
        <v>0.1045</v>
      </c>
      <c r="E122">
        <v>0</v>
      </c>
      <c r="F122">
        <v>36</v>
      </c>
      <c r="G122">
        <v>36</v>
      </c>
    </row>
    <row r="123" spans="1:7">
      <c r="A123">
        <v>122</v>
      </c>
      <c r="B123">
        <v>0.2273</v>
      </c>
      <c r="C123">
        <v>0.59</v>
      </c>
      <c r="D123">
        <v>0</v>
      </c>
      <c r="E123">
        <v>0</v>
      </c>
      <c r="F123">
        <v>95</v>
      </c>
      <c r="G123">
        <v>95</v>
      </c>
    </row>
    <row r="124" spans="1:7">
      <c r="A124">
        <v>123</v>
      </c>
      <c r="B124">
        <v>0.2273</v>
      </c>
      <c r="C124">
        <v>0.59</v>
      </c>
      <c r="D124">
        <v>0</v>
      </c>
      <c r="E124">
        <v>3</v>
      </c>
      <c r="F124">
        <v>216</v>
      </c>
      <c r="G124">
        <v>219</v>
      </c>
    </row>
    <row r="125" spans="1:7">
      <c r="A125">
        <v>124</v>
      </c>
      <c r="B125">
        <v>0.2424</v>
      </c>
      <c r="C125">
        <v>0.51</v>
      </c>
      <c r="D125">
        <v>0</v>
      </c>
      <c r="E125">
        <v>6</v>
      </c>
      <c r="F125">
        <v>116</v>
      </c>
      <c r="G125">
        <v>122</v>
      </c>
    </row>
    <row r="126" spans="1:7">
      <c r="A126">
        <v>125</v>
      </c>
      <c r="B126">
        <v>0.2576</v>
      </c>
      <c r="C126">
        <v>0.47</v>
      </c>
      <c r="D126">
        <v>0</v>
      </c>
      <c r="E126">
        <v>3</v>
      </c>
      <c r="F126">
        <v>42</v>
      </c>
      <c r="G126">
        <v>45</v>
      </c>
    </row>
    <row r="127" spans="1:7">
      <c r="A127">
        <v>126</v>
      </c>
      <c r="B127">
        <v>0.2576</v>
      </c>
      <c r="C127">
        <v>0.44</v>
      </c>
      <c r="D127">
        <v>8.9599999999999999E-2</v>
      </c>
      <c r="E127">
        <v>2</v>
      </c>
      <c r="F127">
        <v>57</v>
      </c>
      <c r="G127">
        <v>59</v>
      </c>
    </row>
    <row r="128" spans="1:7">
      <c r="A128">
        <v>127</v>
      </c>
      <c r="B128">
        <v>0.28789999999999999</v>
      </c>
      <c r="C128">
        <v>0.35</v>
      </c>
      <c r="D128">
        <v>0</v>
      </c>
      <c r="E128">
        <v>6</v>
      </c>
      <c r="F128">
        <v>78</v>
      </c>
      <c r="G128">
        <v>84</v>
      </c>
    </row>
    <row r="129" spans="1:7">
      <c r="A129">
        <v>128</v>
      </c>
      <c r="B129">
        <v>0.2727</v>
      </c>
      <c r="C129">
        <v>0.35</v>
      </c>
      <c r="D129">
        <v>0.1045</v>
      </c>
      <c r="E129">
        <v>12</v>
      </c>
      <c r="F129">
        <v>55</v>
      </c>
      <c r="G129">
        <v>67</v>
      </c>
    </row>
    <row r="130" spans="1:7">
      <c r="A130">
        <v>129</v>
      </c>
      <c r="B130">
        <v>0.2727</v>
      </c>
      <c r="C130">
        <v>0.36</v>
      </c>
      <c r="D130">
        <v>0.16420000000000001</v>
      </c>
      <c r="E130">
        <v>11</v>
      </c>
      <c r="F130">
        <v>59</v>
      </c>
      <c r="G130">
        <v>70</v>
      </c>
    </row>
    <row r="131" spans="1:7">
      <c r="A131">
        <v>130</v>
      </c>
      <c r="B131">
        <v>0.2727</v>
      </c>
      <c r="C131">
        <v>0.36</v>
      </c>
      <c r="D131">
        <v>0</v>
      </c>
      <c r="E131">
        <v>8</v>
      </c>
      <c r="F131">
        <v>54</v>
      </c>
      <c r="G131">
        <v>62</v>
      </c>
    </row>
    <row r="132" spans="1:7">
      <c r="A132">
        <v>131</v>
      </c>
      <c r="B132">
        <v>0.2576</v>
      </c>
      <c r="C132">
        <v>0.38</v>
      </c>
      <c r="D132">
        <v>0.16420000000000001</v>
      </c>
      <c r="E132">
        <v>12</v>
      </c>
      <c r="F132">
        <v>74</v>
      </c>
      <c r="G132">
        <v>86</v>
      </c>
    </row>
    <row r="133" spans="1:7">
      <c r="A133">
        <v>132</v>
      </c>
      <c r="B133">
        <v>0.2273</v>
      </c>
      <c r="C133">
        <v>0.51</v>
      </c>
      <c r="D133">
        <v>0.16420000000000001</v>
      </c>
      <c r="E133">
        <v>9</v>
      </c>
      <c r="F133">
        <v>163</v>
      </c>
      <c r="G133">
        <v>172</v>
      </c>
    </row>
    <row r="134" spans="1:7">
      <c r="A134">
        <v>133</v>
      </c>
      <c r="B134">
        <v>0.2273</v>
      </c>
      <c r="C134">
        <v>0.51</v>
      </c>
      <c r="D134">
        <v>0.1343</v>
      </c>
      <c r="E134">
        <v>5</v>
      </c>
      <c r="F134">
        <v>158</v>
      </c>
      <c r="G134">
        <v>163</v>
      </c>
    </row>
    <row r="135" spans="1:7">
      <c r="A135">
        <v>134</v>
      </c>
      <c r="B135">
        <v>0.2576</v>
      </c>
      <c r="C135">
        <v>0.55000000000000004</v>
      </c>
      <c r="D135">
        <v>8.9599999999999999E-2</v>
      </c>
      <c r="E135">
        <v>3</v>
      </c>
      <c r="F135">
        <v>109</v>
      </c>
      <c r="G135">
        <v>112</v>
      </c>
    </row>
    <row r="136" spans="1:7">
      <c r="A136">
        <v>135</v>
      </c>
      <c r="B136">
        <v>0.21210000000000001</v>
      </c>
      <c r="C136">
        <v>0.51</v>
      </c>
      <c r="D136">
        <v>0.16420000000000001</v>
      </c>
      <c r="E136">
        <v>3</v>
      </c>
      <c r="F136">
        <v>66</v>
      </c>
      <c r="G136">
        <v>69</v>
      </c>
    </row>
    <row r="137" spans="1:7">
      <c r="A137">
        <v>136</v>
      </c>
      <c r="B137">
        <v>0.21210000000000001</v>
      </c>
      <c r="C137">
        <v>0.55000000000000004</v>
      </c>
      <c r="D137">
        <v>0.22389999999999999</v>
      </c>
      <c r="E137">
        <v>0</v>
      </c>
      <c r="F137">
        <v>48</v>
      </c>
      <c r="G137">
        <v>48</v>
      </c>
    </row>
    <row r="138" spans="1:7">
      <c r="A138">
        <v>137</v>
      </c>
      <c r="B138">
        <v>0.21210000000000001</v>
      </c>
      <c r="C138">
        <v>0.51</v>
      </c>
      <c r="D138">
        <v>0.28360000000000002</v>
      </c>
      <c r="E138">
        <v>1</v>
      </c>
      <c r="F138">
        <v>51</v>
      </c>
      <c r="G138">
        <v>52</v>
      </c>
    </row>
    <row r="139" spans="1:7">
      <c r="A139">
        <v>138</v>
      </c>
      <c r="B139">
        <v>0.19700000000000001</v>
      </c>
      <c r="C139">
        <v>0.59</v>
      </c>
      <c r="D139">
        <v>0.19400000000000001</v>
      </c>
      <c r="E139">
        <v>4</v>
      </c>
      <c r="F139">
        <v>19</v>
      </c>
      <c r="G139">
        <v>23</v>
      </c>
    </row>
    <row r="140" spans="1:7">
      <c r="A140">
        <v>139</v>
      </c>
      <c r="B140">
        <v>0.19700000000000001</v>
      </c>
      <c r="C140">
        <v>0.64</v>
      </c>
      <c r="D140">
        <v>0.19400000000000001</v>
      </c>
      <c r="E140">
        <v>4</v>
      </c>
      <c r="F140">
        <v>13</v>
      </c>
      <c r="G140">
        <v>17</v>
      </c>
    </row>
    <row r="141" spans="1:7">
      <c r="A141">
        <v>140</v>
      </c>
      <c r="B141">
        <v>0.19700000000000001</v>
      </c>
      <c r="C141">
        <v>0.69</v>
      </c>
      <c r="D141">
        <v>0.22389999999999999</v>
      </c>
      <c r="E141">
        <v>2</v>
      </c>
      <c r="F141">
        <v>5</v>
      </c>
      <c r="G141">
        <v>7</v>
      </c>
    </row>
    <row r="142" spans="1:7">
      <c r="A142">
        <v>141</v>
      </c>
      <c r="B142">
        <v>0.19700000000000001</v>
      </c>
      <c r="C142">
        <v>0.69</v>
      </c>
      <c r="D142">
        <v>0.22389999999999999</v>
      </c>
      <c r="E142">
        <v>0</v>
      </c>
      <c r="F142">
        <v>1</v>
      </c>
      <c r="G142">
        <v>1</v>
      </c>
    </row>
    <row r="143" spans="1:7">
      <c r="A143">
        <v>142</v>
      </c>
      <c r="B143">
        <v>0.21210000000000001</v>
      </c>
      <c r="C143">
        <v>0.69</v>
      </c>
      <c r="D143">
        <v>0.1343</v>
      </c>
      <c r="E143">
        <v>0</v>
      </c>
      <c r="F143">
        <v>1</v>
      </c>
      <c r="G143">
        <v>1</v>
      </c>
    </row>
    <row r="144" spans="1:7">
      <c r="A144">
        <v>143</v>
      </c>
      <c r="B144">
        <v>0.2727</v>
      </c>
      <c r="C144">
        <v>0.55000000000000004</v>
      </c>
      <c r="D144">
        <v>0</v>
      </c>
      <c r="E144">
        <v>0</v>
      </c>
      <c r="F144">
        <v>5</v>
      </c>
      <c r="G144">
        <v>5</v>
      </c>
    </row>
    <row r="145" spans="1:7">
      <c r="A145">
        <v>144</v>
      </c>
      <c r="B145">
        <v>0.2576</v>
      </c>
      <c r="C145">
        <v>0.69</v>
      </c>
      <c r="D145">
        <v>0</v>
      </c>
      <c r="E145">
        <v>8</v>
      </c>
      <c r="F145">
        <v>26</v>
      </c>
      <c r="G145">
        <v>34</v>
      </c>
    </row>
    <row r="146" spans="1:7">
      <c r="A146">
        <v>145</v>
      </c>
      <c r="B146">
        <v>0.21210000000000001</v>
      </c>
      <c r="C146">
        <v>0.69</v>
      </c>
      <c r="D146">
        <v>0.1343</v>
      </c>
      <c r="E146">
        <v>8</v>
      </c>
      <c r="F146">
        <v>76</v>
      </c>
      <c r="G146">
        <v>84</v>
      </c>
    </row>
    <row r="147" spans="1:7">
      <c r="A147">
        <v>146</v>
      </c>
      <c r="B147">
        <v>0.19700000000000001</v>
      </c>
      <c r="C147">
        <v>0.51</v>
      </c>
      <c r="D147">
        <v>0.25369999999999998</v>
      </c>
      <c r="E147">
        <v>20</v>
      </c>
      <c r="F147">
        <v>190</v>
      </c>
      <c r="G147">
        <v>210</v>
      </c>
    </row>
    <row r="148" spans="1:7">
      <c r="A148">
        <v>147</v>
      </c>
      <c r="B148">
        <v>0.18179999999999999</v>
      </c>
      <c r="C148">
        <v>0.47</v>
      </c>
      <c r="D148">
        <v>0.29849999999999999</v>
      </c>
      <c r="E148">
        <v>9</v>
      </c>
      <c r="F148">
        <v>125</v>
      </c>
      <c r="G148">
        <v>134</v>
      </c>
    </row>
    <row r="149" spans="1:7">
      <c r="A149">
        <v>148</v>
      </c>
      <c r="B149">
        <v>0.19700000000000001</v>
      </c>
      <c r="C149">
        <v>0.37</v>
      </c>
      <c r="D149">
        <v>0.32840000000000003</v>
      </c>
      <c r="E149">
        <v>16</v>
      </c>
      <c r="F149">
        <v>47</v>
      </c>
      <c r="G149">
        <v>63</v>
      </c>
    </row>
    <row r="150" spans="1:7">
      <c r="A150">
        <v>149</v>
      </c>
      <c r="B150">
        <v>0.19700000000000001</v>
      </c>
      <c r="C150">
        <v>0.4</v>
      </c>
      <c r="D150">
        <v>0.22389999999999999</v>
      </c>
      <c r="E150">
        <v>19</v>
      </c>
      <c r="F150">
        <v>48</v>
      </c>
      <c r="G150">
        <v>67</v>
      </c>
    </row>
    <row r="151" spans="1:7">
      <c r="A151">
        <v>150</v>
      </c>
      <c r="B151">
        <v>0.19700000000000001</v>
      </c>
      <c r="C151">
        <v>0.37</v>
      </c>
      <c r="D151">
        <v>0.25369999999999998</v>
      </c>
      <c r="E151">
        <v>9</v>
      </c>
      <c r="F151">
        <v>50</v>
      </c>
      <c r="G151">
        <v>59</v>
      </c>
    </row>
    <row r="152" spans="1:7">
      <c r="A152">
        <v>151</v>
      </c>
      <c r="B152">
        <v>0.18179999999999999</v>
      </c>
      <c r="C152">
        <v>0.37</v>
      </c>
      <c r="D152">
        <v>0.28360000000000002</v>
      </c>
      <c r="E152">
        <v>9</v>
      </c>
      <c r="F152">
        <v>64</v>
      </c>
      <c r="G152">
        <v>73</v>
      </c>
    </row>
    <row r="153" spans="1:7">
      <c r="A153">
        <v>152</v>
      </c>
      <c r="B153">
        <v>0.19700000000000001</v>
      </c>
      <c r="C153">
        <v>0.4</v>
      </c>
      <c r="D153">
        <v>0.25369999999999998</v>
      </c>
      <c r="E153">
        <v>7</v>
      </c>
      <c r="F153">
        <v>43</v>
      </c>
      <c r="G153">
        <v>50</v>
      </c>
    </row>
    <row r="154" spans="1:7">
      <c r="A154">
        <v>153</v>
      </c>
      <c r="B154">
        <v>0.21210000000000001</v>
      </c>
      <c r="C154">
        <v>0.37</v>
      </c>
      <c r="D154">
        <v>0.16420000000000001</v>
      </c>
      <c r="E154">
        <v>9</v>
      </c>
      <c r="F154">
        <v>63</v>
      </c>
      <c r="G154">
        <v>72</v>
      </c>
    </row>
    <row r="155" spans="1:7">
      <c r="A155">
        <v>154</v>
      </c>
      <c r="B155">
        <v>0.21210000000000001</v>
      </c>
      <c r="C155">
        <v>0.37</v>
      </c>
      <c r="D155">
        <v>0.16420000000000001</v>
      </c>
      <c r="E155">
        <v>5</v>
      </c>
      <c r="F155">
        <v>82</v>
      </c>
      <c r="G155">
        <v>87</v>
      </c>
    </row>
    <row r="156" spans="1:7">
      <c r="A156">
        <v>155</v>
      </c>
      <c r="B156">
        <v>0.2576</v>
      </c>
      <c r="C156">
        <v>0.37</v>
      </c>
      <c r="D156">
        <v>0</v>
      </c>
      <c r="E156">
        <v>9</v>
      </c>
      <c r="F156">
        <v>178</v>
      </c>
      <c r="G156">
        <v>187</v>
      </c>
    </row>
    <row r="157" spans="1:7">
      <c r="A157">
        <v>156</v>
      </c>
      <c r="B157">
        <v>0.2273</v>
      </c>
      <c r="C157">
        <v>0.4</v>
      </c>
      <c r="D157">
        <v>8.9599999999999999E-2</v>
      </c>
      <c r="E157">
        <v>7</v>
      </c>
      <c r="F157">
        <v>116</v>
      </c>
      <c r="G157">
        <v>123</v>
      </c>
    </row>
    <row r="158" spans="1:7">
      <c r="A158">
        <v>157</v>
      </c>
      <c r="B158">
        <v>0.19700000000000001</v>
      </c>
      <c r="C158">
        <v>0.55000000000000004</v>
      </c>
      <c r="D158">
        <v>8.9599999999999999E-2</v>
      </c>
      <c r="E158">
        <v>3</v>
      </c>
      <c r="F158">
        <v>92</v>
      </c>
      <c r="G158">
        <v>95</v>
      </c>
    </row>
    <row r="159" spans="1:7">
      <c r="A159">
        <v>158</v>
      </c>
      <c r="B159">
        <v>0.21210000000000001</v>
      </c>
      <c r="C159">
        <v>0.47</v>
      </c>
      <c r="D159">
        <v>0.1045</v>
      </c>
      <c r="E159">
        <v>1</v>
      </c>
      <c r="F159">
        <v>50</v>
      </c>
      <c r="G159">
        <v>51</v>
      </c>
    </row>
    <row r="160" spans="1:7">
      <c r="A160">
        <v>159</v>
      </c>
      <c r="B160">
        <v>0.19700000000000001</v>
      </c>
      <c r="C160">
        <v>0.47</v>
      </c>
      <c r="D160">
        <v>0.1343</v>
      </c>
      <c r="E160">
        <v>0</v>
      </c>
      <c r="F160">
        <v>39</v>
      </c>
      <c r="G160">
        <v>39</v>
      </c>
    </row>
    <row r="161" spans="1:7">
      <c r="A161">
        <v>160</v>
      </c>
      <c r="B161">
        <v>0.19700000000000001</v>
      </c>
      <c r="C161">
        <v>0.43</v>
      </c>
      <c r="D161">
        <v>0.16420000000000001</v>
      </c>
      <c r="E161">
        <v>2</v>
      </c>
      <c r="F161">
        <v>34</v>
      </c>
      <c r="G161">
        <v>36</v>
      </c>
    </row>
    <row r="162" spans="1:7">
      <c r="A162">
        <v>161</v>
      </c>
      <c r="B162">
        <v>0.19700000000000001</v>
      </c>
      <c r="C162">
        <v>0.51</v>
      </c>
      <c r="D162">
        <v>0.16420000000000001</v>
      </c>
      <c r="E162">
        <v>1</v>
      </c>
      <c r="F162">
        <v>14</v>
      </c>
      <c r="G162">
        <v>15</v>
      </c>
    </row>
    <row r="163" spans="1:7">
      <c r="A163">
        <v>162</v>
      </c>
      <c r="B163">
        <v>0.19700000000000001</v>
      </c>
      <c r="C163">
        <v>0.51</v>
      </c>
      <c r="D163">
        <v>0.16420000000000001</v>
      </c>
      <c r="E163">
        <v>1</v>
      </c>
      <c r="F163">
        <v>24</v>
      </c>
      <c r="G163">
        <v>25</v>
      </c>
    </row>
    <row r="164" spans="1:7">
      <c r="A164">
        <v>163</v>
      </c>
      <c r="B164">
        <v>0.21210000000000001</v>
      </c>
      <c r="C164">
        <v>0.55000000000000004</v>
      </c>
      <c r="D164">
        <v>8.9599999999999999E-2</v>
      </c>
      <c r="E164">
        <v>1</v>
      </c>
      <c r="F164">
        <v>15</v>
      </c>
      <c r="G164">
        <v>16</v>
      </c>
    </row>
    <row r="165" spans="1:7">
      <c r="A165">
        <v>164</v>
      </c>
      <c r="B165">
        <v>0.2424</v>
      </c>
      <c r="C165">
        <v>0.55000000000000004</v>
      </c>
      <c r="D165">
        <v>0</v>
      </c>
      <c r="E165">
        <v>3</v>
      </c>
      <c r="F165">
        <v>13</v>
      </c>
      <c r="G165">
        <v>16</v>
      </c>
    </row>
    <row r="166" spans="1:7">
      <c r="A166">
        <v>165</v>
      </c>
      <c r="B166">
        <v>0.19700000000000001</v>
      </c>
      <c r="C166">
        <v>0.55000000000000004</v>
      </c>
      <c r="D166">
        <v>0.16420000000000001</v>
      </c>
      <c r="E166">
        <v>0</v>
      </c>
      <c r="F166">
        <v>7</v>
      </c>
      <c r="G166">
        <v>7</v>
      </c>
    </row>
    <row r="167" spans="1:7">
      <c r="A167">
        <v>166</v>
      </c>
      <c r="B167">
        <v>0.19700000000000001</v>
      </c>
      <c r="C167">
        <v>0.55000000000000004</v>
      </c>
      <c r="D167">
        <v>0.16420000000000001</v>
      </c>
      <c r="E167">
        <v>0</v>
      </c>
      <c r="F167">
        <v>1</v>
      </c>
      <c r="G167">
        <v>1</v>
      </c>
    </row>
    <row r="168" spans="1:7">
      <c r="A168">
        <v>167</v>
      </c>
      <c r="B168">
        <v>0.16669999999999999</v>
      </c>
      <c r="C168">
        <v>0.74</v>
      </c>
      <c r="D168">
        <v>0.16420000000000001</v>
      </c>
      <c r="E168">
        <v>0</v>
      </c>
      <c r="F168">
        <v>5</v>
      </c>
      <c r="G168">
        <v>5</v>
      </c>
    </row>
    <row r="169" spans="1:7">
      <c r="A169">
        <v>168</v>
      </c>
      <c r="B169">
        <v>0.16669999999999999</v>
      </c>
      <c r="C169">
        <v>0.74</v>
      </c>
      <c r="D169">
        <v>0.16420000000000001</v>
      </c>
      <c r="E169">
        <v>0</v>
      </c>
      <c r="F169">
        <v>2</v>
      </c>
      <c r="G169">
        <v>2</v>
      </c>
    </row>
    <row r="170" spans="1:7">
      <c r="A170">
        <v>169</v>
      </c>
      <c r="B170">
        <v>0.18179999999999999</v>
      </c>
      <c r="C170">
        <v>0.74</v>
      </c>
      <c r="D170">
        <v>0.1045</v>
      </c>
      <c r="E170">
        <v>1</v>
      </c>
      <c r="F170">
        <v>8</v>
      </c>
      <c r="G170">
        <v>9</v>
      </c>
    </row>
    <row r="171" spans="1:7">
      <c r="A171">
        <v>170</v>
      </c>
      <c r="B171">
        <v>0.18179999999999999</v>
      </c>
      <c r="C171">
        <v>0.93</v>
      </c>
      <c r="D171">
        <v>0.1045</v>
      </c>
      <c r="E171">
        <v>0</v>
      </c>
      <c r="F171">
        <v>15</v>
      </c>
      <c r="G171">
        <v>15</v>
      </c>
    </row>
    <row r="172" spans="1:7">
      <c r="A172">
        <v>171</v>
      </c>
      <c r="B172">
        <v>0.18179999999999999</v>
      </c>
      <c r="C172">
        <v>0.93</v>
      </c>
      <c r="D172">
        <v>0.1045</v>
      </c>
      <c r="E172">
        <v>0</v>
      </c>
      <c r="F172">
        <v>20</v>
      </c>
      <c r="G172">
        <v>20</v>
      </c>
    </row>
    <row r="173" spans="1:7">
      <c r="A173">
        <v>172</v>
      </c>
      <c r="B173">
        <v>0.19700000000000001</v>
      </c>
      <c r="C173">
        <v>0.8</v>
      </c>
      <c r="D173">
        <v>0.16420000000000001</v>
      </c>
      <c r="E173">
        <v>5</v>
      </c>
      <c r="F173">
        <v>56</v>
      </c>
      <c r="G173">
        <v>61</v>
      </c>
    </row>
    <row r="174" spans="1:7">
      <c r="A174">
        <v>173</v>
      </c>
      <c r="B174">
        <v>0.18179999999999999</v>
      </c>
      <c r="C174">
        <v>0.69</v>
      </c>
      <c r="D174">
        <v>0.3881</v>
      </c>
      <c r="E174">
        <v>2</v>
      </c>
      <c r="F174">
        <v>60</v>
      </c>
      <c r="G174">
        <v>62</v>
      </c>
    </row>
    <row r="175" spans="1:7">
      <c r="A175">
        <v>174</v>
      </c>
      <c r="B175">
        <v>0.18179999999999999</v>
      </c>
      <c r="C175">
        <v>0.59</v>
      </c>
      <c r="D175">
        <v>0.35820000000000002</v>
      </c>
      <c r="E175">
        <v>8</v>
      </c>
      <c r="F175">
        <v>90</v>
      </c>
      <c r="G175">
        <v>98</v>
      </c>
    </row>
    <row r="176" spans="1:7">
      <c r="A176">
        <v>175</v>
      </c>
      <c r="B176">
        <v>0.18179999999999999</v>
      </c>
      <c r="C176">
        <v>0.44</v>
      </c>
      <c r="D176">
        <v>0.32840000000000003</v>
      </c>
      <c r="E176">
        <v>7</v>
      </c>
      <c r="F176">
        <v>95</v>
      </c>
      <c r="G176">
        <v>102</v>
      </c>
    </row>
    <row r="177" spans="1:7">
      <c r="A177">
        <v>176</v>
      </c>
      <c r="B177">
        <v>0.16669999999999999</v>
      </c>
      <c r="C177">
        <v>0.32</v>
      </c>
      <c r="D177">
        <v>0.49249999999999999</v>
      </c>
      <c r="E177">
        <v>12</v>
      </c>
      <c r="F177">
        <v>83</v>
      </c>
      <c r="G177">
        <v>95</v>
      </c>
    </row>
    <row r="178" spans="1:7">
      <c r="A178">
        <v>177</v>
      </c>
      <c r="B178">
        <v>0.16669999999999999</v>
      </c>
      <c r="C178">
        <v>0.32</v>
      </c>
      <c r="D178">
        <v>0.44779999999999998</v>
      </c>
      <c r="E178">
        <v>5</v>
      </c>
      <c r="F178">
        <v>69</v>
      </c>
      <c r="G178">
        <v>74</v>
      </c>
    </row>
    <row r="179" spans="1:7">
      <c r="A179">
        <v>178</v>
      </c>
      <c r="B179">
        <v>0.13639999999999999</v>
      </c>
      <c r="C179">
        <v>0.28999999999999998</v>
      </c>
      <c r="D179">
        <v>0.44779999999999998</v>
      </c>
      <c r="E179">
        <v>8</v>
      </c>
      <c r="F179">
        <v>68</v>
      </c>
      <c r="G179">
        <v>76</v>
      </c>
    </row>
    <row r="180" spans="1:7">
      <c r="A180">
        <v>179</v>
      </c>
      <c r="B180">
        <v>0.1212</v>
      </c>
      <c r="C180">
        <v>0.37</v>
      </c>
      <c r="D180">
        <v>0.55220000000000002</v>
      </c>
      <c r="E180">
        <v>5</v>
      </c>
      <c r="F180">
        <v>64</v>
      </c>
      <c r="G180">
        <v>69</v>
      </c>
    </row>
    <row r="181" spans="1:7">
      <c r="A181">
        <v>180</v>
      </c>
      <c r="B181">
        <v>0.1212</v>
      </c>
      <c r="C181">
        <v>0.39</v>
      </c>
      <c r="D181">
        <v>0.29849999999999999</v>
      </c>
      <c r="E181">
        <v>3</v>
      </c>
      <c r="F181">
        <v>52</v>
      </c>
      <c r="G181">
        <v>55</v>
      </c>
    </row>
    <row r="182" spans="1:7">
      <c r="A182">
        <v>181</v>
      </c>
      <c r="B182">
        <v>0.1212</v>
      </c>
      <c r="C182">
        <v>0.36</v>
      </c>
      <c r="D182">
        <v>0.25369999999999998</v>
      </c>
      <c r="E182">
        <v>4</v>
      </c>
      <c r="F182">
        <v>26</v>
      </c>
      <c r="G182">
        <v>30</v>
      </c>
    </row>
    <row r="183" spans="1:7">
      <c r="A183">
        <v>182</v>
      </c>
      <c r="B183">
        <v>0.1212</v>
      </c>
      <c r="C183">
        <v>0.36</v>
      </c>
      <c r="D183">
        <v>0.25369999999999998</v>
      </c>
      <c r="E183">
        <v>0</v>
      </c>
      <c r="F183">
        <v>28</v>
      </c>
      <c r="G183">
        <v>28</v>
      </c>
    </row>
    <row r="184" spans="1:7">
      <c r="A184">
        <v>183</v>
      </c>
      <c r="B184">
        <v>0.1061</v>
      </c>
      <c r="C184">
        <v>0.39</v>
      </c>
      <c r="D184">
        <v>0.35820000000000002</v>
      </c>
      <c r="E184">
        <v>2</v>
      </c>
      <c r="F184">
        <v>35</v>
      </c>
      <c r="G184">
        <v>37</v>
      </c>
    </row>
    <row r="185" spans="1:7">
      <c r="A185">
        <v>184</v>
      </c>
      <c r="B185">
        <v>0.1061</v>
      </c>
      <c r="C185">
        <v>0.36</v>
      </c>
      <c r="D185">
        <v>0.3881</v>
      </c>
      <c r="E185">
        <v>1</v>
      </c>
      <c r="F185">
        <v>33</v>
      </c>
      <c r="G185">
        <v>34</v>
      </c>
    </row>
    <row r="186" spans="1:7">
      <c r="A186">
        <v>185</v>
      </c>
      <c r="B186">
        <v>6.0600000000000001E-2</v>
      </c>
      <c r="C186">
        <v>0.39</v>
      </c>
      <c r="D186">
        <v>0.44779999999999998</v>
      </c>
      <c r="E186">
        <v>0</v>
      </c>
      <c r="F186">
        <v>22</v>
      </c>
      <c r="G186">
        <v>22</v>
      </c>
    </row>
    <row r="187" spans="1:7">
      <c r="A187">
        <v>186</v>
      </c>
      <c r="B187">
        <v>7.5800000000000006E-2</v>
      </c>
      <c r="C187">
        <v>0.42</v>
      </c>
      <c r="D187">
        <v>0.3881</v>
      </c>
      <c r="E187">
        <v>1</v>
      </c>
      <c r="F187">
        <v>24</v>
      </c>
      <c r="G187">
        <v>25</v>
      </c>
    </row>
    <row r="188" spans="1:7">
      <c r="A188">
        <v>187</v>
      </c>
      <c r="B188">
        <v>6.0600000000000001E-2</v>
      </c>
      <c r="C188">
        <v>0.42</v>
      </c>
      <c r="D188">
        <v>0.4627</v>
      </c>
      <c r="E188">
        <v>0</v>
      </c>
      <c r="F188">
        <v>12</v>
      </c>
      <c r="G188">
        <v>12</v>
      </c>
    </row>
    <row r="189" spans="1:7">
      <c r="A189">
        <v>188</v>
      </c>
      <c r="B189">
        <v>6.0600000000000001E-2</v>
      </c>
      <c r="C189">
        <v>0.46</v>
      </c>
      <c r="D189">
        <v>0.4627</v>
      </c>
      <c r="E189">
        <v>0</v>
      </c>
      <c r="F189">
        <v>11</v>
      </c>
      <c r="G189">
        <v>11</v>
      </c>
    </row>
    <row r="190" spans="1:7">
      <c r="A190">
        <v>189</v>
      </c>
      <c r="B190">
        <v>7.5800000000000006E-2</v>
      </c>
      <c r="C190">
        <v>0.46</v>
      </c>
      <c r="D190">
        <v>0.41789999999999999</v>
      </c>
      <c r="E190">
        <v>0</v>
      </c>
      <c r="F190">
        <v>4</v>
      </c>
      <c r="G190">
        <v>4</v>
      </c>
    </row>
    <row r="191" spans="1:7">
      <c r="A191">
        <v>190</v>
      </c>
      <c r="B191">
        <v>9.0899999999999995E-2</v>
      </c>
      <c r="C191">
        <v>0.53</v>
      </c>
      <c r="D191">
        <v>0.19400000000000001</v>
      </c>
      <c r="E191">
        <v>0</v>
      </c>
      <c r="F191">
        <v>1</v>
      </c>
      <c r="G191">
        <v>1</v>
      </c>
    </row>
    <row r="192" spans="1:7">
      <c r="A192">
        <v>191</v>
      </c>
      <c r="B192">
        <v>9.0899999999999995E-2</v>
      </c>
      <c r="C192">
        <v>0.53</v>
      </c>
      <c r="D192">
        <v>0.19400000000000001</v>
      </c>
      <c r="E192">
        <v>0</v>
      </c>
      <c r="F192">
        <v>1</v>
      </c>
      <c r="G192">
        <v>1</v>
      </c>
    </row>
    <row r="193" spans="1:7">
      <c r="A193">
        <v>192</v>
      </c>
      <c r="B193">
        <v>9.0899999999999995E-2</v>
      </c>
      <c r="C193">
        <v>0.49</v>
      </c>
      <c r="D193">
        <v>0.28360000000000002</v>
      </c>
      <c r="E193">
        <v>0</v>
      </c>
      <c r="F193">
        <v>1</v>
      </c>
      <c r="G193">
        <v>1</v>
      </c>
    </row>
    <row r="194" spans="1:7">
      <c r="A194">
        <v>193</v>
      </c>
      <c r="B194">
        <v>9.0899999999999995E-2</v>
      </c>
      <c r="C194">
        <v>0.53</v>
      </c>
      <c r="D194">
        <v>0.19400000000000001</v>
      </c>
      <c r="E194">
        <v>1</v>
      </c>
      <c r="F194">
        <v>5</v>
      </c>
      <c r="G194">
        <v>6</v>
      </c>
    </row>
    <row r="195" spans="1:7">
      <c r="A195">
        <v>194</v>
      </c>
      <c r="B195">
        <v>9.0899999999999995E-2</v>
      </c>
      <c r="C195">
        <v>0.49</v>
      </c>
      <c r="D195">
        <v>0.28360000000000002</v>
      </c>
      <c r="E195">
        <v>0</v>
      </c>
      <c r="F195">
        <v>10</v>
      </c>
      <c r="G195">
        <v>10</v>
      </c>
    </row>
    <row r="196" spans="1:7">
      <c r="A196">
        <v>195</v>
      </c>
      <c r="B196">
        <v>7.5800000000000006E-2</v>
      </c>
      <c r="C196">
        <v>0.46</v>
      </c>
      <c r="D196">
        <v>0.52239999999999998</v>
      </c>
      <c r="E196">
        <v>0</v>
      </c>
      <c r="F196">
        <v>19</v>
      </c>
      <c r="G196">
        <v>19</v>
      </c>
    </row>
    <row r="197" spans="1:7">
      <c r="A197">
        <v>196</v>
      </c>
      <c r="B197">
        <v>0.1061</v>
      </c>
      <c r="C197">
        <v>0.43</v>
      </c>
      <c r="D197">
        <v>0.3881</v>
      </c>
      <c r="E197">
        <v>0</v>
      </c>
      <c r="F197">
        <v>49</v>
      </c>
      <c r="G197">
        <v>49</v>
      </c>
    </row>
    <row r="198" spans="1:7">
      <c r="A198">
        <v>197</v>
      </c>
      <c r="B198">
        <v>0.1212</v>
      </c>
      <c r="C198">
        <v>0.4</v>
      </c>
      <c r="D198">
        <v>0.52239999999999998</v>
      </c>
      <c r="E198">
        <v>2</v>
      </c>
      <c r="F198">
        <v>47</v>
      </c>
      <c r="G198">
        <v>49</v>
      </c>
    </row>
    <row r="199" spans="1:7">
      <c r="A199">
        <v>198</v>
      </c>
      <c r="B199">
        <v>0.13639999999999999</v>
      </c>
      <c r="C199">
        <v>0.37</v>
      </c>
      <c r="D199">
        <v>0.44779999999999998</v>
      </c>
      <c r="E199">
        <v>4</v>
      </c>
      <c r="F199">
        <v>79</v>
      </c>
      <c r="G199">
        <v>83</v>
      </c>
    </row>
    <row r="200" spans="1:7">
      <c r="A200">
        <v>199</v>
      </c>
      <c r="B200">
        <v>0.16669999999999999</v>
      </c>
      <c r="C200">
        <v>0.34</v>
      </c>
      <c r="D200">
        <v>0.44779999999999998</v>
      </c>
      <c r="E200">
        <v>6</v>
      </c>
      <c r="F200">
        <v>69</v>
      </c>
      <c r="G200">
        <v>75</v>
      </c>
    </row>
    <row r="201" spans="1:7">
      <c r="A201">
        <v>200</v>
      </c>
      <c r="B201">
        <v>0.18179999999999999</v>
      </c>
      <c r="C201">
        <v>0.32</v>
      </c>
      <c r="D201">
        <v>0.4627</v>
      </c>
      <c r="E201">
        <v>8</v>
      </c>
      <c r="F201">
        <v>64</v>
      </c>
      <c r="G201">
        <v>72</v>
      </c>
    </row>
    <row r="202" spans="1:7">
      <c r="A202">
        <v>201</v>
      </c>
      <c r="B202">
        <v>0.19700000000000001</v>
      </c>
      <c r="C202">
        <v>0.35</v>
      </c>
      <c r="D202">
        <v>0.35820000000000002</v>
      </c>
      <c r="E202">
        <v>5</v>
      </c>
      <c r="F202">
        <v>77</v>
      </c>
      <c r="G202">
        <v>82</v>
      </c>
    </row>
    <row r="203" spans="1:7">
      <c r="A203">
        <v>202</v>
      </c>
      <c r="B203">
        <v>0.16669999999999999</v>
      </c>
      <c r="C203">
        <v>0.34</v>
      </c>
      <c r="D203">
        <v>0.44779999999999998</v>
      </c>
      <c r="E203">
        <v>13</v>
      </c>
      <c r="F203">
        <v>79</v>
      </c>
      <c r="G203">
        <v>92</v>
      </c>
    </row>
    <row r="204" spans="1:7">
      <c r="A204">
        <v>203</v>
      </c>
      <c r="B204">
        <v>0.1515</v>
      </c>
      <c r="C204">
        <v>0.37</v>
      </c>
      <c r="D204">
        <v>0.3881</v>
      </c>
      <c r="E204">
        <v>3</v>
      </c>
      <c r="F204">
        <v>59</v>
      </c>
      <c r="G204">
        <v>62</v>
      </c>
    </row>
    <row r="205" spans="1:7">
      <c r="A205">
        <v>204</v>
      </c>
      <c r="B205">
        <v>0.13639999999999999</v>
      </c>
      <c r="C205">
        <v>0.4</v>
      </c>
      <c r="D205">
        <v>0.32840000000000003</v>
      </c>
      <c r="E205">
        <v>4</v>
      </c>
      <c r="F205">
        <v>44</v>
      </c>
      <c r="G205">
        <v>48</v>
      </c>
    </row>
    <row r="206" spans="1:7">
      <c r="A206">
        <v>205</v>
      </c>
      <c r="B206">
        <v>0.13639999999999999</v>
      </c>
      <c r="C206">
        <v>0.43</v>
      </c>
      <c r="D206">
        <v>0.32840000000000003</v>
      </c>
      <c r="E206">
        <v>1</v>
      </c>
      <c r="F206">
        <v>40</v>
      </c>
      <c r="G206">
        <v>41</v>
      </c>
    </row>
    <row r="207" spans="1:7">
      <c r="A207">
        <v>206</v>
      </c>
      <c r="B207">
        <v>0.1212</v>
      </c>
      <c r="C207">
        <v>0.46</v>
      </c>
      <c r="D207">
        <v>0.25369999999999998</v>
      </c>
      <c r="E207">
        <v>0</v>
      </c>
      <c r="F207">
        <v>38</v>
      </c>
      <c r="G207">
        <v>38</v>
      </c>
    </row>
    <row r="208" spans="1:7">
      <c r="A208">
        <v>207</v>
      </c>
      <c r="B208">
        <v>0.1061</v>
      </c>
      <c r="C208">
        <v>0.46</v>
      </c>
      <c r="D208">
        <v>0.41789999999999999</v>
      </c>
      <c r="E208">
        <v>1</v>
      </c>
      <c r="F208">
        <v>19</v>
      </c>
      <c r="G208">
        <v>20</v>
      </c>
    </row>
    <row r="209" spans="1:7">
      <c r="A209">
        <v>208</v>
      </c>
      <c r="B209">
        <v>0.1212</v>
      </c>
      <c r="C209">
        <v>0.46</v>
      </c>
      <c r="D209">
        <v>0.29849999999999999</v>
      </c>
      <c r="E209">
        <v>5</v>
      </c>
      <c r="F209">
        <v>10</v>
      </c>
      <c r="G209">
        <v>15</v>
      </c>
    </row>
    <row r="210" spans="1:7">
      <c r="A210">
        <v>209</v>
      </c>
      <c r="B210">
        <v>0.13639999999999999</v>
      </c>
      <c r="C210">
        <v>0.5</v>
      </c>
      <c r="D210">
        <v>0.19400000000000001</v>
      </c>
      <c r="E210">
        <v>0</v>
      </c>
      <c r="F210">
        <v>6</v>
      </c>
      <c r="G210">
        <v>6</v>
      </c>
    </row>
    <row r="211" spans="1:7">
      <c r="A211">
        <v>210</v>
      </c>
      <c r="B211">
        <v>0.1212</v>
      </c>
      <c r="C211">
        <v>0.5</v>
      </c>
      <c r="D211">
        <v>0.28360000000000002</v>
      </c>
      <c r="E211">
        <v>2</v>
      </c>
      <c r="F211">
        <v>3</v>
      </c>
      <c r="G211">
        <v>5</v>
      </c>
    </row>
    <row r="212" spans="1:7">
      <c r="A212">
        <v>211</v>
      </c>
      <c r="B212">
        <v>0.1212</v>
      </c>
      <c r="C212">
        <v>0.5</v>
      </c>
      <c r="D212">
        <v>0.28360000000000002</v>
      </c>
      <c r="E212">
        <v>1</v>
      </c>
      <c r="F212">
        <v>0</v>
      </c>
      <c r="G212">
        <v>1</v>
      </c>
    </row>
    <row r="213" spans="1:7">
      <c r="A213">
        <v>212</v>
      </c>
      <c r="B213">
        <v>0.1212</v>
      </c>
      <c r="C213">
        <v>0.5</v>
      </c>
      <c r="D213">
        <v>0.22389999999999999</v>
      </c>
      <c r="E213">
        <v>0</v>
      </c>
      <c r="F213">
        <v>3</v>
      </c>
      <c r="G213">
        <v>3</v>
      </c>
    </row>
    <row r="214" spans="1:7">
      <c r="A214">
        <v>213</v>
      </c>
      <c r="B214">
        <v>0.1212</v>
      </c>
      <c r="C214">
        <v>0.5</v>
      </c>
      <c r="D214">
        <v>0.22389999999999999</v>
      </c>
      <c r="E214">
        <v>0</v>
      </c>
      <c r="F214">
        <v>1</v>
      </c>
      <c r="G214">
        <v>1</v>
      </c>
    </row>
    <row r="215" spans="1:7">
      <c r="A215">
        <v>214</v>
      </c>
      <c r="B215">
        <v>0.1212</v>
      </c>
      <c r="C215">
        <v>0.54</v>
      </c>
      <c r="D215">
        <v>0.1343</v>
      </c>
      <c r="E215">
        <v>1</v>
      </c>
      <c r="F215">
        <v>2</v>
      </c>
      <c r="G215">
        <v>3</v>
      </c>
    </row>
    <row r="216" spans="1:7">
      <c r="A216">
        <v>215</v>
      </c>
      <c r="B216">
        <v>0.1061</v>
      </c>
      <c r="C216">
        <v>0.54</v>
      </c>
      <c r="D216">
        <v>0.25369999999999998</v>
      </c>
      <c r="E216">
        <v>0</v>
      </c>
      <c r="F216">
        <v>3</v>
      </c>
      <c r="G216">
        <v>3</v>
      </c>
    </row>
    <row r="217" spans="1:7">
      <c r="A217">
        <v>216</v>
      </c>
      <c r="B217">
        <v>0.1212</v>
      </c>
      <c r="C217">
        <v>0.5</v>
      </c>
      <c r="D217">
        <v>0.28360000000000002</v>
      </c>
      <c r="E217">
        <v>0</v>
      </c>
      <c r="F217">
        <v>31</v>
      </c>
      <c r="G217">
        <v>31</v>
      </c>
    </row>
    <row r="218" spans="1:7">
      <c r="A218">
        <v>217</v>
      </c>
      <c r="B218">
        <v>0.1212</v>
      </c>
      <c r="C218">
        <v>0.5</v>
      </c>
      <c r="D218">
        <v>0.22389999999999999</v>
      </c>
      <c r="E218">
        <v>2</v>
      </c>
      <c r="F218">
        <v>75</v>
      </c>
      <c r="G218">
        <v>77</v>
      </c>
    </row>
    <row r="219" spans="1:7">
      <c r="A219">
        <v>218</v>
      </c>
      <c r="B219">
        <v>0.1212</v>
      </c>
      <c r="C219">
        <v>0.5</v>
      </c>
      <c r="D219">
        <v>0.28360000000000002</v>
      </c>
      <c r="E219">
        <v>4</v>
      </c>
      <c r="F219">
        <v>184</v>
      </c>
      <c r="G219">
        <v>188</v>
      </c>
    </row>
    <row r="220" spans="1:7">
      <c r="A220">
        <v>219</v>
      </c>
      <c r="B220">
        <v>0.1212</v>
      </c>
      <c r="C220">
        <v>0.5</v>
      </c>
      <c r="D220">
        <v>0.25369999999999998</v>
      </c>
      <c r="E220">
        <v>2</v>
      </c>
      <c r="F220">
        <v>92</v>
      </c>
      <c r="G220">
        <v>94</v>
      </c>
    </row>
    <row r="221" spans="1:7">
      <c r="A221">
        <v>220</v>
      </c>
      <c r="B221">
        <v>0.1212</v>
      </c>
      <c r="C221">
        <v>0.5</v>
      </c>
      <c r="D221">
        <v>0.29849999999999999</v>
      </c>
      <c r="E221">
        <v>0</v>
      </c>
      <c r="F221">
        <v>31</v>
      </c>
      <c r="G221">
        <v>31</v>
      </c>
    </row>
    <row r="222" spans="1:7">
      <c r="A222">
        <v>221</v>
      </c>
      <c r="B222">
        <v>0.13639999999999999</v>
      </c>
      <c r="C222">
        <v>0.47</v>
      </c>
      <c r="D222">
        <v>0.28360000000000002</v>
      </c>
      <c r="E222">
        <v>2</v>
      </c>
      <c r="F222">
        <v>28</v>
      </c>
      <c r="G222">
        <v>30</v>
      </c>
    </row>
    <row r="223" spans="1:7">
      <c r="A223">
        <v>222</v>
      </c>
      <c r="B223">
        <v>0.18179999999999999</v>
      </c>
      <c r="C223">
        <v>0.4</v>
      </c>
      <c r="D223">
        <v>0.28360000000000002</v>
      </c>
      <c r="E223">
        <v>5</v>
      </c>
      <c r="F223">
        <v>47</v>
      </c>
      <c r="G223">
        <v>52</v>
      </c>
    </row>
    <row r="224" spans="1:7">
      <c r="A224">
        <v>223</v>
      </c>
      <c r="B224">
        <v>0.18179999999999999</v>
      </c>
      <c r="C224">
        <v>0.4</v>
      </c>
      <c r="D224">
        <v>0.28360000000000002</v>
      </c>
      <c r="E224">
        <v>4</v>
      </c>
      <c r="F224">
        <v>50</v>
      </c>
      <c r="G224">
        <v>54</v>
      </c>
    </row>
    <row r="225" spans="1:7">
      <c r="A225">
        <v>224</v>
      </c>
      <c r="B225">
        <v>0.19700000000000001</v>
      </c>
      <c r="C225">
        <v>0.4</v>
      </c>
      <c r="D225">
        <v>0.22389999999999999</v>
      </c>
      <c r="E225">
        <v>0</v>
      </c>
      <c r="F225">
        <v>47</v>
      </c>
      <c r="G225">
        <v>47</v>
      </c>
    </row>
    <row r="226" spans="1:7">
      <c r="A226">
        <v>225</v>
      </c>
      <c r="B226">
        <v>0.19700000000000001</v>
      </c>
      <c r="C226">
        <v>0.4</v>
      </c>
      <c r="D226">
        <v>0.22389999999999999</v>
      </c>
      <c r="E226">
        <v>2</v>
      </c>
      <c r="F226">
        <v>43</v>
      </c>
      <c r="G226">
        <v>45</v>
      </c>
    </row>
    <row r="227" spans="1:7">
      <c r="A227">
        <v>226</v>
      </c>
      <c r="B227">
        <v>0.21210000000000001</v>
      </c>
      <c r="C227">
        <v>0.4</v>
      </c>
      <c r="D227">
        <v>0.1343</v>
      </c>
      <c r="E227">
        <v>4</v>
      </c>
      <c r="F227">
        <v>70</v>
      </c>
      <c r="G227">
        <v>74</v>
      </c>
    </row>
    <row r="228" spans="1:7">
      <c r="A228">
        <v>227</v>
      </c>
      <c r="B228">
        <v>0.2273</v>
      </c>
      <c r="C228">
        <v>0.4</v>
      </c>
      <c r="D228">
        <v>0.1045</v>
      </c>
      <c r="E228">
        <v>4</v>
      </c>
      <c r="F228">
        <v>174</v>
      </c>
      <c r="G228">
        <v>178</v>
      </c>
    </row>
    <row r="229" spans="1:7">
      <c r="A229">
        <v>228</v>
      </c>
      <c r="B229">
        <v>0.19700000000000001</v>
      </c>
      <c r="C229">
        <v>0.4</v>
      </c>
      <c r="D229">
        <v>0.22389999999999999</v>
      </c>
      <c r="E229">
        <v>1</v>
      </c>
      <c r="F229">
        <v>154</v>
      </c>
      <c r="G229">
        <v>155</v>
      </c>
    </row>
    <row r="230" spans="1:7">
      <c r="A230">
        <v>229</v>
      </c>
      <c r="B230">
        <v>0.16669999999999999</v>
      </c>
      <c r="C230">
        <v>0.47</v>
      </c>
      <c r="D230">
        <v>0.16420000000000001</v>
      </c>
      <c r="E230">
        <v>3</v>
      </c>
      <c r="F230">
        <v>92</v>
      </c>
      <c r="G230">
        <v>95</v>
      </c>
    </row>
    <row r="231" spans="1:7">
      <c r="A231">
        <v>230</v>
      </c>
      <c r="B231">
        <v>0.16669999999999999</v>
      </c>
      <c r="C231">
        <v>0.5</v>
      </c>
      <c r="D231">
        <v>0.16420000000000001</v>
      </c>
      <c r="E231">
        <v>1</v>
      </c>
      <c r="F231">
        <v>73</v>
      </c>
      <c r="G231">
        <v>74</v>
      </c>
    </row>
    <row r="232" spans="1:7">
      <c r="A232">
        <v>231</v>
      </c>
      <c r="B232">
        <v>0.13639999999999999</v>
      </c>
      <c r="C232">
        <v>0.59</v>
      </c>
      <c r="D232">
        <v>0.19400000000000001</v>
      </c>
      <c r="E232">
        <v>1</v>
      </c>
      <c r="F232">
        <v>37</v>
      </c>
      <c r="G232">
        <v>38</v>
      </c>
    </row>
    <row r="233" spans="1:7">
      <c r="A233">
        <v>232</v>
      </c>
      <c r="B233">
        <v>0.1515</v>
      </c>
      <c r="C233">
        <v>0.59</v>
      </c>
      <c r="D233">
        <v>0.16420000000000001</v>
      </c>
      <c r="E233">
        <v>2</v>
      </c>
      <c r="F233">
        <v>22</v>
      </c>
      <c r="G233">
        <v>24</v>
      </c>
    </row>
    <row r="234" spans="1:7">
      <c r="A234">
        <v>233</v>
      </c>
      <c r="B234">
        <v>0.1515</v>
      </c>
      <c r="C234">
        <v>0.59</v>
      </c>
      <c r="D234">
        <v>0.16420000000000001</v>
      </c>
      <c r="E234">
        <v>0</v>
      </c>
      <c r="F234">
        <v>18</v>
      </c>
      <c r="G234">
        <v>18</v>
      </c>
    </row>
    <row r="235" spans="1:7">
      <c r="A235">
        <v>234</v>
      </c>
      <c r="B235">
        <v>0.16669999999999999</v>
      </c>
      <c r="C235">
        <v>0.59</v>
      </c>
      <c r="D235">
        <v>0.1045</v>
      </c>
      <c r="E235">
        <v>2</v>
      </c>
      <c r="F235">
        <v>10</v>
      </c>
      <c r="G235">
        <v>12</v>
      </c>
    </row>
    <row r="236" spans="1:7">
      <c r="A236">
        <v>235</v>
      </c>
      <c r="B236">
        <v>0.1515</v>
      </c>
      <c r="C236">
        <v>0.59</v>
      </c>
      <c r="D236">
        <v>0.16420000000000001</v>
      </c>
      <c r="E236">
        <v>0</v>
      </c>
      <c r="F236">
        <v>3</v>
      </c>
      <c r="G236">
        <v>3</v>
      </c>
    </row>
    <row r="237" spans="1:7">
      <c r="A237">
        <v>236</v>
      </c>
      <c r="B237">
        <v>0.1515</v>
      </c>
      <c r="C237">
        <v>0.55000000000000004</v>
      </c>
      <c r="D237">
        <v>0.19400000000000001</v>
      </c>
      <c r="E237">
        <v>0</v>
      </c>
      <c r="F237">
        <v>3</v>
      </c>
      <c r="G237">
        <v>3</v>
      </c>
    </row>
    <row r="238" spans="1:7">
      <c r="A238">
        <v>237</v>
      </c>
      <c r="B238">
        <v>0.18179999999999999</v>
      </c>
      <c r="C238">
        <v>0.55000000000000004</v>
      </c>
      <c r="D238">
        <v>0.1343</v>
      </c>
      <c r="E238">
        <v>0</v>
      </c>
      <c r="F238">
        <v>6</v>
      </c>
      <c r="G238">
        <v>6</v>
      </c>
    </row>
    <row r="239" spans="1:7">
      <c r="A239">
        <v>238</v>
      </c>
      <c r="B239">
        <v>0.18179999999999999</v>
      </c>
      <c r="C239">
        <v>0.55000000000000004</v>
      </c>
      <c r="D239">
        <v>0.1343</v>
      </c>
      <c r="E239">
        <v>0</v>
      </c>
      <c r="F239">
        <v>27</v>
      </c>
      <c r="G239">
        <v>27</v>
      </c>
    </row>
    <row r="240" spans="1:7">
      <c r="A240">
        <v>239</v>
      </c>
      <c r="B240">
        <v>0.2273</v>
      </c>
      <c r="C240">
        <v>0.55000000000000004</v>
      </c>
      <c r="D240">
        <v>0</v>
      </c>
      <c r="E240">
        <v>2</v>
      </c>
      <c r="F240">
        <v>97</v>
      </c>
      <c r="G240">
        <v>99</v>
      </c>
    </row>
    <row r="241" spans="1:7">
      <c r="A241">
        <v>240</v>
      </c>
      <c r="B241">
        <v>0.21210000000000001</v>
      </c>
      <c r="C241">
        <v>0.51</v>
      </c>
      <c r="D241">
        <v>8.9599999999999999E-2</v>
      </c>
      <c r="E241">
        <v>3</v>
      </c>
      <c r="F241">
        <v>214</v>
      </c>
      <c r="G241">
        <v>217</v>
      </c>
    </row>
    <row r="242" spans="1:7">
      <c r="A242">
        <v>241</v>
      </c>
      <c r="B242">
        <v>0.19700000000000001</v>
      </c>
      <c r="C242">
        <v>0.51</v>
      </c>
      <c r="D242">
        <v>0.16420000000000001</v>
      </c>
      <c r="E242">
        <v>3</v>
      </c>
      <c r="F242">
        <v>127</v>
      </c>
      <c r="G242">
        <v>130</v>
      </c>
    </row>
    <row r="243" spans="1:7">
      <c r="A243">
        <v>242</v>
      </c>
      <c r="B243">
        <v>0.21210000000000001</v>
      </c>
      <c r="C243">
        <v>0.51</v>
      </c>
      <c r="D243">
        <v>0.16420000000000001</v>
      </c>
      <c r="E243">
        <v>3</v>
      </c>
      <c r="F243">
        <v>51</v>
      </c>
      <c r="G243">
        <v>54</v>
      </c>
    </row>
    <row r="244" spans="1:7">
      <c r="A244">
        <v>243</v>
      </c>
      <c r="B244">
        <v>0.21210000000000001</v>
      </c>
      <c r="C244">
        <v>0.47</v>
      </c>
      <c r="D244">
        <v>0.1343</v>
      </c>
      <c r="E244">
        <v>4</v>
      </c>
      <c r="F244">
        <v>31</v>
      </c>
      <c r="G244">
        <v>35</v>
      </c>
    </row>
    <row r="245" spans="1:7">
      <c r="A245">
        <v>244</v>
      </c>
      <c r="B245">
        <v>0.2273</v>
      </c>
      <c r="C245">
        <v>0.51</v>
      </c>
      <c r="D245">
        <v>0.1045</v>
      </c>
      <c r="E245">
        <v>2</v>
      </c>
      <c r="F245">
        <v>55</v>
      </c>
      <c r="G245">
        <v>57</v>
      </c>
    </row>
    <row r="246" spans="1:7">
      <c r="A246">
        <v>245</v>
      </c>
      <c r="B246">
        <v>0.2273</v>
      </c>
      <c r="C246">
        <v>0.59</v>
      </c>
      <c r="D246">
        <v>8.9599999999999999E-2</v>
      </c>
      <c r="E246">
        <v>6</v>
      </c>
      <c r="F246">
        <v>46</v>
      </c>
      <c r="G246">
        <v>52</v>
      </c>
    </row>
    <row r="247" spans="1:7">
      <c r="A247">
        <v>246</v>
      </c>
      <c r="B247">
        <v>0.2273</v>
      </c>
      <c r="C247">
        <v>0.59</v>
      </c>
      <c r="D247">
        <v>8.9599999999999999E-2</v>
      </c>
      <c r="E247">
        <v>3</v>
      </c>
      <c r="F247">
        <v>60</v>
      </c>
      <c r="G247">
        <v>63</v>
      </c>
    </row>
    <row r="248" spans="1:7">
      <c r="A248">
        <v>247</v>
      </c>
      <c r="B248">
        <v>0.19700000000000001</v>
      </c>
      <c r="C248">
        <v>0.8</v>
      </c>
      <c r="D248">
        <v>8.9599999999999999E-2</v>
      </c>
      <c r="E248">
        <v>2</v>
      </c>
      <c r="F248">
        <v>45</v>
      </c>
      <c r="G248">
        <v>47</v>
      </c>
    </row>
    <row r="249" spans="1:7">
      <c r="A249">
        <v>248</v>
      </c>
      <c r="B249">
        <v>0.1515</v>
      </c>
      <c r="C249">
        <v>0.86</v>
      </c>
      <c r="D249">
        <v>0.22389999999999999</v>
      </c>
      <c r="E249">
        <v>4</v>
      </c>
      <c r="F249">
        <v>72</v>
      </c>
      <c r="G249">
        <v>76</v>
      </c>
    </row>
    <row r="250" spans="1:7">
      <c r="A250">
        <v>249</v>
      </c>
      <c r="B250">
        <v>0.1515</v>
      </c>
      <c r="C250">
        <v>0.86</v>
      </c>
      <c r="D250">
        <v>0.22389999999999999</v>
      </c>
      <c r="E250">
        <v>6</v>
      </c>
      <c r="F250">
        <v>130</v>
      </c>
      <c r="G250">
        <v>136</v>
      </c>
    </row>
    <row r="251" spans="1:7">
      <c r="A251">
        <v>250</v>
      </c>
      <c r="B251">
        <v>0.18179999999999999</v>
      </c>
      <c r="C251">
        <v>0.93</v>
      </c>
      <c r="D251">
        <v>0.1045</v>
      </c>
      <c r="E251">
        <v>1</v>
      </c>
      <c r="F251">
        <v>94</v>
      </c>
      <c r="G251">
        <v>95</v>
      </c>
    </row>
    <row r="252" spans="1:7">
      <c r="A252">
        <v>251</v>
      </c>
      <c r="B252">
        <v>0.2273</v>
      </c>
      <c r="C252">
        <v>0.93</v>
      </c>
      <c r="D252">
        <v>0</v>
      </c>
      <c r="E252">
        <v>0</v>
      </c>
      <c r="F252">
        <v>51</v>
      </c>
      <c r="G252">
        <v>51</v>
      </c>
    </row>
    <row r="253" spans="1:7">
      <c r="A253">
        <v>252</v>
      </c>
      <c r="B253">
        <v>0.1515</v>
      </c>
      <c r="C253">
        <v>0.93</v>
      </c>
      <c r="D253">
        <v>0.19400000000000001</v>
      </c>
      <c r="E253">
        <v>0</v>
      </c>
      <c r="F253">
        <v>32</v>
      </c>
      <c r="G253">
        <v>32</v>
      </c>
    </row>
    <row r="254" spans="1:7">
      <c r="A254">
        <v>253</v>
      </c>
      <c r="B254">
        <v>0.19700000000000001</v>
      </c>
      <c r="C254">
        <v>0.86</v>
      </c>
      <c r="D254">
        <v>8.9599999999999999E-2</v>
      </c>
      <c r="E254">
        <v>0</v>
      </c>
      <c r="F254">
        <v>20</v>
      </c>
      <c r="G254">
        <v>20</v>
      </c>
    </row>
    <row r="255" spans="1:7">
      <c r="A255">
        <v>254</v>
      </c>
      <c r="B255">
        <v>0.18179999999999999</v>
      </c>
      <c r="C255">
        <v>0.93</v>
      </c>
      <c r="D255">
        <v>0.1045</v>
      </c>
      <c r="E255">
        <v>1</v>
      </c>
      <c r="F255">
        <v>28</v>
      </c>
      <c r="G255">
        <v>29</v>
      </c>
    </row>
    <row r="256" spans="1:7">
      <c r="A256">
        <v>255</v>
      </c>
      <c r="B256">
        <v>0.19700000000000001</v>
      </c>
      <c r="C256">
        <v>0.93</v>
      </c>
      <c r="D256">
        <v>8.9599999999999999E-2</v>
      </c>
      <c r="E256">
        <v>1</v>
      </c>
      <c r="F256">
        <v>18</v>
      </c>
      <c r="G256">
        <v>19</v>
      </c>
    </row>
    <row r="257" spans="1:7">
      <c r="A257">
        <v>256</v>
      </c>
      <c r="B257">
        <v>0.19700000000000001</v>
      </c>
      <c r="C257">
        <v>0.86</v>
      </c>
      <c r="D257">
        <v>8.9599999999999999E-2</v>
      </c>
      <c r="E257">
        <v>0</v>
      </c>
      <c r="F257">
        <v>7</v>
      </c>
      <c r="G257">
        <v>7</v>
      </c>
    </row>
    <row r="258" spans="1:7">
      <c r="A258">
        <v>257</v>
      </c>
      <c r="B258">
        <v>0.18179999999999999</v>
      </c>
      <c r="C258">
        <v>0.86</v>
      </c>
      <c r="D258">
        <v>0.1045</v>
      </c>
      <c r="E258">
        <v>0</v>
      </c>
      <c r="F258">
        <v>6</v>
      </c>
      <c r="G258">
        <v>6</v>
      </c>
    </row>
    <row r="259" spans="1:7">
      <c r="A259">
        <v>258</v>
      </c>
      <c r="B259">
        <v>0.1515</v>
      </c>
      <c r="C259">
        <v>0.86</v>
      </c>
      <c r="D259">
        <v>0.1343</v>
      </c>
      <c r="E259">
        <v>0</v>
      </c>
      <c r="F259">
        <v>1</v>
      </c>
      <c r="G259">
        <v>1</v>
      </c>
    </row>
    <row r="260" spans="1:7">
      <c r="A260">
        <v>259</v>
      </c>
      <c r="B260">
        <v>0.1515</v>
      </c>
      <c r="C260">
        <v>0.86</v>
      </c>
      <c r="D260">
        <v>0.16420000000000001</v>
      </c>
      <c r="E260">
        <v>0</v>
      </c>
      <c r="F260">
        <v>5</v>
      </c>
      <c r="G260">
        <v>5</v>
      </c>
    </row>
    <row r="261" spans="1:7">
      <c r="A261">
        <v>260</v>
      </c>
      <c r="B261">
        <v>0.1515</v>
      </c>
      <c r="C261">
        <v>0.93</v>
      </c>
      <c r="D261">
        <v>0.1343</v>
      </c>
      <c r="E261">
        <v>0</v>
      </c>
      <c r="F261">
        <v>16</v>
      </c>
      <c r="G261">
        <v>16</v>
      </c>
    </row>
    <row r="262" spans="1:7">
      <c r="A262">
        <v>261</v>
      </c>
      <c r="B262">
        <v>0.1515</v>
      </c>
      <c r="C262">
        <v>0.69</v>
      </c>
      <c r="D262">
        <v>0.1343</v>
      </c>
      <c r="E262">
        <v>0</v>
      </c>
      <c r="F262">
        <v>54</v>
      </c>
      <c r="G262">
        <v>54</v>
      </c>
    </row>
    <row r="263" spans="1:7">
      <c r="A263">
        <v>262</v>
      </c>
      <c r="B263">
        <v>0.16669999999999999</v>
      </c>
      <c r="C263">
        <v>0.59</v>
      </c>
      <c r="D263">
        <v>0.16420000000000001</v>
      </c>
      <c r="E263">
        <v>3</v>
      </c>
      <c r="F263">
        <v>125</v>
      </c>
      <c r="G263">
        <v>128</v>
      </c>
    </row>
    <row r="264" spans="1:7">
      <c r="A264">
        <v>263</v>
      </c>
      <c r="B264">
        <v>0.13639999999999999</v>
      </c>
      <c r="C264">
        <v>0.59</v>
      </c>
      <c r="D264">
        <v>0.32840000000000003</v>
      </c>
      <c r="E264">
        <v>3</v>
      </c>
      <c r="F264">
        <v>78</v>
      </c>
      <c r="G264">
        <v>81</v>
      </c>
    </row>
    <row r="265" spans="1:7">
      <c r="A265">
        <v>264</v>
      </c>
      <c r="B265">
        <v>0.18179999999999999</v>
      </c>
      <c r="C265">
        <v>0.55000000000000004</v>
      </c>
      <c r="D265">
        <v>0.22389999999999999</v>
      </c>
      <c r="E265">
        <v>0</v>
      </c>
      <c r="F265">
        <v>39</v>
      </c>
      <c r="G265">
        <v>39</v>
      </c>
    </row>
    <row r="266" spans="1:7">
      <c r="A266">
        <v>265</v>
      </c>
      <c r="B266">
        <v>0.18179999999999999</v>
      </c>
      <c r="C266">
        <v>0.51</v>
      </c>
      <c r="D266">
        <v>0.3881</v>
      </c>
      <c r="E266">
        <v>3</v>
      </c>
      <c r="F266">
        <v>32</v>
      </c>
      <c r="G266">
        <v>35</v>
      </c>
    </row>
    <row r="267" spans="1:7">
      <c r="A267">
        <v>266</v>
      </c>
      <c r="B267">
        <v>0.1515</v>
      </c>
      <c r="C267">
        <v>0.47</v>
      </c>
      <c r="D267">
        <v>0.58209999999999995</v>
      </c>
      <c r="E267">
        <v>3</v>
      </c>
      <c r="F267">
        <v>52</v>
      </c>
      <c r="G267">
        <v>55</v>
      </c>
    </row>
    <row r="268" spans="1:7">
      <c r="A268">
        <v>267</v>
      </c>
      <c r="B268">
        <v>0.19700000000000001</v>
      </c>
      <c r="C268">
        <v>0.44</v>
      </c>
      <c r="D268">
        <v>0.35820000000000002</v>
      </c>
      <c r="E268">
        <v>0</v>
      </c>
      <c r="F268">
        <v>49</v>
      </c>
      <c r="G268">
        <v>49</v>
      </c>
    </row>
    <row r="269" spans="1:7">
      <c r="A269">
        <v>268</v>
      </c>
      <c r="B269">
        <v>0.18179999999999999</v>
      </c>
      <c r="C269">
        <v>0.47</v>
      </c>
      <c r="D269">
        <v>0.32840000000000003</v>
      </c>
      <c r="E269">
        <v>0</v>
      </c>
      <c r="F269">
        <v>44</v>
      </c>
      <c r="G269">
        <v>44</v>
      </c>
    </row>
    <row r="270" spans="1:7">
      <c r="A270">
        <v>269</v>
      </c>
      <c r="B270">
        <v>0.16669999999999999</v>
      </c>
      <c r="C270">
        <v>0.47</v>
      </c>
      <c r="D270">
        <v>0.41789999999999999</v>
      </c>
      <c r="E270">
        <v>1</v>
      </c>
      <c r="F270">
        <v>48</v>
      </c>
      <c r="G270">
        <v>49</v>
      </c>
    </row>
    <row r="271" spans="1:7">
      <c r="A271">
        <v>270</v>
      </c>
      <c r="B271">
        <v>0.19700000000000001</v>
      </c>
      <c r="C271">
        <v>0.44</v>
      </c>
      <c r="D271">
        <v>0.32840000000000003</v>
      </c>
      <c r="E271">
        <v>5</v>
      </c>
      <c r="F271">
        <v>63</v>
      </c>
      <c r="G271">
        <v>68</v>
      </c>
    </row>
    <row r="272" spans="1:7">
      <c r="A272">
        <v>271</v>
      </c>
      <c r="B272">
        <v>0.18179999999999999</v>
      </c>
      <c r="C272">
        <v>0.47</v>
      </c>
      <c r="D272">
        <v>0.35820000000000002</v>
      </c>
      <c r="E272">
        <v>0</v>
      </c>
      <c r="F272">
        <v>139</v>
      </c>
      <c r="G272">
        <v>139</v>
      </c>
    </row>
    <row r="273" spans="1:7">
      <c r="A273">
        <v>272</v>
      </c>
      <c r="B273">
        <v>0.1515</v>
      </c>
      <c r="C273">
        <v>0.47</v>
      </c>
      <c r="D273">
        <v>0.52239999999999998</v>
      </c>
      <c r="E273">
        <v>2</v>
      </c>
      <c r="F273">
        <v>135</v>
      </c>
      <c r="G273">
        <v>137</v>
      </c>
    </row>
    <row r="274" spans="1:7">
      <c r="A274">
        <v>273</v>
      </c>
      <c r="B274">
        <v>0.1515</v>
      </c>
      <c r="C274">
        <v>0.47</v>
      </c>
      <c r="D274">
        <v>0.41789999999999999</v>
      </c>
      <c r="E274">
        <v>1</v>
      </c>
      <c r="F274">
        <v>82</v>
      </c>
      <c r="G274">
        <v>83</v>
      </c>
    </row>
    <row r="275" spans="1:7">
      <c r="A275">
        <v>274</v>
      </c>
      <c r="B275">
        <v>0.13639999999999999</v>
      </c>
      <c r="C275">
        <v>0.5</v>
      </c>
      <c r="D275">
        <v>0.32840000000000003</v>
      </c>
      <c r="E275">
        <v>2</v>
      </c>
      <c r="F275">
        <v>54</v>
      </c>
      <c r="G275">
        <v>56</v>
      </c>
    </row>
    <row r="276" spans="1:7">
      <c r="A276">
        <v>275</v>
      </c>
      <c r="B276">
        <v>0.13639999999999999</v>
      </c>
      <c r="C276">
        <v>0.55000000000000004</v>
      </c>
      <c r="D276">
        <v>0.32840000000000003</v>
      </c>
      <c r="E276">
        <v>0</v>
      </c>
      <c r="F276">
        <v>57</v>
      </c>
      <c r="G276">
        <v>57</v>
      </c>
    </row>
    <row r="277" spans="1:7">
      <c r="A277">
        <v>276</v>
      </c>
      <c r="B277">
        <v>0.1212</v>
      </c>
      <c r="C277">
        <v>0.55000000000000004</v>
      </c>
      <c r="D277">
        <v>0.44779999999999998</v>
      </c>
      <c r="E277">
        <v>1</v>
      </c>
      <c r="F277">
        <v>32</v>
      </c>
      <c r="G277">
        <v>33</v>
      </c>
    </row>
    <row r="278" spans="1:7">
      <c r="A278">
        <v>277</v>
      </c>
      <c r="B278">
        <v>0.1061</v>
      </c>
      <c r="C278">
        <v>0.59</v>
      </c>
      <c r="D278">
        <v>0.41789999999999999</v>
      </c>
      <c r="E278">
        <v>1</v>
      </c>
      <c r="F278">
        <v>19</v>
      </c>
      <c r="G278">
        <v>20</v>
      </c>
    </row>
    <row r="279" spans="1:7">
      <c r="A279">
        <v>278</v>
      </c>
      <c r="B279">
        <v>0.1212</v>
      </c>
      <c r="C279">
        <v>0.59</v>
      </c>
      <c r="D279">
        <v>0.28360000000000002</v>
      </c>
      <c r="E279">
        <v>1</v>
      </c>
      <c r="F279">
        <v>6</v>
      </c>
      <c r="G279">
        <v>7</v>
      </c>
    </row>
    <row r="280" spans="1:7">
      <c r="A280">
        <v>279</v>
      </c>
      <c r="B280">
        <v>0.1212</v>
      </c>
      <c r="C280">
        <v>0.5</v>
      </c>
      <c r="D280">
        <v>0.28360000000000002</v>
      </c>
      <c r="E280">
        <v>0</v>
      </c>
      <c r="F280">
        <v>2</v>
      </c>
      <c r="G280">
        <v>2</v>
      </c>
    </row>
    <row r="281" spans="1:7">
      <c r="A281">
        <v>280</v>
      </c>
      <c r="B281">
        <v>0.1212</v>
      </c>
      <c r="C281">
        <v>0.5</v>
      </c>
      <c r="D281">
        <v>0.35820000000000002</v>
      </c>
      <c r="E281">
        <v>0</v>
      </c>
      <c r="F281">
        <v>2</v>
      </c>
      <c r="G281">
        <v>2</v>
      </c>
    </row>
    <row r="282" spans="1:7">
      <c r="A282">
        <v>281</v>
      </c>
      <c r="B282">
        <v>0.1212</v>
      </c>
      <c r="C282">
        <v>0.5</v>
      </c>
      <c r="D282">
        <v>0.32840000000000003</v>
      </c>
      <c r="E282">
        <v>0</v>
      </c>
      <c r="F282">
        <v>3</v>
      </c>
      <c r="G282">
        <v>3</v>
      </c>
    </row>
    <row r="283" spans="1:7">
      <c r="A283">
        <v>282</v>
      </c>
      <c r="B283">
        <v>0.1212</v>
      </c>
      <c r="C283">
        <v>0.5</v>
      </c>
      <c r="D283">
        <v>0.25369999999999998</v>
      </c>
      <c r="E283">
        <v>0</v>
      </c>
      <c r="F283">
        <v>4</v>
      </c>
      <c r="G283">
        <v>4</v>
      </c>
    </row>
    <row r="284" spans="1:7">
      <c r="A284">
        <v>283</v>
      </c>
      <c r="B284">
        <v>0.1212</v>
      </c>
      <c r="C284">
        <v>0.5</v>
      </c>
      <c r="D284">
        <v>0.29849999999999999</v>
      </c>
      <c r="E284">
        <v>0</v>
      </c>
      <c r="F284">
        <v>3</v>
      </c>
      <c r="G284">
        <v>3</v>
      </c>
    </row>
    <row r="285" spans="1:7">
      <c r="A285">
        <v>284</v>
      </c>
      <c r="B285">
        <v>0.1515</v>
      </c>
      <c r="C285">
        <v>0.54</v>
      </c>
      <c r="D285">
        <v>0.1343</v>
      </c>
      <c r="E285">
        <v>0</v>
      </c>
      <c r="F285">
        <v>28</v>
      </c>
      <c r="G285">
        <v>28</v>
      </c>
    </row>
    <row r="286" spans="1:7">
      <c r="A286">
        <v>285</v>
      </c>
      <c r="B286">
        <v>0.1515</v>
      </c>
      <c r="C286">
        <v>0.54</v>
      </c>
      <c r="D286">
        <v>0.1343</v>
      </c>
      <c r="E286">
        <v>0</v>
      </c>
      <c r="F286">
        <v>72</v>
      </c>
      <c r="G286">
        <v>72</v>
      </c>
    </row>
    <row r="287" spans="1:7">
      <c r="A287">
        <v>286</v>
      </c>
      <c r="B287">
        <v>0.13639999999999999</v>
      </c>
      <c r="C287">
        <v>0.5</v>
      </c>
      <c r="D287">
        <v>0.19400000000000001</v>
      </c>
      <c r="E287">
        <v>5</v>
      </c>
      <c r="F287">
        <v>197</v>
      </c>
      <c r="G287">
        <v>202</v>
      </c>
    </row>
    <row r="288" spans="1:7">
      <c r="A288">
        <v>287</v>
      </c>
      <c r="B288">
        <v>0.1212</v>
      </c>
      <c r="C288">
        <v>0.5</v>
      </c>
      <c r="D288">
        <v>0.32840000000000003</v>
      </c>
      <c r="E288">
        <v>2</v>
      </c>
      <c r="F288">
        <v>137</v>
      </c>
      <c r="G288">
        <v>139</v>
      </c>
    </row>
    <row r="289" spans="1:7">
      <c r="A289">
        <v>288</v>
      </c>
      <c r="B289">
        <v>0.13639999999999999</v>
      </c>
      <c r="C289">
        <v>0.5</v>
      </c>
      <c r="D289">
        <v>0.35820000000000002</v>
      </c>
      <c r="E289">
        <v>2</v>
      </c>
      <c r="F289">
        <v>36</v>
      </c>
      <c r="G289">
        <v>38</v>
      </c>
    </row>
    <row r="290" spans="1:7">
      <c r="A290">
        <v>289</v>
      </c>
      <c r="B290">
        <v>0.16669999999999999</v>
      </c>
      <c r="C290">
        <v>0.44</v>
      </c>
      <c r="D290">
        <v>0.44779999999999998</v>
      </c>
      <c r="E290">
        <v>4</v>
      </c>
      <c r="F290">
        <v>33</v>
      </c>
      <c r="G290">
        <v>37</v>
      </c>
    </row>
    <row r="291" spans="1:7">
      <c r="A291">
        <v>290</v>
      </c>
      <c r="B291">
        <v>0.16669999999999999</v>
      </c>
      <c r="C291">
        <v>0.44</v>
      </c>
      <c r="D291">
        <v>0.41789999999999999</v>
      </c>
      <c r="E291">
        <v>3</v>
      </c>
      <c r="F291">
        <v>49</v>
      </c>
      <c r="G291">
        <v>52</v>
      </c>
    </row>
    <row r="292" spans="1:7">
      <c r="A292">
        <v>291</v>
      </c>
      <c r="B292">
        <v>0.19700000000000001</v>
      </c>
      <c r="C292">
        <v>0.41</v>
      </c>
      <c r="D292">
        <v>0.44779999999999998</v>
      </c>
      <c r="E292">
        <v>2</v>
      </c>
      <c r="F292">
        <v>81</v>
      </c>
      <c r="G292">
        <v>83</v>
      </c>
    </row>
    <row r="293" spans="1:7">
      <c r="A293">
        <v>292</v>
      </c>
      <c r="B293">
        <v>0.19700000000000001</v>
      </c>
      <c r="C293">
        <v>0.41</v>
      </c>
      <c r="D293">
        <v>0.3881</v>
      </c>
      <c r="E293">
        <v>3</v>
      </c>
      <c r="F293">
        <v>39</v>
      </c>
      <c r="G293">
        <v>42</v>
      </c>
    </row>
    <row r="294" spans="1:7">
      <c r="A294">
        <v>293</v>
      </c>
      <c r="B294">
        <v>0.21210000000000001</v>
      </c>
      <c r="C294">
        <v>0.38</v>
      </c>
      <c r="D294">
        <v>0.29849999999999999</v>
      </c>
      <c r="E294">
        <v>5</v>
      </c>
      <c r="F294">
        <v>55</v>
      </c>
      <c r="G294">
        <v>60</v>
      </c>
    </row>
    <row r="295" spans="1:7">
      <c r="A295">
        <v>294</v>
      </c>
      <c r="B295">
        <v>0.21210000000000001</v>
      </c>
      <c r="C295">
        <v>0.38</v>
      </c>
      <c r="D295">
        <v>0.35820000000000002</v>
      </c>
      <c r="E295">
        <v>2</v>
      </c>
      <c r="F295">
        <v>76</v>
      </c>
      <c r="G295">
        <v>78</v>
      </c>
    </row>
    <row r="296" spans="1:7">
      <c r="A296">
        <v>295</v>
      </c>
      <c r="B296">
        <v>0.18179999999999999</v>
      </c>
      <c r="C296">
        <v>0.4</v>
      </c>
      <c r="D296">
        <v>0.28360000000000002</v>
      </c>
      <c r="E296">
        <v>4</v>
      </c>
      <c r="F296">
        <v>158</v>
      </c>
      <c r="G296">
        <v>162</v>
      </c>
    </row>
    <row r="297" spans="1:7">
      <c r="A297">
        <v>296</v>
      </c>
      <c r="B297">
        <v>0.18179999999999999</v>
      </c>
      <c r="C297">
        <v>0.4</v>
      </c>
      <c r="D297">
        <v>0.32840000000000003</v>
      </c>
      <c r="E297">
        <v>3</v>
      </c>
      <c r="F297">
        <v>141</v>
      </c>
      <c r="G297">
        <v>144</v>
      </c>
    </row>
    <row r="298" spans="1:7">
      <c r="A298">
        <v>297</v>
      </c>
      <c r="B298">
        <v>0.1515</v>
      </c>
      <c r="C298">
        <v>0.47</v>
      </c>
      <c r="D298">
        <v>0.25369999999999998</v>
      </c>
      <c r="E298">
        <v>1</v>
      </c>
      <c r="F298">
        <v>98</v>
      </c>
      <c r="G298">
        <v>99</v>
      </c>
    </row>
    <row r="299" spans="1:7">
      <c r="A299">
        <v>298</v>
      </c>
      <c r="B299">
        <v>0.1515</v>
      </c>
      <c r="C299">
        <v>0.47</v>
      </c>
      <c r="D299">
        <v>0.22389999999999999</v>
      </c>
      <c r="E299">
        <v>0</v>
      </c>
      <c r="F299">
        <v>64</v>
      </c>
      <c r="G299">
        <v>64</v>
      </c>
    </row>
    <row r="300" spans="1:7">
      <c r="A300">
        <v>299</v>
      </c>
      <c r="B300">
        <v>0.1212</v>
      </c>
      <c r="C300">
        <v>0.46</v>
      </c>
      <c r="D300">
        <v>0.29849999999999999</v>
      </c>
      <c r="E300">
        <v>0</v>
      </c>
      <c r="F300">
        <v>40</v>
      </c>
      <c r="G300">
        <v>40</v>
      </c>
    </row>
    <row r="301" spans="1:7">
      <c r="A301">
        <v>300</v>
      </c>
      <c r="B301">
        <v>0.1212</v>
      </c>
      <c r="C301">
        <v>0.46</v>
      </c>
      <c r="D301">
        <v>0.32840000000000003</v>
      </c>
      <c r="E301">
        <v>0</v>
      </c>
      <c r="F301">
        <v>30</v>
      </c>
      <c r="G301">
        <v>30</v>
      </c>
    </row>
    <row r="302" spans="1:7">
      <c r="A302">
        <v>301</v>
      </c>
      <c r="B302">
        <v>0.13639999999999999</v>
      </c>
      <c r="C302">
        <v>0.5</v>
      </c>
      <c r="D302">
        <v>0.19400000000000001</v>
      </c>
      <c r="E302">
        <v>1</v>
      </c>
      <c r="F302">
        <v>14</v>
      </c>
      <c r="G302">
        <v>15</v>
      </c>
    </row>
    <row r="303" spans="1:7">
      <c r="A303">
        <v>302</v>
      </c>
      <c r="B303">
        <v>0.13639999999999999</v>
      </c>
      <c r="C303">
        <v>0.5</v>
      </c>
      <c r="D303">
        <v>0.19400000000000001</v>
      </c>
      <c r="E303">
        <v>0</v>
      </c>
      <c r="F303">
        <v>14</v>
      </c>
      <c r="G303">
        <v>14</v>
      </c>
    </row>
    <row r="304" spans="1:7">
      <c r="A304">
        <v>303</v>
      </c>
      <c r="B304">
        <v>0.1212</v>
      </c>
      <c r="C304">
        <v>0.54</v>
      </c>
      <c r="D304">
        <v>0.16420000000000001</v>
      </c>
      <c r="E304">
        <v>0</v>
      </c>
      <c r="F304">
        <v>5</v>
      </c>
      <c r="G304">
        <v>5</v>
      </c>
    </row>
    <row r="305" spans="1:7">
      <c r="A305">
        <v>304</v>
      </c>
      <c r="B305">
        <v>0.1212</v>
      </c>
      <c r="C305">
        <v>0.54</v>
      </c>
      <c r="D305">
        <v>0.1343</v>
      </c>
      <c r="E305">
        <v>0</v>
      </c>
      <c r="F305">
        <v>1</v>
      </c>
      <c r="G305">
        <v>1</v>
      </c>
    </row>
    <row r="306" spans="1:7">
      <c r="A306">
        <v>305</v>
      </c>
      <c r="B306">
        <v>0.13639999999999999</v>
      </c>
      <c r="C306">
        <v>0.54</v>
      </c>
      <c r="D306">
        <v>0.1045</v>
      </c>
      <c r="E306">
        <v>0</v>
      </c>
      <c r="F306">
        <v>1</v>
      </c>
      <c r="G306">
        <v>1</v>
      </c>
    </row>
    <row r="307" spans="1:7">
      <c r="A307">
        <v>306</v>
      </c>
      <c r="B307">
        <v>0.13639999999999999</v>
      </c>
      <c r="C307">
        <v>0.54</v>
      </c>
      <c r="D307">
        <v>8.9599999999999999E-2</v>
      </c>
      <c r="E307">
        <v>0</v>
      </c>
      <c r="F307">
        <v>8</v>
      </c>
      <c r="G307">
        <v>8</v>
      </c>
    </row>
    <row r="308" spans="1:7">
      <c r="A308">
        <v>307</v>
      </c>
      <c r="B308">
        <v>0.18179999999999999</v>
      </c>
      <c r="C308">
        <v>0.54</v>
      </c>
      <c r="D308">
        <v>0</v>
      </c>
      <c r="E308">
        <v>0</v>
      </c>
      <c r="F308">
        <v>17</v>
      </c>
      <c r="G308">
        <v>17</v>
      </c>
    </row>
    <row r="309" spans="1:7">
      <c r="A309">
        <v>308</v>
      </c>
      <c r="B309">
        <v>0.1212</v>
      </c>
      <c r="C309">
        <v>0.74</v>
      </c>
      <c r="D309">
        <v>0.16420000000000001</v>
      </c>
      <c r="E309">
        <v>0</v>
      </c>
      <c r="F309">
        <v>70</v>
      </c>
      <c r="G309">
        <v>70</v>
      </c>
    </row>
    <row r="310" spans="1:7">
      <c r="A310">
        <v>309</v>
      </c>
      <c r="B310">
        <v>0.16669999999999999</v>
      </c>
      <c r="C310">
        <v>0.68</v>
      </c>
      <c r="D310">
        <v>0</v>
      </c>
      <c r="E310">
        <v>2</v>
      </c>
      <c r="F310">
        <v>156</v>
      </c>
      <c r="G310">
        <v>158</v>
      </c>
    </row>
    <row r="311" spans="1:7">
      <c r="A311">
        <v>310</v>
      </c>
      <c r="B311">
        <v>0.1515</v>
      </c>
      <c r="C311">
        <v>0.69</v>
      </c>
      <c r="D311">
        <v>0.1343</v>
      </c>
      <c r="E311">
        <v>0</v>
      </c>
      <c r="F311">
        <v>117</v>
      </c>
      <c r="G311">
        <v>117</v>
      </c>
    </row>
    <row r="312" spans="1:7">
      <c r="A312">
        <v>311</v>
      </c>
      <c r="B312">
        <v>0.18179999999999999</v>
      </c>
      <c r="C312">
        <v>0.55000000000000004</v>
      </c>
      <c r="D312">
        <v>0.19400000000000001</v>
      </c>
      <c r="E312">
        <v>4</v>
      </c>
      <c r="F312">
        <v>40</v>
      </c>
      <c r="G312">
        <v>44</v>
      </c>
    </row>
    <row r="313" spans="1:7">
      <c r="A313">
        <v>312</v>
      </c>
      <c r="B313">
        <v>0.16669999999999999</v>
      </c>
      <c r="C313">
        <v>0.51</v>
      </c>
      <c r="D313">
        <v>0.28360000000000002</v>
      </c>
      <c r="E313">
        <v>6</v>
      </c>
      <c r="F313">
        <v>47</v>
      </c>
      <c r="G313">
        <v>53</v>
      </c>
    </row>
    <row r="314" spans="1:7">
      <c r="A314">
        <v>313</v>
      </c>
      <c r="B314">
        <v>0.19700000000000001</v>
      </c>
      <c r="C314">
        <v>0.44</v>
      </c>
      <c r="D314">
        <v>0.25369999999999998</v>
      </c>
      <c r="E314">
        <v>2</v>
      </c>
      <c r="F314">
        <v>59</v>
      </c>
      <c r="G314">
        <v>61</v>
      </c>
    </row>
    <row r="315" spans="1:7">
      <c r="A315">
        <v>314</v>
      </c>
      <c r="B315">
        <v>0.19700000000000001</v>
      </c>
      <c r="C315">
        <v>0.37</v>
      </c>
      <c r="D315">
        <v>0.3881</v>
      </c>
      <c r="E315">
        <v>4</v>
      </c>
      <c r="F315">
        <v>73</v>
      </c>
      <c r="G315">
        <v>77</v>
      </c>
    </row>
    <row r="316" spans="1:7">
      <c r="A316">
        <v>315</v>
      </c>
      <c r="B316">
        <v>0.21210000000000001</v>
      </c>
      <c r="C316">
        <v>0.41</v>
      </c>
      <c r="D316">
        <v>0.28360000000000002</v>
      </c>
      <c r="E316">
        <v>5</v>
      </c>
      <c r="F316">
        <v>59</v>
      </c>
      <c r="G316">
        <v>64</v>
      </c>
    </row>
    <row r="317" spans="1:7">
      <c r="A317">
        <v>316</v>
      </c>
      <c r="B317">
        <v>0.2424</v>
      </c>
      <c r="C317">
        <v>0.38</v>
      </c>
      <c r="D317">
        <v>0.16420000000000001</v>
      </c>
      <c r="E317">
        <v>9</v>
      </c>
      <c r="F317">
        <v>59</v>
      </c>
      <c r="G317">
        <v>68</v>
      </c>
    </row>
    <row r="318" spans="1:7">
      <c r="A318">
        <v>317</v>
      </c>
      <c r="B318">
        <v>0.2424</v>
      </c>
      <c r="C318">
        <v>0.41</v>
      </c>
      <c r="D318">
        <v>0.1045</v>
      </c>
      <c r="E318">
        <v>3</v>
      </c>
      <c r="F318">
        <v>87</v>
      </c>
      <c r="G318">
        <v>90</v>
      </c>
    </row>
    <row r="319" spans="1:7">
      <c r="A319">
        <v>318</v>
      </c>
      <c r="B319">
        <v>0.2273</v>
      </c>
      <c r="C319">
        <v>0.41</v>
      </c>
      <c r="D319">
        <v>0.16420000000000001</v>
      </c>
      <c r="E319">
        <v>4</v>
      </c>
      <c r="F319">
        <v>155</v>
      </c>
      <c r="G319">
        <v>159</v>
      </c>
    </row>
    <row r="320" spans="1:7">
      <c r="A320">
        <v>319</v>
      </c>
      <c r="B320">
        <v>0.2576</v>
      </c>
      <c r="C320">
        <v>0.47</v>
      </c>
      <c r="D320">
        <v>0</v>
      </c>
      <c r="E320">
        <v>5</v>
      </c>
      <c r="F320">
        <v>134</v>
      </c>
      <c r="G320">
        <v>139</v>
      </c>
    </row>
    <row r="321" spans="1:7">
      <c r="A321">
        <v>320</v>
      </c>
      <c r="B321">
        <v>0.19700000000000001</v>
      </c>
      <c r="C321">
        <v>0.59</v>
      </c>
      <c r="D321">
        <v>8.9599999999999999E-2</v>
      </c>
      <c r="E321">
        <v>3</v>
      </c>
      <c r="F321">
        <v>89</v>
      </c>
      <c r="G321">
        <v>92</v>
      </c>
    </row>
    <row r="322" spans="1:7">
      <c r="A322">
        <v>321</v>
      </c>
      <c r="B322">
        <v>0.2424</v>
      </c>
      <c r="C322">
        <v>0.59</v>
      </c>
      <c r="D322">
        <v>0</v>
      </c>
      <c r="E322">
        <v>0</v>
      </c>
      <c r="F322">
        <v>68</v>
      </c>
      <c r="G322">
        <v>68</v>
      </c>
    </row>
    <row r="323" spans="1:7">
      <c r="A323">
        <v>322</v>
      </c>
      <c r="B323">
        <v>0.2273</v>
      </c>
      <c r="C323">
        <v>0.69</v>
      </c>
      <c r="D323">
        <v>0</v>
      </c>
      <c r="E323">
        <v>4</v>
      </c>
      <c r="F323">
        <v>48</v>
      </c>
      <c r="G323">
        <v>52</v>
      </c>
    </row>
    <row r="324" spans="1:7">
      <c r="A324">
        <v>323</v>
      </c>
      <c r="B324">
        <v>0.2273</v>
      </c>
      <c r="C324">
        <v>0.69</v>
      </c>
      <c r="D324">
        <v>0</v>
      </c>
      <c r="E324">
        <v>2</v>
      </c>
      <c r="F324">
        <v>34</v>
      </c>
      <c r="G324">
        <v>36</v>
      </c>
    </row>
    <row r="325" spans="1:7">
      <c r="A325">
        <v>324</v>
      </c>
      <c r="B325">
        <v>0.2424</v>
      </c>
      <c r="C325">
        <v>0.55000000000000004</v>
      </c>
      <c r="D325">
        <v>0</v>
      </c>
      <c r="E325">
        <v>1</v>
      </c>
      <c r="F325">
        <v>26</v>
      </c>
      <c r="G325">
        <v>27</v>
      </c>
    </row>
    <row r="326" spans="1:7">
      <c r="A326">
        <v>325</v>
      </c>
      <c r="B326">
        <v>0.2424</v>
      </c>
      <c r="C326">
        <v>0.55000000000000004</v>
      </c>
      <c r="D326">
        <v>0</v>
      </c>
      <c r="E326">
        <v>3</v>
      </c>
      <c r="F326">
        <v>25</v>
      </c>
      <c r="G326">
        <v>28</v>
      </c>
    </row>
    <row r="327" spans="1:7">
      <c r="A327">
        <v>326</v>
      </c>
      <c r="B327">
        <v>0.19700000000000001</v>
      </c>
      <c r="C327">
        <v>0.59</v>
      </c>
      <c r="D327">
        <v>8.9599999999999999E-2</v>
      </c>
      <c r="E327">
        <v>2</v>
      </c>
      <c r="F327">
        <v>18</v>
      </c>
      <c r="G327">
        <v>20</v>
      </c>
    </row>
    <row r="328" spans="1:7">
      <c r="A328">
        <v>327</v>
      </c>
      <c r="B328">
        <v>0.19700000000000001</v>
      </c>
      <c r="C328">
        <v>0.59</v>
      </c>
      <c r="D328">
        <v>8.9599999999999999E-2</v>
      </c>
      <c r="E328">
        <v>0</v>
      </c>
      <c r="F328">
        <v>12</v>
      </c>
      <c r="G328">
        <v>12</v>
      </c>
    </row>
    <row r="329" spans="1:7">
      <c r="A329">
        <v>328</v>
      </c>
      <c r="B329">
        <v>0.2273</v>
      </c>
      <c r="C329">
        <v>0.59</v>
      </c>
      <c r="D329">
        <v>0</v>
      </c>
      <c r="E329">
        <v>1</v>
      </c>
      <c r="F329">
        <v>7</v>
      </c>
      <c r="G329">
        <v>8</v>
      </c>
    </row>
    <row r="330" spans="1:7">
      <c r="A330">
        <v>329</v>
      </c>
      <c r="B330">
        <v>0.2273</v>
      </c>
      <c r="C330">
        <v>0.59</v>
      </c>
      <c r="D330">
        <v>0</v>
      </c>
      <c r="E330">
        <v>0</v>
      </c>
      <c r="F330">
        <v>5</v>
      </c>
      <c r="G330">
        <v>5</v>
      </c>
    </row>
    <row r="331" spans="1:7">
      <c r="A331">
        <v>330</v>
      </c>
      <c r="B331">
        <v>0.2273</v>
      </c>
      <c r="C331">
        <v>0.59</v>
      </c>
      <c r="D331">
        <v>0</v>
      </c>
      <c r="E331">
        <v>0</v>
      </c>
      <c r="F331">
        <v>1</v>
      </c>
      <c r="G331">
        <v>1</v>
      </c>
    </row>
    <row r="332" spans="1:7">
      <c r="A332">
        <v>331</v>
      </c>
      <c r="B332">
        <v>0.16669999999999999</v>
      </c>
      <c r="C332">
        <v>0.63</v>
      </c>
      <c r="D332">
        <v>0.1045</v>
      </c>
      <c r="E332">
        <v>1</v>
      </c>
      <c r="F332">
        <v>2</v>
      </c>
      <c r="G332">
        <v>3</v>
      </c>
    </row>
    <row r="333" spans="1:7">
      <c r="A333">
        <v>332</v>
      </c>
      <c r="B333">
        <v>0.21210000000000001</v>
      </c>
      <c r="C333">
        <v>0.63</v>
      </c>
      <c r="D333">
        <v>0</v>
      </c>
      <c r="E333">
        <v>1</v>
      </c>
      <c r="F333">
        <v>9</v>
      </c>
      <c r="G333">
        <v>10</v>
      </c>
    </row>
    <row r="334" spans="1:7">
      <c r="A334">
        <v>333</v>
      </c>
      <c r="B334">
        <v>0.1515</v>
      </c>
      <c r="C334">
        <v>0.63</v>
      </c>
      <c r="D334">
        <v>0.1343</v>
      </c>
      <c r="E334">
        <v>1</v>
      </c>
      <c r="F334">
        <v>22</v>
      </c>
      <c r="G334">
        <v>23</v>
      </c>
    </row>
    <row r="335" spans="1:7">
      <c r="A335">
        <v>334</v>
      </c>
      <c r="B335">
        <v>0.18179999999999999</v>
      </c>
      <c r="C335">
        <v>0.64</v>
      </c>
      <c r="D335">
        <v>0.1343</v>
      </c>
      <c r="E335">
        <v>2</v>
      </c>
      <c r="F335">
        <v>31</v>
      </c>
      <c r="G335">
        <v>33</v>
      </c>
    </row>
    <row r="336" spans="1:7">
      <c r="A336">
        <v>335</v>
      </c>
      <c r="B336">
        <v>0.19700000000000001</v>
      </c>
      <c r="C336">
        <v>0.59</v>
      </c>
      <c r="D336">
        <v>0.16420000000000001</v>
      </c>
      <c r="E336">
        <v>2</v>
      </c>
      <c r="F336">
        <v>57</v>
      </c>
      <c r="G336">
        <v>59</v>
      </c>
    </row>
    <row r="337" spans="1:7">
      <c r="A337">
        <v>336</v>
      </c>
      <c r="B337">
        <v>0.19700000000000001</v>
      </c>
      <c r="C337">
        <v>0.55000000000000004</v>
      </c>
      <c r="D337">
        <v>0.22389999999999999</v>
      </c>
      <c r="E337">
        <v>18</v>
      </c>
      <c r="F337">
        <v>54</v>
      </c>
      <c r="G337">
        <v>72</v>
      </c>
    </row>
    <row r="338" spans="1:7">
      <c r="A338">
        <v>337</v>
      </c>
      <c r="B338">
        <v>0.2273</v>
      </c>
      <c r="C338">
        <v>0.48</v>
      </c>
      <c r="D338">
        <v>0.22389999999999999</v>
      </c>
      <c r="E338">
        <v>15</v>
      </c>
      <c r="F338">
        <v>74</v>
      </c>
      <c r="G338">
        <v>89</v>
      </c>
    </row>
    <row r="339" spans="1:7">
      <c r="A339">
        <v>338</v>
      </c>
      <c r="B339">
        <v>0.2576</v>
      </c>
      <c r="C339">
        <v>0.38</v>
      </c>
      <c r="D339">
        <v>0.29849999999999999</v>
      </c>
      <c r="E339">
        <v>21</v>
      </c>
      <c r="F339">
        <v>80</v>
      </c>
      <c r="G339">
        <v>101</v>
      </c>
    </row>
    <row r="340" spans="1:7">
      <c r="A340">
        <v>339</v>
      </c>
      <c r="B340">
        <v>0.28789999999999999</v>
      </c>
      <c r="C340">
        <v>0.39</v>
      </c>
      <c r="D340">
        <v>0.28360000000000002</v>
      </c>
      <c r="E340">
        <v>26</v>
      </c>
      <c r="F340">
        <v>92</v>
      </c>
      <c r="G340">
        <v>118</v>
      </c>
    </row>
    <row r="341" spans="1:7">
      <c r="A341">
        <v>340</v>
      </c>
      <c r="B341">
        <v>0.31819999999999998</v>
      </c>
      <c r="C341">
        <v>0.36</v>
      </c>
      <c r="D341">
        <v>0.19400000000000001</v>
      </c>
      <c r="E341">
        <v>21</v>
      </c>
      <c r="F341">
        <v>108</v>
      </c>
      <c r="G341">
        <v>129</v>
      </c>
    </row>
    <row r="342" spans="1:7">
      <c r="A342">
        <v>341</v>
      </c>
      <c r="B342">
        <v>0.33329999999999999</v>
      </c>
      <c r="C342">
        <v>0.34</v>
      </c>
      <c r="D342">
        <v>0.19400000000000001</v>
      </c>
      <c r="E342">
        <v>33</v>
      </c>
      <c r="F342">
        <v>95</v>
      </c>
      <c r="G342">
        <v>128</v>
      </c>
    </row>
    <row r="343" spans="1:7">
      <c r="A343">
        <v>342</v>
      </c>
      <c r="B343">
        <v>0.30299999999999999</v>
      </c>
      <c r="C343">
        <v>0.36</v>
      </c>
      <c r="D343">
        <v>0.28360000000000002</v>
      </c>
      <c r="E343">
        <v>29</v>
      </c>
      <c r="F343">
        <v>54</v>
      </c>
      <c r="G343">
        <v>83</v>
      </c>
    </row>
    <row r="344" spans="1:7">
      <c r="A344">
        <v>343</v>
      </c>
      <c r="B344">
        <v>0.28789999999999999</v>
      </c>
      <c r="C344">
        <v>0.45</v>
      </c>
      <c r="D344">
        <v>0.25369999999999998</v>
      </c>
      <c r="E344">
        <v>15</v>
      </c>
      <c r="F344">
        <v>69</v>
      </c>
      <c r="G344">
        <v>84</v>
      </c>
    </row>
    <row r="345" spans="1:7">
      <c r="A345">
        <v>344</v>
      </c>
      <c r="B345">
        <v>0.30299999999999999</v>
      </c>
      <c r="C345">
        <v>0.39</v>
      </c>
      <c r="D345">
        <v>0.25369999999999998</v>
      </c>
      <c r="E345">
        <v>14</v>
      </c>
      <c r="F345">
        <v>60</v>
      </c>
      <c r="G345">
        <v>74</v>
      </c>
    </row>
    <row r="346" spans="1:7">
      <c r="A346">
        <v>345</v>
      </c>
      <c r="B346">
        <v>0.30299999999999999</v>
      </c>
      <c r="C346">
        <v>0.39</v>
      </c>
      <c r="D346">
        <v>0.25369999999999998</v>
      </c>
      <c r="E346">
        <v>6</v>
      </c>
      <c r="F346">
        <v>35</v>
      </c>
      <c r="G346">
        <v>41</v>
      </c>
    </row>
    <row r="347" spans="1:7">
      <c r="A347">
        <v>346</v>
      </c>
      <c r="B347">
        <v>0.30299999999999999</v>
      </c>
      <c r="C347">
        <v>0.39</v>
      </c>
      <c r="D347">
        <v>0.22389999999999999</v>
      </c>
      <c r="E347">
        <v>6</v>
      </c>
      <c r="F347">
        <v>51</v>
      </c>
      <c r="G347">
        <v>57</v>
      </c>
    </row>
    <row r="348" spans="1:7">
      <c r="A348">
        <v>347</v>
      </c>
      <c r="B348">
        <v>0.31819999999999998</v>
      </c>
      <c r="C348">
        <v>0.42</v>
      </c>
      <c r="D348">
        <v>0.1045</v>
      </c>
      <c r="E348">
        <v>0</v>
      </c>
      <c r="F348">
        <v>26</v>
      </c>
      <c r="G348">
        <v>26</v>
      </c>
    </row>
    <row r="349" spans="1:7">
      <c r="A349">
        <v>348</v>
      </c>
      <c r="B349">
        <v>0.28789999999999999</v>
      </c>
      <c r="C349">
        <v>0.45</v>
      </c>
      <c r="D349">
        <v>0.28360000000000002</v>
      </c>
      <c r="E349">
        <v>5</v>
      </c>
      <c r="F349">
        <v>39</v>
      </c>
      <c r="G349">
        <v>44</v>
      </c>
    </row>
    <row r="350" spans="1:7">
      <c r="A350">
        <v>349</v>
      </c>
      <c r="B350">
        <v>0.30299999999999999</v>
      </c>
      <c r="C350">
        <v>0.56000000000000005</v>
      </c>
      <c r="D350">
        <v>0</v>
      </c>
      <c r="E350">
        <v>6</v>
      </c>
      <c r="F350">
        <v>33</v>
      </c>
      <c r="G350">
        <v>39</v>
      </c>
    </row>
    <row r="351" spans="1:7">
      <c r="A351">
        <v>350</v>
      </c>
      <c r="B351">
        <v>0.2727</v>
      </c>
      <c r="C351">
        <v>0.56000000000000005</v>
      </c>
      <c r="D351">
        <v>0.1343</v>
      </c>
      <c r="E351">
        <v>4</v>
      </c>
      <c r="F351">
        <v>19</v>
      </c>
      <c r="G351">
        <v>23</v>
      </c>
    </row>
    <row r="352" spans="1:7">
      <c r="A352">
        <v>351</v>
      </c>
      <c r="B352">
        <v>0.28789999999999999</v>
      </c>
      <c r="C352">
        <v>0.56000000000000005</v>
      </c>
      <c r="D352">
        <v>8.9599999999999999E-2</v>
      </c>
      <c r="E352">
        <v>3</v>
      </c>
      <c r="F352">
        <v>13</v>
      </c>
      <c r="G352">
        <v>16</v>
      </c>
    </row>
    <row r="353" spans="1:7">
      <c r="A353">
        <v>352</v>
      </c>
      <c r="B353">
        <v>0.2727</v>
      </c>
      <c r="C353">
        <v>0.69</v>
      </c>
      <c r="D353">
        <v>0</v>
      </c>
      <c r="E353">
        <v>9</v>
      </c>
      <c r="F353">
        <v>6</v>
      </c>
      <c r="G353">
        <v>15</v>
      </c>
    </row>
    <row r="354" spans="1:7">
      <c r="A354">
        <v>353</v>
      </c>
      <c r="B354">
        <v>0.2576</v>
      </c>
      <c r="C354">
        <v>0.56000000000000005</v>
      </c>
      <c r="D354">
        <v>0.16420000000000001</v>
      </c>
      <c r="E354">
        <v>0</v>
      </c>
      <c r="F354">
        <v>1</v>
      </c>
      <c r="G354">
        <v>1</v>
      </c>
    </row>
    <row r="355" spans="1:7">
      <c r="A355">
        <v>354</v>
      </c>
      <c r="B355">
        <v>0.2576</v>
      </c>
      <c r="C355">
        <v>0.56000000000000005</v>
      </c>
      <c r="D355">
        <v>0.16420000000000001</v>
      </c>
      <c r="E355">
        <v>1</v>
      </c>
      <c r="F355">
        <v>1</v>
      </c>
      <c r="G355">
        <v>2</v>
      </c>
    </row>
    <row r="356" spans="1:7">
      <c r="A356">
        <v>355</v>
      </c>
      <c r="B356">
        <v>0.2576</v>
      </c>
      <c r="C356">
        <v>0.56000000000000005</v>
      </c>
      <c r="D356">
        <v>0.16420000000000001</v>
      </c>
      <c r="E356">
        <v>0</v>
      </c>
      <c r="F356">
        <v>1</v>
      </c>
      <c r="G356">
        <v>1</v>
      </c>
    </row>
    <row r="357" spans="1:7">
      <c r="A357">
        <v>356</v>
      </c>
      <c r="B357">
        <v>0.21210000000000001</v>
      </c>
      <c r="C357">
        <v>0.56000000000000005</v>
      </c>
      <c r="D357">
        <v>0.29849999999999999</v>
      </c>
      <c r="E357">
        <v>0</v>
      </c>
      <c r="F357">
        <v>3</v>
      </c>
      <c r="G357">
        <v>3</v>
      </c>
    </row>
    <row r="358" spans="1:7">
      <c r="A358">
        <v>357</v>
      </c>
      <c r="B358">
        <v>0.21210000000000001</v>
      </c>
      <c r="C358">
        <v>0.55000000000000004</v>
      </c>
      <c r="D358">
        <v>0.28360000000000002</v>
      </c>
      <c r="E358">
        <v>0</v>
      </c>
      <c r="F358">
        <v>18</v>
      </c>
      <c r="G358">
        <v>18</v>
      </c>
    </row>
    <row r="359" spans="1:7">
      <c r="A359">
        <v>358</v>
      </c>
      <c r="B359">
        <v>0.21210000000000001</v>
      </c>
      <c r="C359">
        <v>0.51</v>
      </c>
      <c r="D359">
        <v>0.25369999999999998</v>
      </c>
      <c r="E359">
        <v>3</v>
      </c>
      <c r="F359">
        <v>29</v>
      </c>
      <c r="G359">
        <v>32</v>
      </c>
    </row>
    <row r="360" spans="1:7">
      <c r="A360">
        <v>359</v>
      </c>
      <c r="B360">
        <v>0.21210000000000001</v>
      </c>
      <c r="C360">
        <v>0.51</v>
      </c>
      <c r="D360">
        <v>0.28360000000000002</v>
      </c>
      <c r="E360">
        <v>8</v>
      </c>
      <c r="F360">
        <v>71</v>
      </c>
      <c r="G360">
        <v>79</v>
      </c>
    </row>
    <row r="361" spans="1:7">
      <c r="A361">
        <v>360</v>
      </c>
      <c r="B361">
        <v>0.2273</v>
      </c>
      <c r="C361">
        <v>0.44</v>
      </c>
      <c r="D361">
        <v>0.25369999999999998</v>
      </c>
      <c r="E361">
        <v>23</v>
      </c>
      <c r="F361">
        <v>70</v>
      </c>
      <c r="G361">
        <v>93</v>
      </c>
    </row>
    <row r="362" spans="1:7">
      <c r="A362">
        <v>361</v>
      </c>
      <c r="B362">
        <v>0.21210000000000001</v>
      </c>
      <c r="C362">
        <v>0.41</v>
      </c>
      <c r="D362">
        <v>0.28360000000000002</v>
      </c>
      <c r="E362">
        <v>29</v>
      </c>
      <c r="F362">
        <v>75</v>
      </c>
      <c r="G362">
        <v>104</v>
      </c>
    </row>
    <row r="363" spans="1:7">
      <c r="A363">
        <v>362</v>
      </c>
      <c r="B363">
        <v>0.2273</v>
      </c>
      <c r="C363">
        <v>0.35</v>
      </c>
      <c r="D363">
        <v>0.29849999999999999</v>
      </c>
      <c r="E363">
        <v>23</v>
      </c>
      <c r="F363">
        <v>95</v>
      </c>
      <c r="G363">
        <v>118</v>
      </c>
    </row>
    <row r="364" spans="1:7">
      <c r="A364">
        <v>363</v>
      </c>
      <c r="B364">
        <v>0.2727</v>
      </c>
      <c r="C364">
        <v>0.36</v>
      </c>
      <c r="D364">
        <v>0.25369999999999998</v>
      </c>
      <c r="E364">
        <v>22</v>
      </c>
      <c r="F364">
        <v>69</v>
      </c>
      <c r="G364">
        <v>91</v>
      </c>
    </row>
    <row r="365" spans="1:7">
      <c r="A365">
        <v>364</v>
      </c>
      <c r="B365">
        <v>0.2424</v>
      </c>
      <c r="C365">
        <v>0.38</v>
      </c>
      <c r="D365">
        <v>0.25369999999999998</v>
      </c>
      <c r="E365">
        <v>35</v>
      </c>
      <c r="F365">
        <v>78</v>
      </c>
      <c r="G365">
        <v>113</v>
      </c>
    </row>
    <row r="366" spans="1:7">
      <c r="A366">
        <v>365</v>
      </c>
      <c r="B366">
        <v>0.2273</v>
      </c>
      <c r="C366">
        <v>0.38</v>
      </c>
      <c r="D366">
        <v>0.22389999999999999</v>
      </c>
      <c r="E366">
        <v>22</v>
      </c>
      <c r="F366">
        <v>77</v>
      </c>
      <c r="G366">
        <v>99</v>
      </c>
    </row>
    <row r="367" spans="1:7">
      <c r="A367">
        <v>366</v>
      </c>
      <c r="B367">
        <v>0.21210000000000001</v>
      </c>
      <c r="C367">
        <v>0.37</v>
      </c>
      <c r="D367">
        <v>0.25369999999999998</v>
      </c>
      <c r="E367">
        <v>23</v>
      </c>
      <c r="F367">
        <v>82</v>
      </c>
      <c r="G367">
        <v>105</v>
      </c>
    </row>
    <row r="368" spans="1:7">
      <c r="A368">
        <v>367</v>
      </c>
      <c r="B368">
        <v>0.21210000000000001</v>
      </c>
      <c r="C368">
        <v>0.4</v>
      </c>
      <c r="D368">
        <v>0.16420000000000001</v>
      </c>
      <c r="E368">
        <v>11</v>
      </c>
      <c r="F368">
        <v>56</v>
      </c>
      <c r="G368">
        <v>67</v>
      </c>
    </row>
    <row r="369" spans="1:7">
      <c r="A369">
        <v>368</v>
      </c>
      <c r="B369">
        <v>0.19700000000000001</v>
      </c>
      <c r="C369">
        <v>0.47</v>
      </c>
      <c r="D369">
        <v>0.1343</v>
      </c>
      <c r="E369">
        <v>14</v>
      </c>
      <c r="F369">
        <v>47</v>
      </c>
      <c r="G369">
        <v>61</v>
      </c>
    </row>
    <row r="370" spans="1:7">
      <c r="A370">
        <v>369</v>
      </c>
      <c r="B370">
        <v>0.19700000000000001</v>
      </c>
      <c r="C370">
        <v>0.47</v>
      </c>
      <c r="D370">
        <v>0.16420000000000001</v>
      </c>
      <c r="E370">
        <v>7</v>
      </c>
      <c r="F370">
        <v>50</v>
      </c>
      <c r="G370">
        <v>57</v>
      </c>
    </row>
    <row r="371" spans="1:7">
      <c r="A371">
        <v>370</v>
      </c>
      <c r="B371">
        <v>0.19700000000000001</v>
      </c>
      <c r="C371">
        <v>0.51</v>
      </c>
      <c r="D371">
        <v>0.16420000000000001</v>
      </c>
      <c r="E371">
        <v>6</v>
      </c>
      <c r="F371">
        <v>22</v>
      </c>
      <c r="G371">
        <v>28</v>
      </c>
    </row>
    <row r="372" spans="1:7">
      <c r="A372">
        <v>371</v>
      </c>
      <c r="B372">
        <v>0.21210000000000001</v>
      </c>
      <c r="C372">
        <v>0.49</v>
      </c>
      <c r="D372">
        <v>0.1343</v>
      </c>
      <c r="E372">
        <v>2</v>
      </c>
      <c r="F372">
        <v>19</v>
      </c>
      <c r="G372">
        <v>21</v>
      </c>
    </row>
    <row r="373" spans="1:7">
      <c r="A373">
        <v>372</v>
      </c>
      <c r="B373">
        <v>0.2273</v>
      </c>
      <c r="C373">
        <v>0.4</v>
      </c>
      <c r="D373">
        <v>0.1045</v>
      </c>
      <c r="E373">
        <v>0</v>
      </c>
      <c r="F373">
        <v>18</v>
      </c>
      <c r="G373">
        <v>18</v>
      </c>
    </row>
    <row r="374" spans="1:7">
      <c r="A374">
        <v>373</v>
      </c>
      <c r="B374">
        <v>0.19700000000000001</v>
      </c>
      <c r="C374">
        <v>0.47</v>
      </c>
      <c r="D374">
        <v>0.22389999999999999</v>
      </c>
      <c r="E374">
        <v>1</v>
      </c>
      <c r="F374">
        <v>16</v>
      </c>
      <c r="G374">
        <v>17</v>
      </c>
    </row>
    <row r="375" spans="1:7">
      <c r="A375">
        <v>374</v>
      </c>
      <c r="B375">
        <v>0.19700000000000001</v>
      </c>
      <c r="C375">
        <v>0.44</v>
      </c>
      <c r="D375">
        <v>0.19400000000000001</v>
      </c>
      <c r="E375">
        <v>1</v>
      </c>
      <c r="F375">
        <v>15</v>
      </c>
      <c r="G375">
        <v>16</v>
      </c>
    </row>
    <row r="376" spans="1:7">
      <c r="A376">
        <v>375</v>
      </c>
      <c r="B376">
        <v>0.16669999999999999</v>
      </c>
      <c r="C376">
        <v>0.43</v>
      </c>
      <c r="D376">
        <v>0.25369999999999998</v>
      </c>
      <c r="E376">
        <v>0</v>
      </c>
      <c r="F376">
        <v>8</v>
      </c>
      <c r="G376">
        <v>8</v>
      </c>
    </row>
    <row r="377" spans="1:7">
      <c r="A377">
        <v>376</v>
      </c>
      <c r="B377">
        <v>0.18179999999999999</v>
      </c>
      <c r="C377">
        <v>0.43</v>
      </c>
      <c r="D377">
        <v>0.19400000000000001</v>
      </c>
      <c r="E377">
        <v>0</v>
      </c>
      <c r="F377">
        <v>2</v>
      </c>
      <c r="G377">
        <v>2</v>
      </c>
    </row>
    <row r="378" spans="1:7">
      <c r="A378">
        <v>377</v>
      </c>
      <c r="B378">
        <v>0.19700000000000001</v>
      </c>
      <c r="C378">
        <v>0.43</v>
      </c>
      <c r="D378">
        <v>0.1343</v>
      </c>
      <c r="E378">
        <v>1</v>
      </c>
      <c r="F378">
        <v>2</v>
      </c>
      <c r="G378">
        <v>3</v>
      </c>
    </row>
    <row r="379" spans="1:7">
      <c r="A379">
        <v>378</v>
      </c>
      <c r="B379">
        <v>0.19700000000000001</v>
      </c>
      <c r="C379">
        <v>0.43</v>
      </c>
      <c r="D379">
        <v>0.16420000000000001</v>
      </c>
      <c r="E379">
        <v>0</v>
      </c>
      <c r="F379">
        <v>1</v>
      </c>
      <c r="G379">
        <v>1</v>
      </c>
    </row>
    <row r="380" spans="1:7">
      <c r="A380">
        <v>379</v>
      </c>
      <c r="B380">
        <v>0.18179999999999999</v>
      </c>
      <c r="C380">
        <v>0.43</v>
      </c>
      <c r="D380">
        <v>0.19400000000000001</v>
      </c>
      <c r="E380">
        <v>0</v>
      </c>
      <c r="F380">
        <v>5</v>
      </c>
      <c r="G380">
        <v>5</v>
      </c>
    </row>
    <row r="381" spans="1:7">
      <c r="A381">
        <v>380</v>
      </c>
      <c r="B381">
        <v>0.18179999999999999</v>
      </c>
      <c r="C381">
        <v>0.5</v>
      </c>
      <c r="D381">
        <v>0.1343</v>
      </c>
      <c r="E381">
        <v>4</v>
      </c>
      <c r="F381">
        <v>9</v>
      </c>
      <c r="G381">
        <v>13</v>
      </c>
    </row>
    <row r="382" spans="1:7">
      <c r="A382">
        <v>381</v>
      </c>
      <c r="B382">
        <v>0.1515</v>
      </c>
      <c r="C382">
        <v>0.47</v>
      </c>
      <c r="D382">
        <v>0.22389999999999999</v>
      </c>
      <c r="E382">
        <v>3</v>
      </c>
      <c r="F382">
        <v>30</v>
      </c>
      <c r="G382">
        <v>33</v>
      </c>
    </row>
    <row r="383" spans="1:7">
      <c r="A383">
        <v>382</v>
      </c>
      <c r="B383">
        <v>0.1515</v>
      </c>
      <c r="C383">
        <v>0.47</v>
      </c>
      <c r="D383">
        <v>0.22389999999999999</v>
      </c>
      <c r="E383">
        <v>8</v>
      </c>
      <c r="F383">
        <v>39</v>
      </c>
      <c r="G383">
        <v>47</v>
      </c>
    </row>
    <row r="384" spans="1:7">
      <c r="A384">
        <v>383</v>
      </c>
      <c r="B384">
        <v>0.1515</v>
      </c>
      <c r="C384">
        <v>0.5</v>
      </c>
      <c r="D384">
        <v>0.25369999999999998</v>
      </c>
      <c r="E384">
        <v>7</v>
      </c>
      <c r="F384">
        <v>50</v>
      </c>
      <c r="G384">
        <v>57</v>
      </c>
    </row>
    <row r="385" spans="1:7">
      <c r="A385">
        <v>384</v>
      </c>
      <c r="B385">
        <v>0.1515</v>
      </c>
      <c r="C385">
        <v>0.55000000000000004</v>
      </c>
      <c r="D385">
        <v>0.19400000000000001</v>
      </c>
      <c r="E385">
        <v>9</v>
      </c>
      <c r="F385">
        <v>55</v>
      </c>
      <c r="G385">
        <v>64</v>
      </c>
    </row>
    <row r="386" spans="1:7">
      <c r="A386">
        <v>385</v>
      </c>
      <c r="B386">
        <v>0.19700000000000001</v>
      </c>
      <c r="C386">
        <v>0.47</v>
      </c>
      <c r="D386">
        <v>0.1343</v>
      </c>
      <c r="E386">
        <v>10</v>
      </c>
      <c r="F386">
        <v>70</v>
      </c>
      <c r="G386">
        <v>80</v>
      </c>
    </row>
    <row r="387" spans="1:7">
      <c r="A387">
        <v>386</v>
      </c>
      <c r="B387">
        <v>0.19700000000000001</v>
      </c>
      <c r="C387">
        <v>0.47</v>
      </c>
      <c r="D387">
        <v>0.1343</v>
      </c>
      <c r="E387">
        <v>13</v>
      </c>
      <c r="F387">
        <v>80</v>
      </c>
      <c r="G387">
        <v>93</v>
      </c>
    </row>
    <row r="388" spans="1:7">
      <c r="A388">
        <v>387</v>
      </c>
      <c r="B388">
        <v>0.21210000000000001</v>
      </c>
      <c r="C388">
        <v>0.43</v>
      </c>
      <c r="D388">
        <v>0.1045</v>
      </c>
      <c r="E388">
        <v>12</v>
      </c>
      <c r="F388">
        <v>74</v>
      </c>
      <c r="G388">
        <v>86</v>
      </c>
    </row>
    <row r="389" spans="1:7">
      <c r="A389">
        <v>388</v>
      </c>
      <c r="B389">
        <v>0.21210000000000001</v>
      </c>
      <c r="C389">
        <v>0.47</v>
      </c>
      <c r="D389">
        <v>0.16420000000000001</v>
      </c>
      <c r="E389">
        <v>21</v>
      </c>
      <c r="F389">
        <v>72</v>
      </c>
      <c r="G389">
        <v>93</v>
      </c>
    </row>
    <row r="390" spans="1:7">
      <c r="A390">
        <v>389</v>
      </c>
      <c r="B390">
        <v>0.21210000000000001</v>
      </c>
      <c r="C390">
        <v>0.47</v>
      </c>
      <c r="D390">
        <v>0.16420000000000001</v>
      </c>
      <c r="E390">
        <v>6</v>
      </c>
      <c r="F390">
        <v>76</v>
      </c>
      <c r="G390">
        <v>82</v>
      </c>
    </row>
    <row r="391" spans="1:7">
      <c r="A391">
        <v>390</v>
      </c>
      <c r="B391">
        <v>0.19700000000000001</v>
      </c>
      <c r="C391">
        <v>0.51</v>
      </c>
      <c r="D391">
        <v>0.19400000000000001</v>
      </c>
      <c r="E391">
        <v>4</v>
      </c>
      <c r="F391">
        <v>67</v>
      </c>
      <c r="G391">
        <v>71</v>
      </c>
    </row>
    <row r="392" spans="1:7">
      <c r="A392">
        <v>391</v>
      </c>
      <c r="B392">
        <v>0.16669999999999999</v>
      </c>
      <c r="C392">
        <v>0.55000000000000004</v>
      </c>
      <c r="D392">
        <v>0.25369999999999998</v>
      </c>
      <c r="E392">
        <v>7</v>
      </c>
      <c r="F392">
        <v>85</v>
      </c>
      <c r="G392">
        <v>92</v>
      </c>
    </row>
    <row r="393" spans="1:7">
      <c r="A393">
        <v>392</v>
      </c>
      <c r="B393">
        <v>0.18179999999999999</v>
      </c>
      <c r="C393">
        <v>0.59</v>
      </c>
      <c r="D393">
        <v>0.19400000000000001</v>
      </c>
      <c r="E393">
        <v>2</v>
      </c>
      <c r="F393">
        <v>58</v>
      </c>
      <c r="G393">
        <v>60</v>
      </c>
    </row>
    <row r="394" spans="1:7">
      <c r="A394">
        <v>393</v>
      </c>
      <c r="B394">
        <v>0.1515</v>
      </c>
      <c r="C394">
        <v>0.8</v>
      </c>
      <c r="D394">
        <v>0.19400000000000001</v>
      </c>
      <c r="E394">
        <v>4</v>
      </c>
      <c r="F394">
        <v>29</v>
      </c>
      <c r="G394">
        <v>33</v>
      </c>
    </row>
    <row r="395" spans="1:7">
      <c r="A395">
        <v>394</v>
      </c>
      <c r="B395">
        <v>0.1515</v>
      </c>
      <c r="C395">
        <v>0.8</v>
      </c>
      <c r="D395">
        <v>0.19400000000000001</v>
      </c>
      <c r="E395">
        <v>3</v>
      </c>
      <c r="F395">
        <v>24</v>
      </c>
      <c r="G395">
        <v>27</v>
      </c>
    </row>
    <row r="396" spans="1:7">
      <c r="A396">
        <v>395</v>
      </c>
      <c r="B396">
        <v>0.1212</v>
      </c>
      <c r="C396">
        <v>0.93</v>
      </c>
      <c r="D396">
        <v>0.25369999999999998</v>
      </c>
      <c r="E396">
        <v>0</v>
      </c>
      <c r="F396">
        <v>13</v>
      </c>
      <c r="G396">
        <v>13</v>
      </c>
    </row>
    <row r="397" spans="1:7">
      <c r="A397">
        <v>396</v>
      </c>
      <c r="B397">
        <v>0.13639999999999999</v>
      </c>
      <c r="C397">
        <v>0.86</v>
      </c>
      <c r="D397">
        <v>0.28360000000000002</v>
      </c>
      <c r="E397">
        <v>1</v>
      </c>
      <c r="F397">
        <v>3</v>
      </c>
      <c r="G397">
        <v>4</v>
      </c>
    </row>
    <row r="398" spans="1:7">
      <c r="A398">
        <v>397</v>
      </c>
      <c r="B398">
        <v>0.18179999999999999</v>
      </c>
      <c r="C398">
        <v>0.86</v>
      </c>
      <c r="D398">
        <v>0.32840000000000003</v>
      </c>
      <c r="E398">
        <v>0</v>
      </c>
      <c r="F398">
        <v>3</v>
      </c>
      <c r="G398">
        <v>3</v>
      </c>
    </row>
    <row r="399" spans="1:7">
      <c r="A399">
        <v>398</v>
      </c>
      <c r="B399">
        <v>0.19700000000000001</v>
      </c>
      <c r="C399">
        <v>0.86</v>
      </c>
      <c r="D399">
        <v>0.22389999999999999</v>
      </c>
      <c r="E399">
        <v>0</v>
      </c>
      <c r="F399">
        <v>22</v>
      </c>
      <c r="G399">
        <v>22</v>
      </c>
    </row>
    <row r="400" spans="1:7">
      <c r="A400">
        <v>399</v>
      </c>
      <c r="B400">
        <v>0.2273</v>
      </c>
      <c r="C400">
        <v>0.8</v>
      </c>
      <c r="D400">
        <v>0.16420000000000001</v>
      </c>
      <c r="E400">
        <v>2</v>
      </c>
      <c r="F400">
        <v>26</v>
      </c>
      <c r="G400">
        <v>28</v>
      </c>
    </row>
    <row r="401" spans="1:7">
      <c r="A401">
        <v>400</v>
      </c>
      <c r="B401">
        <v>0.2273</v>
      </c>
      <c r="C401">
        <v>0.87</v>
      </c>
      <c r="D401">
        <v>0.16420000000000001</v>
      </c>
      <c r="E401">
        <v>3</v>
      </c>
      <c r="F401">
        <v>32</v>
      </c>
      <c r="G401">
        <v>35</v>
      </c>
    </row>
    <row r="402" spans="1:7">
      <c r="A402">
        <v>401</v>
      </c>
      <c r="B402">
        <v>0.2273</v>
      </c>
      <c r="C402">
        <v>0.87</v>
      </c>
      <c r="D402">
        <v>0.19400000000000001</v>
      </c>
      <c r="E402">
        <v>0</v>
      </c>
      <c r="F402">
        <v>61</v>
      </c>
      <c r="G402">
        <v>61</v>
      </c>
    </row>
    <row r="403" spans="1:7">
      <c r="A403">
        <v>402</v>
      </c>
      <c r="B403">
        <v>0.2273</v>
      </c>
      <c r="C403">
        <v>0.82</v>
      </c>
      <c r="D403">
        <v>0.19400000000000001</v>
      </c>
      <c r="E403">
        <v>1</v>
      </c>
      <c r="F403">
        <v>124</v>
      </c>
      <c r="G403">
        <v>125</v>
      </c>
    </row>
    <row r="404" spans="1:7">
      <c r="A404">
        <v>403</v>
      </c>
      <c r="B404">
        <v>0.2273</v>
      </c>
      <c r="C404">
        <v>0.8</v>
      </c>
      <c r="D404">
        <v>0.16420000000000001</v>
      </c>
      <c r="E404">
        <v>1</v>
      </c>
      <c r="F404">
        <v>132</v>
      </c>
      <c r="G404">
        <v>133</v>
      </c>
    </row>
    <row r="405" spans="1:7">
      <c r="A405">
        <v>404</v>
      </c>
      <c r="B405">
        <v>0.2273</v>
      </c>
      <c r="C405">
        <v>0.8</v>
      </c>
      <c r="D405">
        <v>0.1343</v>
      </c>
      <c r="E405">
        <v>1</v>
      </c>
      <c r="F405">
        <v>98</v>
      </c>
      <c r="G405">
        <v>99</v>
      </c>
    </row>
    <row r="406" spans="1:7">
      <c r="A406">
        <v>405</v>
      </c>
      <c r="B406">
        <v>0.2727</v>
      </c>
      <c r="C406">
        <v>0.87</v>
      </c>
      <c r="D406">
        <v>0</v>
      </c>
      <c r="E406">
        <v>0</v>
      </c>
      <c r="F406">
        <v>83</v>
      </c>
      <c r="G406">
        <v>83</v>
      </c>
    </row>
    <row r="407" spans="1:7">
      <c r="A407">
        <v>406</v>
      </c>
      <c r="B407">
        <v>0.2424</v>
      </c>
      <c r="C407">
        <v>0.93</v>
      </c>
      <c r="D407">
        <v>0.1045</v>
      </c>
      <c r="E407">
        <v>0</v>
      </c>
      <c r="F407">
        <v>41</v>
      </c>
      <c r="G407">
        <v>41</v>
      </c>
    </row>
    <row r="408" spans="1:7">
      <c r="A408">
        <v>407</v>
      </c>
      <c r="B408">
        <v>0.2576</v>
      </c>
      <c r="C408">
        <v>0.93</v>
      </c>
      <c r="D408">
        <v>8.9599999999999999E-2</v>
      </c>
      <c r="E408">
        <v>0</v>
      </c>
      <c r="F408">
        <v>33</v>
      </c>
      <c r="G408">
        <v>33</v>
      </c>
    </row>
    <row r="409" spans="1:7">
      <c r="A409">
        <v>408</v>
      </c>
      <c r="B409">
        <v>0.2727</v>
      </c>
      <c r="C409">
        <v>0.93</v>
      </c>
      <c r="D409">
        <v>0</v>
      </c>
      <c r="E409">
        <v>1</v>
      </c>
      <c r="F409">
        <v>19</v>
      </c>
      <c r="G409">
        <v>20</v>
      </c>
    </row>
    <row r="410" spans="1:7">
      <c r="A410">
        <v>409</v>
      </c>
      <c r="B410">
        <v>0.2727</v>
      </c>
      <c r="C410">
        <v>0.93</v>
      </c>
      <c r="D410">
        <v>0</v>
      </c>
      <c r="E410">
        <v>0</v>
      </c>
      <c r="F410">
        <v>3</v>
      </c>
      <c r="G410">
        <v>3</v>
      </c>
    </row>
    <row r="411" spans="1:7">
      <c r="A411">
        <v>410</v>
      </c>
      <c r="B411">
        <v>0.2273</v>
      </c>
      <c r="C411">
        <v>0.93</v>
      </c>
      <c r="D411">
        <v>0.1343</v>
      </c>
      <c r="E411">
        <v>1</v>
      </c>
      <c r="F411">
        <v>6</v>
      </c>
      <c r="G411">
        <v>7</v>
      </c>
    </row>
    <row r="412" spans="1:7">
      <c r="A412">
        <v>411</v>
      </c>
      <c r="B412">
        <v>0.2273</v>
      </c>
      <c r="C412">
        <v>0.93</v>
      </c>
      <c r="D412">
        <v>0.1343</v>
      </c>
      <c r="E412">
        <v>0</v>
      </c>
      <c r="F412">
        <v>3</v>
      </c>
      <c r="G412">
        <v>3</v>
      </c>
    </row>
    <row r="413" spans="1:7">
      <c r="A413">
        <v>412</v>
      </c>
      <c r="B413">
        <v>0.2273</v>
      </c>
      <c r="C413">
        <v>0.93</v>
      </c>
      <c r="D413">
        <v>0.1343</v>
      </c>
      <c r="E413">
        <v>1</v>
      </c>
      <c r="F413">
        <v>1</v>
      </c>
      <c r="G413">
        <v>2</v>
      </c>
    </row>
    <row r="414" spans="1:7">
      <c r="A414">
        <v>413</v>
      </c>
      <c r="B414">
        <v>0.2576</v>
      </c>
      <c r="C414">
        <v>0.93</v>
      </c>
      <c r="D414">
        <v>8.9599999999999999E-2</v>
      </c>
      <c r="E414">
        <v>0</v>
      </c>
      <c r="F414">
        <v>7</v>
      </c>
      <c r="G414">
        <v>7</v>
      </c>
    </row>
    <row r="415" spans="1:7">
      <c r="A415">
        <v>414</v>
      </c>
      <c r="B415">
        <v>0.2576</v>
      </c>
      <c r="C415">
        <v>0.93</v>
      </c>
      <c r="D415">
        <v>8.9599999999999999E-2</v>
      </c>
      <c r="E415">
        <v>0</v>
      </c>
      <c r="F415">
        <v>32</v>
      </c>
      <c r="G415">
        <v>32</v>
      </c>
    </row>
    <row r="416" spans="1:7">
      <c r="A416">
        <v>415</v>
      </c>
      <c r="B416">
        <v>0.2576</v>
      </c>
      <c r="C416">
        <v>0.92</v>
      </c>
      <c r="D416">
        <v>0.1045</v>
      </c>
      <c r="E416">
        <v>1</v>
      </c>
      <c r="F416">
        <v>89</v>
      </c>
      <c r="G416">
        <v>90</v>
      </c>
    </row>
    <row r="417" spans="1:7">
      <c r="A417">
        <v>416</v>
      </c>
      <c r="B417">
        <v>0.2576</v>
      </c>
      <c r="C417">
        <v>0.93</v>
      </c>
      <c r="D417">
        <v>0.1045</v>
      </c>
      <c r="E417">
        <v>1</v>
      </c>
      <c r="F417">
        <v>196</v>
      </c>
      <c r="G417">
        <v>197</v>
      </c>
    </row>
    <row r="418" spans="1:7">
      <c r="A418">
        <v>417</v>
      </c>
      <c r="B418">
        <v>0.2576</v>
      </c>
      <c r="C418">
        <v>0.93</v>
      </c>
      <c r="D418">
        <v>0.1045</v>
      </c>
      <c r="E418">
        <v>2</v>
      </c>
      <c r="F418">
        <v>107</v>
      </c>
      <c r="G418">
        <v>109</v>
      </c>
    </row>
    <row r="419" spans="1:7">
      <c r="A419">
        <v>418</v>
      </c>
      <c r="B419">
        <v>0.2727</v>
      </c>
      <c r="C419">
        <v>0.93</v>
      </c>
      <c r="D419">
        <v>0.1343</v>
      </c>
      <c r="E419">
        <v>1</v>
      </c>
      <c r="F419">
        <v>46</v>
      </c>
      <c r="G419">
        <v>47</v>
      </c>
    </row>
    <row r="420" spans="1:7">
      <c r="A420">
        <v>419</v>
      </c>
      <c r="B420">
        <v>0.30299999999999999</v>
      </c>
      <c r="C420">
        <v>0.87</v>
      </c>
      <c r="D420">
        <v>8.9599999999999999E-2</v>
      </c>
      <c r="E420">
        <v>5</v>
      </c>
      <c r="F420">
        <v>47</v>
      </c>
      <c r="G420">
        <v>52</v>
      </c>
    </row>
    <row r="421" spans="1:7">
      <c r="A421">
        <v>420</v>
      </c>
      <c r="B421">
        <v>0.31819999999999998</v>
      </c>
      <c r="C421">
        <v>0.81</v>
      </c>
      <c r="D421">
        <v>8.9599999999999999E-2</v>
      </c>
      <c r="E421">
        <v>5</v>
      </c>
      <c r="F421">
        <v>65</v>
      </c>
      <c r="G421">
        <v>70</v>
      </c>
    </row>
    <row r="422" spans="1:7">
      <c r="A422">
        <v>421</v>
      </c>
      <c r="B422">
        <v>0.40910000000000002</v>
      </c>
      <c r="C422">
        <v>0.62</v>
      </c>
      <c r="D422">
        <v>0.28360000000000002</v>
      </c>
      <c r="E422">
        <v>11</v>
      </c>
      <c r="F422">
        <v>67</v>
      </c>
      <c r="G422">
        <v>78</v>
      </c>
    </row>
    <row r="423" spans="1:7">
      <c r="A423">
        <v>422</v>
      </c>
      <c r="B423">
        <v>0.40910000000000002</v>
      </c>
      <c r="C423">
        <v>0.57999999999999996</v>
      </c>
      <c r="D423">
        <v>0.25369999999999998</v>
      </c>
      <c r="E423">
        <v>7</v>
      </c>
      <c r="F423">
        <v>68</v>
      </c>
      <c r="G423">
        <v>75</v>
      </c>
    </row>
    <row r="424" spans="1:7">
      <c r="A424">
        <v>423</v>
      </c>
      <c r="B424">
        <v>0.40910000000000002</v>
      </c>
      <c r="C424">
        <v>0.54</v>
      </c>
      <c r="D424">
        <v>0.28360000000000002</v>
      </c>
      <c r="E424">
        <v>4</v>
      </c>
      <c r="F424">
        <v>78</v>
      </c>
      <c r="G424">
        <v>82</v>
      </c>
    </row>
    <row r="425" spans="1:7">
      <c r="A425">
        <v>424</v>
      </c>
      <c r="B425">
        <v>0.39389999999999997</v>
      </c>
      <c r="C425">
        <v>0.57999999999999996</v>
      </c>
      <c r="D425">
        <v>0.3881</v>
      </c>
      <c r="E425">
        <v>10</v>
      </c>
      <c r="F425">
        <v>94</v>
      </c>
      <c r="G425">
        <v>104</v>
      </c>
    </row>
    <row r="426" spans="1:7">
      <c r="A426">
        <v>425</v>
      </c>
      <c r="B426">
        <v>0.33329999999999999</v>
      </c>
      <c r="C426">
        <v>0.56999999999999995</v>
      </c>
      <c r="D426">
        <v>0.32840000000000003</v>
      </c>
      <c r="E426">
        <v>7</v>
      </c>
      <c r="F426">
        <v>190</v>
      </c>
      <c r="G426">
        <v>197</v>
      </c>
    </row>
    <row r="427" spans="1:7">
      <c r="A427">
        <v>426</v>
      </c>
      <c r="B427">
        <v>0.31819999999999998</v>
      </c>
      <c r="C427">
        <v>0.61</v>
      </c>
      <c r="D427">
        <v>0.28360000000000002</v>
      </c>
      <c r="E427">
        <v>5</v>
      </c>
      <c r="F427">
        <v>156</v>
      </c>
      <c r="G427">
        <v>161</v>
      </c>
    </row>
    <row r="428" spans="1:7">
      <c r="A428">
        <v>427</v>
      </c>
      <c r="B428">
        <v>0.28789999999999999</v>
      </c>
      <c r="C428">
        <v>0.56999999999999995</v>
      </c>
      <c r="D428">
        <v>0.41789999999999999</v>
      </c>
      <c r="E428">
        <v>4</v>
      </c>
      <c r="F428">
        <v>108</v>
      </c>
      <c r="G428">
        <v>112</v>
      </c>
    </row>
    <row r="429" spans="1:7">
      <c r="A429">
        <v>428</v>
      </c>
      <c r="B429">
        <v>0.30299999999999999</v>
      </c>
      <c r="C429">
        <v>0.49</v>
      </c>
      <c r="D429">
        <v>0.29849999999999999</v>
      </c>
      <c r="E429">
        <v>2</v>
      </c>
      <c r="F429">
        <v>74</v>
      </c>
      <c r="G429">
        <v>76</v>
      </c>
    </row>
    <row r="430" spans="1:7">
      <c r="A430">
        <v>429</v>
      </c>
      <c r="B430">
        <v>0.28789999999999999</v>
      </c>
      <c r="C430">
        <v>0.49</v>
      </c>
      <c r="D430">
        <v>0.41789999999999999</v>
      </c>
      <c r="E430">
        <v>4</v>
      </c>
      <c r="F430">
        <v>55</v>
      </c>
      <c r="G430">
        <v>59</v>
      </c>
    </row>
    <row r="431" spans="1:7">
      <c r="A431">
        <v>430</v>
      </c>
      <c r="B431">
        <v>0.30299999999999999</v>
      </c>
      <c r="C431">
        <v>0.52</v>
      </c>
      <c r="D431">
        <v>0.16420000000000001</v>
      </c>
      <c r="E431">
        <v>6</v>
      </c>
      <c r="F431">
        <v>53</v>
      </c>
      <c r="G431">
        <v>59</v>
      </c>
    </row>
    <row r="432" spans="1:7">
      <c r="A432">
        <v>431</v>
      </c>
      <c r="B432">
        <v>0.2727</v>
      </c>
      <c r="C432">
        <v>0.52</v>
      </c>
      <c r="D432">
        <v>0.4627</v>
      </c>
      <c r="E432">
        <v>1</v>
      </c>
      <c r="F432">
        <v>27</v>
      </c>
      <c r="G432">
        <v>28</v>
      </c>
    </row>
    <row r="433" spans="1:7">
      <c r="A433">
        <v>432</v>
      </c>
      <c r="B433">
        <v>0.2273</v>
      </c>
      <c r="C433">
        <v>0.56000000000000005</v>
      </c>
      <c r="D433">
        <v>0.3881</v>
      </c>
      <c r="E433">
        <v>5</v>
      </c>
      <c r="F433">
        <v>8</v>
      </c>
      <c r="G433">
        <v>13</v>
      </c>
    </row>
    <row r="434" spans="1:7">
      <c r="A434">
        <v>433</v>
      </c>
      <c r="B434">
        <v>0.2727</v>
      </c>
      <c r="C434">
        <v>0.56000000000000005</v>
      </c>
      <c r="D434">
        <v>0</v>
      </c>
      <c r="E434">
        <v>2</v>
      </c>
      <c r="F434">
        <v>3</v>
      </c>
      <c r="G434">
        <v>5</v>
      </c>
    </row>
    <row r="435" spans="1:7">
      <c r="A435">
        <v>434</v>
      </c>
      <c r="B435">
        <v>0.2727</v>
      </c>
      <c r="C435">
        <v>0.56000000000000005</v>
      </c>
      <c r="D435">
        <v>0</v>
      </c>
      <c r="E435">
        <v>0</v>
      </c>
      <c r="F435">
        <v>2</v>
      </c>
      <c r="G435">
        <v>2</v>
      </c>
    </row>
    <row r="436" spans="1:7">
      <c r="A436">
        <v>435</v>
      </c>
      <c r="B436">
        <v>0.2576</v>
      </c>
      <c r="C436">
        <v>0.56000000000000005</v>
      </c>
      <c r="D436">
        <v>0.16420000000000001</v>
      </c>
      <c r="E436">
        <v>0</v>
      </c>
      <c r="F436">
        <v>1</v>
      </c>
      <c r="G436">
        <v>1</v>
      </c>
    </row>
    <row r="437" spans="1:7">
      <c r="A437">
        <v>436</v>
      </c>
      <c r="B437">
        <v>0.2576</v>
      </c>
      <c r="C437">
        <v>0.56000000000000005</v>
      </c>
      <c r="D437">
        <v>0.16420000000000001</v>
      </c>
      <c r="E437">
        <v>0</v>
      </c>
      <c r="F437">
        <v>1</v>
      </c>
      <c r="G437">
        <v>1</v>
      </c>
    </row>
    <row r="438" spans="1:7">
      <c r="A438">
        <v>437</v>
      </c>
      <c r="B438">
        <v>0.2273</v>
      </c>
      <c r="C438">
        <v>0.6</v>
      </c>
      <c r="D438">
        <v>0.22389999999999999</v>
      </c>
      <c r="E438">
        <v>0</v>
      </c>
      <c r="F438">
        <v>6</v>
      </c>
      <c r="G438">
        <v>6</v>
      </c>
    </row>
    <row r="439" spans="1:7">
      <c r="A439">
        <v>438</v>
      </c>
      <c r="B439">
        <v>0.21210000000000001</v>
      </c>
      <c r="C439">
        <v>0.6</v>
      </c>
      <c r="D439">
        <v>0.22389999999999999</v>
      </c>
      <c r="E439">
        <v>0</v>
      </c>
      <c r="F439">
        <v>35</v>
      </c>
      <c r="G439">
        <v>35</v>
      </c>
    </row>
    <row r="440" spans="1:7">
      <c r="A440">
        <v>439</v>
      </c>
      <c r="B440">
        <v>0.21210000000000001</v>
      </c>
      <c r="C440">
        <v>0.55000000000000004</v>
      </c>
      <c r="D440">
        <v>0.22389999999999999</v>
      </c>
      <c r="E440">
        <v>1</v>
      </c>
      <c r="F440">
        <v>100</v>
      </c>
      <c r="G440">
        <v>101</v>
      </c>
    </row>
    <row r="441" spans="1:7">
      <c r="A441">
        <v>440</v>
      </c>
      <c r="B441">
        <v>0.21210000000000001</v>
      </c>
      <c r="C441">
        <v>0.55000000000000004</v>
      </c>
      <c r="D441">
        <v>0.28360000000000002</v>
      </c>
      <c r="E441">
        <v>2</v>
      </c>
      <c r="F441">
        <v>247</v>
      </c>
      <c r="G441">
        <v>249</v>
      </c>
    </row>
    <row r="442" spans="1:7">
      <c r="A442">
        <v>441</v>
      </c>
      <c r="B442">
        <v>0.2273</v>
      </c>
      <c r="C442">
        <v>0.52</v>
      </c>
      <c r="D442">
        <v>0.22389999999999999</v>
      </c>
      <c r="E442">
        <v>3</v>
      </c>
      <c r="F442">
        <v>140</v>
      </c>
      <c r="G442">
        <v>143</v>
      </c>
    </row>
    <row r="443" spans="1:7">
      <c r="A443">
        <v>442</v>
      </c>
      <c r="B443">
        <v>0.2273</v>
      </c>
      <c r="C443">
        <v>0.48</v>
      </c>
      <c r="D443">
        <v>0.29849999999999999</v>
      </c>
      <c r="E443">
        <v>1</v>
      </c>
      <c r="F443">
        <v>56</v>
      </c>
      <c r="G443">
        <v>57</v>
      </c>
    </row>
    <row r="444" spans="1:7">
      <c r="A444">
        <v>443</v>
      </c>
      <c r="B444">
        <v>0.2727</v>
      </c>
      <c r="C444">
        <v>0.45</v>
      </c>
      <c r="D444">
        <v>0.16420000000000001</v>
      </c>
      <c r="E444">
        <v>5</v>
      </c>
      <c r="F444">
        <v>63</v>
      </c>
      <c r="G444">
        <v>68</v>
      </c>
    </row>
    <row r="445" spans="1:7">
      <c r="A445">
        <v>444</v>
      </c>
      <c r="B445">
        <v>0.33329999999999999</v>
      </c>
      <c r="C445">
        <v>0.42</v>
      </c>
      <c r="D445">
        <v>0</v>
      </c>
      <c r="E445">
        <v>7</v>
      </c>
      <c r="F445">
        <v>77</v>
      </c>
      <c r="G445">
        <v>84</v>
      </c>
    </row>
    <row r="446" spans="1:7">
      <c r="A446">
        <v>445</v>
      </c>
      <c r="B446">
        <v>0.28789999999999999</v>
      </c>
      <c r="C446">
        <v>0.45</v>
      </c>
      <c r="D446">
        <v>0.1045</v>
      </c>
      <c r="E446">
        <v>12</v>
      </c>
      <c r="F446">
        <v>86</v>
      </c>
      <c r="G446">
        <v>98</v>
      </c>
    </row>
    <row r="447" spans="1:7">
      <c r="A447">
        <v>446</v>
      </c>
      <c r="B447">
        <v>0.30299999999999999</v>
      </c>
      <c r="C447">
        <v>0.45</v>
      </c>
      <c r="D447">
        <v>0.1343</v>
      </c>
      <c r="E447">
        <v>6</v>
      </c>
      <c r="F447">
        <v>75</v>
      </c>
      <c r="G447">
        <v>81</v>
      </c>
    </row>
    <row r="448" spans="1:7">
      <c r="A448">
        <v>447</v>
      </c>
      <c r="B448">
        <v>0.31819999999999998</v>
      </c>
      <c r="C448">
        <v>0.45</v>
      </c>
      <c r="D448">
        <v>0.19400000000000001</v>
      </c>
      <c r="E448">
        <v>8</v>
      </c>
      <c r="F448">
        <v>62</v>
      </c>
      <c r="G448">
        <v>70</v>
      </c>
    </row>
    <row r="449" spans="1:7">
      <c r="A449">
        <v>448</v>
      </c>
      <c r="B449">
        <v>0.30299999999999999</v>
      </c>
      <c r="C449">
        <v>0.49</v>
      </c>
      <c r="D449">
        <v>0.1343</v>
      </c>
      <c r="E449">
        <v>8</v>
      </c>
      <c r="F449">
        <v>83</v>
      </c>
      <c r="G449">
        <v>91</v>
      </c>
    </row>
    <row r="450" spans="1:7">
      <c r="A450">
        <v>449</v>
      </c>
      <c r="B450">
        <v>0.31819999999999998</v>
      </c>
      <c r="C450">
        <v>0.49</v>
      </c>
      <c r="D450">
        <v>0.1045</v>
      </c>
      <c r="E450">
        <v>8</v>
      </c>
      <c r="F450">
        <v>207</v>
      </c>
      <c r="G450">
        <v>215</v>
      </c>
    </row>
    <row r="451" spans="1:7">
      <c r="A451">
        <v>450</v>
      </c>
      <c r="B451">
        <v>0.2576</v>
      </c>
      <c r="C451">
        <v>0.56000000000000005</v>
      </c>
      <c r="D451">
        <v>0.19400000000000001</v>
      </c>
      <c r="E451">
        <v>1</v>
      </c>
      <c r="F451">
        <v>184</v>
      </c>
      <c r="G451">
        <v>185</v>
      </c>
    </row>
    <row r="452" spans="1:7">
      <c r="A452">
        <v>451</v>
      </c>
      <c r="B452">
        <v>0.2273</v>
      </c>
      <c r="C452">
        <v>0.56000000000000005</v>
      </c>
      <c r="D452">
        <v>0.32840000000000003</v>
      </c>
      <c r="E452">
        <v>6</v>
      </c>
      <c r="F452">
        <v>146</v>
      </c>
      <c r="G452">
        <v>152</v>
      </c>
    </row>
    <row r="453" spans="1:7">
      <c r="A453">
        <v>452</v>
      </c>
      <c r="B453">
        <v>0.2424</v>
      </c>
      <c r="C453">
        <v>0.6</v>
      </c>
      <c r="D453">
        <v>0.28360000000000002</v>
      </c>
      <c r="E453">
        <v>2</v>
      </c>
      <c r="F453">
        <v>124</v>
      </c>
      <c r="G453">
        <v>126</v>
      </c>
    </row>
    <row r="454" spans="1:7">
      <c r="A454">
        <v>453</v>
      </c>
      <c r="B454">
        <v>0.2273</v>
      </c>
      <c r="C454">
        <v>0.6</v>
      </c>
      <c r="D454">
        <v>0.25369999999999998</v>
      </c>
      <c r="E454">
        <v>3</v>
      </c>
      <c r="F454">
        <v>54</v>
      </c>
      <c r="G454">
        <v>57</v>
      </c>
    </row>
    <row r="455" spans="1:7">
      <c r="A455">
        <v>454</v>
      </c>
      <c r="B455">
        <v>0.21210000000000001</v>
      </c>
      <c r="C455">
        <v>0.65</v>
      </c>
      <c r="D455">
        <v>0.28360000000000002</v>
      </c>
      <c r="E455">
        <v>0</v>
      </c>
      <c r="F455">
        <v>56</v>
      </c>
      <c r="G455">
        <v>56</v>
      </c>
    </row>
    <row r="456" spans="1:7">
      <c r="A456">
        <v>455</v>
      </c>
      <c r="B456">
        <v>0.21210000000000001</v>
      </c>
      <c r="C456">
        <v>0.65</v>
      </c>
      <c r="D456">
        <v>0.32840000000000003</v>
      </c>
      <c r="E456">
        <v>3</v>
      </c>
      <c r="F456">
        <v>28</v>
      </c>
      <c r="G456">
        <v>31</v>
      </c>
    </row>
    <row r="457" spans="1:7">
      <c r="A457">
        <v>456</v>
      </c>
      <c r="B457">
        <v>0.2273</v>
      </c>
      <c r="C457">
        <v>0.7</v>
      </c>
      <c r="D457">
        <v>0.25369999999999998</v>
      </c>
      <c r="E457">
        <v>1</v>
      </c>
      <c r="F457">
        <v>20</v>
      </c>
      <c r="G457">
        <v>21</v>
      </c>
    </row>
    <row r="458" spans="1:7">
      <c r="A458">
        <v>457</v>
      </c>
      <c r="B458">
        <v>0.2273</v>
      </c>
      <c r="C458">
        <v>0.7</v>
      </c>
      <c r="D458">
        <v>0.25369999999999998</v>
      </c>
      <c r="E458">
        <v>0</v>
      </c>
      <c r="F458">
        <v>6</v>
      </c>
      <c r="G458">
        <v>6</v>
      </c>
    </row>
    <row r="459" spans="1:7">
      <c r="A459">
        <v>458</v>
      </c>
      <c r="B459">
        <v>0.2424</v>
      </c>
      <c r="C459">
        <v>0.75</v>
      </c>
      <c r="D459">
        <v>0.16420000000000001</v>
      </c>
      <c r="E459">
        <v>0</v>
      </c>
      <c r="F459">
        <v>2</v>
      </c>
      <c r="G459">
        <v>2</v>
      </c>
    </row>
    <row r="460" spans="1:7">
      <c r="A460">
        <v>459</v>
      </c>
      <c r="B460">
        <v>0.21210000000000001</v>
      </c>
      <c r="C460">
        <v>0.8</v>
      </c>
      <c r="D460">
        <v>0.29849999999999999</v>
      </c>
      <c r="E460">
        <v>0</v>
      </c>
      <c r="F460">
        <v>1</v>
      </c>
      <c r="G460">
        <v>1</v>
      </c>
    </row>
    <row r="461" spans="1:7">
      <c r="A461">
        <v>460</v>
      </c>
      <c r="B461">
        <v>0.2576</v>
      </c>
      <c r="C461">
        <v>0.87</v>
      </c>
      <c r="D461">
        <v>8.9599999999999999E-2</v>
      </c>
      <c r="E461">
        <v>0</v>
      </c>
      <c r="F461">
        <v>1</v>
      </c>
      <c r="G461">
        <v>1</v>
      </c>
    </row>
    <row r="462" spans="1:7">
      <c r="A462">
        <v>461</v>
      </c>
      <c r="B462">
        <v>0.19700000000000001</v>
      </c>
      <c r="C462">
        <v>0.6</v>
      </c>
      <c r="D462">
        <v>0.41789999999999999</v>
      </c>
      <c r="E462">
        <v>1</v>
      </c>
      <c r="F462">
        <v>4</v>
      </c>
      <c r="G462">
        <v>5</v>
      </c>
    </row>
    <row r="463" spans="1:7">
      <c r="A463">
        <v>462</v>
      </c>
      <c r="B463">
        <v>0.21210000000000001</v>
      </c>
      <c r="C463">
        <v>0.55000000000000004</v>
      </c>
      <c r="D463">
        <v>0.25369999999999998</v>
      </c>
      <c r="E463">
        <v>0</v>
      </c>
      <c r="F463">
        <v>27</v>
      </c>
      <c r="G463">
        <v>27</v>
      </c>
    </row>
    <row r="464" spans="1:7">
      <c r="A464">
        <v>463</v>
      </c>
      <c r="B464">
        <v>0.18179999999999999</v>
      </c>
      <c r="C464">
        <v>0.51</v>
      </c>
      <c r="D464">
        <v>0.28360000000000002</v>
      </c>
      <c r="E464">
        <v>2</v>
      </c>
      <c r="F464">
        <v>66</v>
      </c>
      <c r="G464">
        <v>68</v>
      </c>
    </row>
    <row r="465" spans="1:7">
      <c r="A465">
        <v>464</v>
      </c>
      <c r="B465">
        <v>0.18179999999999999</v>
      </c>
      <c r="C465">
        <v>0.47</v>
      </c>
      <c r="D465">
        <v>0.32840000000000003</v>
      </c>
      <c r="E465">
        <v>7</v>
      </c>
      <c r="F465">
        <v>210</v>
      </c>
      <c r="G465">
        <v>217</v>
      </c>
    </row>
    <row r="466" spans="1:7">
      <c r="A466">
        <v>465</v>
      </c>
      <c r="B466">
        <v>0.18179999999999999</v>
      </c>
      <c r="C466">
        <v>0.51</v>
      </c>
      <c r="D466">
        <v>0.35820000000000002</v>
      </c>
      <c r="E466">
        <v>7</v>
      </c>
      <c r="F466">
        <v>159</v>
      </c>
      <c r="G466">
        <v>166</v>
      </c>
    </row>
    <row r="467" spans="1:7">
      <c r="A467">
        <v>466</v>
      </c>
      <c r="B467">
        <v>0.16669999999999999</v>
      </c>
      <c r="C467">
        <v>0.47</v>
      </c>
      <c r="D467">
        <v>0.4627</v>
      </c>
      <c r="E467">
        <v>6</v>
      </c>
      <c r="F467">
        <v>57</v>
      </c>
      <c r="G467">
        <v>63</v>
      </c>
    </row>
    <row r="468" spans="1:7">
      <c r="A468">
        <v>467</v>
      </c>
      <c r="B468">
        <v>0.18179999999999999</v>
      </c>
      <c r="C468">
        <v>0.41</v>
      </c>
      <c r="D468">
        <v>0.4627</v>
      </c>
      <c r="E468">
        <v>6</v>
      </c>
      <c r="F468">
        <v>53</v>
      </c>
      <c r="G468">
        <v>59</v>
      </c>
    </row>
    <row r="469" spans="1:7">
      <c r="A469">
        <v>468</v>
      </c>
      <c r="B469">
        <v>0.18179999999999999</v>
      </c>
      <c r="C469">
        <v>0.27</v>
      </c>
      <c r="D469">
        <v>0.58209999999999995</v>
      </c>
      <c r="E469">
        <v>11</v>
      </c>
      <c r="F469">
        <v>67</v>
      </c>
      <c r="G469">
        <v>78</v>
      </c>
    </row>
    <row r="470" spans="1:7">
      <c r="A470">
        <v>469</v>
      </c>
      <c r="B470">
        <v>0.1515</v>
      </c>
      <c r="C470">
        <v>0.21</v>
      </c>
      <c r="D470">
        <v>0.58209999999999995</v>
      </c>
      <c r="E470">
        <v>8</v>
      </c>
      <c r="F470">
        <v>65</v>
      </c>
      <c r="G470">
        <v>73</v>
      </c>
    </row>
    <row r="471" spans="1:7">
      <c r="A471">
        <v>470</v>
      </c>
      <c r="B471">
        <v>0.1515</v>
      </c>
      <c r="C471">
        <v>0.25</v>
      </c>
      <c r="D471">
        <v>0.52239999999999998</v>
      </c>
      <c r="E471">
        <v>6</v>
      </c>
      <c r="F471">
        <v>56</v>
      </c>
      <c r="G471">
        <v>62</v>
      </c>
    </row>
    <row r="472" spans="1:7">
      <c r="A472">
        <v>471</v>
      </c>
      <c r="B472">
        <v>0.1212</v>
      </c>
      <c r="C472">
        <v>0.26</v>
      </c>
      <c r="D472">
        <v>0.44779999999999998</v>
      </c>
      <c r="E472">
        <v>4</v>
      </c>
      <c r="F472">
        <v>61</v>
      </c>
      <c r="G472">
        <v>65</v>
      </c>
    </row>
    <row r="473" spans="1:7">
      <c r="A473">
        <v>472</v>
      </c>
      <c r="B473">
        <v>0.13639999999999999</v>
      </c>
      <c r="C473">
        <v>0.26</v>
      </c>
      <c r="D473">
        <v>0.35820000000000002</v>
      </c>
      <c r="E473">
        <v>0</v>
      </c>
      <c r="F473">
        <v>97</v>
      </c>
      <c r="G473">
        <v>97</v>
      </c>
    </row>
    <row r="474" spans="1:7">
      <c r="A474">
        <v>473</v>
      </c>
      <c r="B474">
        <v>0.1212</v>
      </c>
      <c r="C474">
        <v>0.28000000000000003</v>
      </c>
      <c r="D474">
        <v>0.35820000000000002</v>
      </c>
      <c r="E474">
        <v>10</v>
      </c>
      <c r="F474">
        <v>151</v>
      </c>
      <c r="G474">
        <v>161</v>
      </c>
    </row>
    <row r="475" spans="1:7">
      <c r="A475">
        <v>474</v>
      </c>
      <c r="B475">
        <v>0.1212</v>
      </c>
      <c r="C475">
        <v>0.3</v>
      </c>
      <c r="D475">
        <v>0.25369999999999998</v>
      </c>
      <c r="E475">
        <v>1</v>
      </c>
      <c r="F475">
        <v>119</v>
      </c>
      <c r="G475">
        <v>120</v>
      </c>
    </row>
    <row r="476" spans="1:7">
      <c r="A476">
        <v>475</v>
      </c>
      <c r="B476">
        <v>0.1061</v>
      </c>
      <c r="C476">
        <v>0.3</v>
      </c>
      <c r="D476">
        <v>0.32840000000000003</v>
      </c>
      <c r="E476">
        <v>3</v>
      </c>
      <c r="F476">
        <v>93</v>
      </c>
      <c r="G476">
        <v>96</v>
      </c>
    </row>
    <row r="477" spans="1:7">
      <c r="A477">
        <v>476</v>
      </c>
      <c r="B477">
        <v>7.5800000000000006E-2</v>
      </c>
      <c r="C477">
        <v>0.33</v>
      </c>
      <c r="D477">
        <v>0.41789999999999999</v>
      </c>
      <c r="E477">
        <v>1</v>
      </c>
      <c r="F477">
        <v>52</v>
      </c>
      <c r="G477">
        <v>53</v>
      </c>
    </row>
    <row r="478" spans="1:7">
      <c r="A478">
        <v>477</v>
      </c>
      <c r="B478">
        <v>7.5800000000000006E-2</v>
      </c>
      <c r="C478">
        <v>0.38</v>
      </c>
      <c r="D478">
        <v>0.28360000000000002</v>
      </c>
      <c r="E478">
        <v>0</v>
      </c>
      <c r="F478">
        <v>41</v>
      </c>
      <c r="G478">
        <v>41</v>
      </c>
    </row>
    <row r="479" spans="1:7">
      <c r="A479">
        <v>478</v>
      </c>
      <c r="B479">
        <v>3.0300000000000001E-2</v>
      </c>
      <c r="C479">
        <v>0.41</v>
      </c>
      <c r="D479">
        <v>0.3881</v>
      </c>
      <c r="E479">
        <v>1</v>
      </c>
      <c r="F479">
        <v>33</v>
      </c>
      <c r="G479">
        <v>34</v>
      </c>
    </row>
    <row r="480" spans="1:7">
      <c r="A480">
        <v>479</v>
      </c>
      <c r="B480">
        <v>4.5499999999999999E-2</v>
      </c>
      <c r="C480">
        <v>0.38</v>
      </c>
      <c r="D480">
        <v>0.32840000000000003</v>
      </c>
      <c r="E480">
        <v>0</v>
      </c>
      <c r="F480">
        <v>27</v>
      </c>
      <c r="G480">
        <v>27</v>
      </c>
    </row>
    <row r="481" spans="1:7">
      <c r="A481">
        <v>480</v>
      </c>
      <c r="B481">
        <v>3.0300000000000001E-2</v>
      </c>
      <c r="C481">
        <v>0.45</v>
      </c>
      <c r="D481">
        <v>0.25369999999999998</v>
      </c>
      <c r="E481">
        <v>0</v>
      </c>
      <c r="F481">
        <v>13</v>
      </c>
      <c r="G481">
        <v>13</v>
      </c>
    </row>
    <row r="482" spans="1:7">
      <c r="A482">
        <v>481</v>
      </c>
      <c r="B482">
        <v>0</v>
      </c>
      <c r="C482">
        <v>0.41</v>
      </c>
      <c r="D482">
        <v>0.3881</v>
      </c>
      <c r="E482">
        <v>3</v>
      </c>
      <c r="F482">
        <v>9</v>
      </c>
      <c r="G482">
        <v>12</v>
      </c>
    </row>
    <row r="483" spans="1:7">
      <c r="A483">
        <v>482</v>
      </c>
      <c r="B483">
        <v>3.0300000000000001E-2</v>
      </c>
      <c r="C483">
        <v>0.41</v>
      </c>
      <c r="D483">
        <v>0.25369999999999998</v>
      </c>
      <c r="E483">
        <v>0</v>
      </c>
      <c r="F483">
        <v>11</v>
      </c>
      <c r="G483">
        <v>11</v>
      </c>
    </row>
    <row r="484" spans="1:7">
      <c r="A484">
        <v>483</v>
      </c>
      <c r="B484">
        <v>3.0300000000000001E-2</v>
      </c>
      <c r="C484">
        <v>0.41</v>
      </c>
      <c r="D484">
        <v>0.28360000000000002</v>
      </c>
      <c r="E484">
        <v>1</v>
      </c>
      <c r="F484">
        <v>6</v>
      </c>
      <c r="G484">
        <v>7</v>
      </c>
    </row>
    <row r="485" spans="1:7">
      <c r="A485">
        <v>484</v>
      </c>
      <c r="B485">
        <v>1.52E-2</v>
      </c>
      <c r="C485">
        <v>0.48</v>
      </c>
      <c r="D485">
        <v>0.29849999999999999</v>
      </c>
      <c r="E485">
        <v>0</v>
      </c>
      <c r="F485">
        <v>3</v>
      </c>
      <c r="G485">
        <v>3</v>
      </c>
    </row>
    <row r="486" spans="1:7">
      <c r="A486">
        <v>485</v>
      </c>
      <c r="B486">
        <v>3.0300000000000001E-2</v>
      </c>
      <c r="C486">
        <v>0.44</v>
      </c>
      <c r="D486">
        <v>0.22389999999999999</v>
      </c>
      <c r="E486">
        <v>0</v>
      </c>
      <c r="F486">
        <v>2</v>
      </c>
      <c r="G486">
        <v>2</v>
      </c>
    </row>
    <row r="487" spans="1:7">
      <c r="A487">
        <v>486</v>
      </c>
      <c r="B487">
        <v>1.52E-2</v>
      </c>
      <c r="C487">
        <v>0.44</v>
      </c>
      <c r="D487">
        <v>0.28360000000000002</v>
      </c>
      <c r="E487">
        <v>0</v>
      </c>
      <c r="F487">
        <v>8</v>
      </c>
      <c r="G487">
        <v>8</v>
      </c>
    </row>
    <row r="488" spans="1:7">
      <c r="A488">
        <v>487</v>
      </c>
      <c r="B488">
        <v>0</v>
      </c>
      <c r="C488">
        <v>0.44</v>
      </c>
      <c r="D488">
        <v>0.32840000000000003</v>
      </c>
      <c r="E488">
        <v>1</v>
      </c>
      <c r="F488">
        <v>26</v>
      </c>
      <c r="G488">
        <v>27</v>
      </c>
    </row>
    <row r="489" spans="1:7">
      <c r="A489">
        <v>488</v>
      </c>
      <c r="B489">
        <v>3.0300000000000001E-2</v>
      </c>
      <c r="C489">
        <v>0.41</v>
      </c>
      <c r="D489">
        <v>0.25369999999999998</v>
      </c>
      <c r="E489">
        <v>3</v>
      </c>
      <c r="F489">
        <v>37</v>
      </c>
      <c r="G489">
        <v>40</v>
      </c>
    </row>
    <row r="490" spans="1:7">
      <c r="A490">
        <v>489</v>
      </c>
      <c r="B490">
        <v>6.0600000000000001E-2</v>
      </c>
      <c r="C490">
        <v>0.41</v>
      </c>
      <c r="D490">
        <v>0.16420000000000001</v>
      </c>
      <c r="E490">
        <v>3</v>
      </c>
      <c r="F490">
        <v>50</v>
      </c>
      <c r="G490">
        <v>53</v>
      </c>
    </row>
    <row r="491" spans="1:7">
      <c r="A491">
        <v>490</v>
      </c>
      <c r="B491">
        <v>7.5800000000000006E-2</v>
      </c>
      <c r="C491">
        <v>0.38</v>
      </c>
      <c r="D491">
        <v>0.1343</v>
      </c>
      <c r="E491">
        <v>4</v>
      </c>
      <c r="F491">
        <v>59</v>
      </c>
      <c r="G491">
        <v>63</v>
      </c>
    </row>
    <row r="492" spans="1:7">
      <c r="A492">
        <v>491</v>
      </c>
      <c r="B492">
        <v>0.1061</v>
      </c>
      <c r="C492">
        <v>0.38</v>
      </c>
      <c r="D492">
        <v>0.1045</v>
      </c>
      <c r="E492">
        <v>10</v>
      </c>
      <c r="F492">
        <v>60</v>
      </c>
      <c r="G492">
        <v>70</v>
      </c>
    </row>
    <row r="493" spans="1:7">
      <c r="A493">
        <v>492</v>
      </c>
      <c r="B493">
        <v>0.16669999999999999</v>
      </c>
      <c r="C493">
        <v>0.35</v>
      </c>
      <c r="D493">
        <v>0</v>
      </c>
      <c r="E493">
        <v>12</v>
      </c>
      <c r="F493">
        <v>72</v>
      </c>
      <c r="G493">
        <v>84</v>
      </c>
    </row>
    <row r="494" spans="1:7">
      <c r="A494">
        <v>493</v>
      </c>
      <c r="B494">
        <v>0.13639999999999999</v>
      </c>
      <c r="C494">
        <v>0.33</v>
      </c>
      <c r="D494">
        <v>0.1045</v>
      </c>
      <c r="E494">
        <v>11</v>
      </c>
      <c r="F494">
        <v>64</v>
      </c>
      <c r="G494">
        <v>75</v>
      </c>
    </row>
    <row r="495" spans="1:7">
      <c r="A495">
        <v>494</v>
      </c>
      <c r="B495">
        <v>0.1515</v>
      </c>
      <c r="C495">
        <v>0.28000000000000003</v>
      </c>
      <c r="D495">
        <v>0</v>
      </c>
      <c r="E495">
        <v>10</v>
      </c>
      <c r="F495">
        <v>93</v>
      </c>
      <c r="G495">
        <v>103</v>
      </c>
    </row>
    <row r="496" spans="1:7">
      <c r="A496">
        <v>495</v>
      </c>
      <c r="B496">
        <v>0.13639999999999999</v>
      </c>
      <c r="C496">
        <v>0.28000000000000003</v>
      </c>
      <c r="D496">
        <v>0.19400000000000001</v>
      </c>
      <c r="E496">
        <v>11</v>
      </c>
      <c r="F496">
        <v>72</v>
      </c>
      <c r="G496">
        <v>83</v>
      </c>
    </row>
    <row r="497" spans="1:7">
      <c r="A497">
        <v>496</v>
      </c>
      <c r="B497">
        <v>0.19700000000000001</v>
      </c>
      <c r="C497">
        <v>0.28000000000000003</v>
      </c>
      <c r="D497">
        <v>0</v>
      </c>
      <c r="E497">
        <v>8</v>
      </c>
      <c r="F497">
        <v>59</v>
      </c>
      <c r="G497">
        <v>67</v>
      </c>
    </row>
    <row r="498" spans="1:7">
      <c r="A498">
        <v>497</v>
      </c>
      <c r="B498">
        <v>9.0899999999999995E-2</v>
      </c>
      <c r="C498">
        <v>0.35</v>
      </c>
      <c r="D498">
        <v>0.19400000000000001</v>
      </c>
      <c r="E498">
        <v>0</v>
      </c>
      <c r="F498">
        <v>54</v>
      </c>
      <c r="G498">
        <v>54</v>
      </c>
    </row>
    <row r="499" spans="1:7">
      <c r="A499">
        <v>498</v>
      </c>
      <c r="B499">
        <v>0.1061</v>
      </c>
      <c r="C499">
        <v>0.35</v>
      </c>
      <c r="D499">
        <v>0.1343</v>
      </c>
      <c r="E499">
        <v>6</v>
      </c>
      <c r="F499">
        <v>53</v>
      </c>
      <c r="G499">
        <v>59</v>
      </c>
    </row>
    <row r="500" spans="1:7">
      <c r="A500">
        <v>499</v>
      </c>
      <c r="B500">
        <v>7.5800000000000006E-2</v>
      </c>
      <c r="C500">
        <v>0.45</v>
      </c>
      <c r="D500">
        <v>0.16420000000000001</v>
      </c>
      <c r="E500">
        <v>1</v>
      </c>
      <c r="F500">
        <v>44</v>
      </c>
      <c r="G500">
        <v>45</v>
      </c>
    </row>
    <row r="501" spans="1:7">
      <c r="A501">
        <v>500</v>
      </c>
      <c r="B501">
        <v>0.1061</v>
      </c>
      <c r="C501">
        <v>0.41</v>
      </c>
      <c r="D501">
        <v>8.9599999999999999E-2</v>
      </c>
      <c r="E501">
        <v>0</v>
      </c>
      <c r="F501">
        <v>39</v>
      </c>
      <c r="G501">
        <v>39</v>
      </c>
    </row>
    <row r="502" spans="1:7">
      <c r="A502">
        <v>501</v>
      </c>
      <c r="B502">
        <v>0.1515</v>
      </c>
      <c r="C502">
        <v>0.49</v>
      </c>
      <c r="D502">
        <v>0</v>
      </c>
      <c r="E502">
        <v>7</v>
      </c>
      <c r="F502">
        <v>23</v>
      </c>
      <c r="G502">
        <v>30</v>
      </c>
    </row>
    <row r="503" spans="1:7">
      <c r="A503">
        <v>502</v>
      </c>
      <c r="B503">
        <v>7.5800000000000006E-2</v>
      </c>
      <c r="C503">
        <v>0.56999999999999995</v>
      </c>
      <c r="D503">
        <v>0.1045</v>
      </c>
      <c r="E503">
        <v>2</v>
      </c>
      <c r="F503">
        <v>31</v>
      </c>
      <c r="G503">
        <v>33</v>
      </c>
    </row>
    <row r="504" spans="1:7">
      <c r="A504">
        <v>503</v>
      </c>
      <c r="B504">
        <v>7.5800000000000006E-2</v>
      </c>
      <c r="C504">
        <v>0.56999999999999995</v>
      </c>
      <c r="D504">
        <v>0.1045</v>
      </c>
      <c r="E504">
        <v>2</v>
      </c>
      <c r="F504">
        <v>20</v>
      </c>
      <c r="G504">
        <v>22</v>
      </c>
    </row>
    <row r="505" spans="1:7">
      <c r="A505">
        <v>504</v>
      </c>
      <c r="B505">
        <v>7.5800000000000006E-2</v>
      </c>
      <c r="C505">
        <v>0.56999999999999995</v>
      </c>
      <c r="D505">
        <v>0.1045</v>
      </c>
      <c r="E505">
        <v>1</v>
      </c>
      <c r="F505">
        <v>12</v>
      </c>
      <c r="G505">
        <v>13</v>
      </c>
    </row>
    <row r="506" spans="1:7">
      <c r="A506">
        <v>505</v>
      </c>
      <c r="B506">
        <v>6.0600000000000001E-2</v>
      </c>
      <c r="C506">
        <v>0.62</v>
      </c>
      <c r="D506">
        <v>0.1343</v>
      </c>
      <c r="E506">
        <v>3</v>
      </c>
      <c r="F506">
        <v>15</v>
      </c>
      <c r="G506">
        <v>18</v>
      </c>
    </row>
    <row r="507" spans="1:7">
      <c r="A507">
        <v>506</v>
      </c>
      <c r="B507">
        <v>6.0600000000000001E-2</v>
      </c>
      <c r="C507">
        <v>0.62</v>
      </c>
      <c r="D507">
        <v>0.1343</v>
      </c>
      <c r="E507">
        <v>1</v>
      </c>
      <c r="F507">
        <v>4</v>
      </c>
      <c r="G507">
        <v>5</v>
      </c>
    </row>
    <row r="508" spans="1:7">
      <c r="A508">
        <v>507</v>
      </c>
      <c r="B508">
        <v>7.5800000000000006E-2</v>
      </c>
      <c r="C508">
        <v>0.56999999999999995</v>
      </c>
      <c r="D508">
        <v>0.1045</v>
      </c>
      <c r="E508">
        <v>0</v>
      </c>
      <c r="F508">
        <v>3</v>
      </c>
      <c r="G508">
        <v>3</v>
      </c>
    </row>
    <row r="509" spans="1:7">
      <c r="A509">
        <v>508</v>
      </c>
      <c r="B509">
        <v>7.5800000000000006E-2</v>
      </c>
      <c r="C509">
        <v>0.56999999999999995</v>
      </c>
      <c r="D509">
        <v>0.1045</v>
      </c>
      <c r="E509">
        <v>0</v>
      </c>
      <c r="F509">
        <v>1</v>
      </c>
      <c r="G509">
        <v>1</v>
      </c>
    </row>
    <row r="510" spans="1:7">
      <c r="A510">
        <v>509</v>
      </c>
      <c r="B510">
        <v>0.1061</v>
      </c>
      <c r="C510">
        <v>0.57999999999999996</v>
      </c>
      <c r="D510">
        <v>0.16420000000000001</v>
      </c>
      <c r="E510">
        <v>1</v>
      </c>
      <c r="F510">
        <v>1</v>
      </c>
      <c r="G510">
        <v>2</v>
      </c>
    </row>
    <row r="511" spans="1:7">
      <c r="A511">
        <v>510</v>
      </c>
      <c r="B511">
        <v>7.5800000000000006E-2</v>
      </c>
      <c r="C511">
        <v>0.62</v>
      </c>
      <c r="D511">
        <v>0.16420000000000001</v>
      </c>
      <c r="E511">
        <v>2</v>
      </c>
      <c r="F511">
        <v>17</v>
      </c>
      <c r="G511">
        <v>19</v>
      </c>
    </row>
    <row r="512" spans="1:7">
      <c r="A512">
        <v>511</v>
      </c>
      <c r="B512">
        <v>7.5800000000000006E-2</v>
      </c>
      <c r="C512">
        <v>0.54</v>
      </c>
      <c r="D512">
        <v>0.35820000000000002</v>
      </c>
      <c r="E512">
        <v>3</v>
      </c>
      <c r="F512">
        <v>25</v>
      </c>
      <c r="G512">
        <v>28</v>
      </c>
    </row>
    <row r="513" spans="1:7">
      <c r="A513">
        <v>512</v>
      </c>
      <c r="B513">
        <v>0.1061</v>
      </c>
      <c r="C513">
        <v>0.46</v>
      </c>
      <c r="D513">
        <v>0.3881</v>
      </c>
      <c r="E513">
        <v>7</v>
      </c>
      <c r="F513">
        <v>51</v>
      </c>
      <c r="G513">
        <v>58</v>
      </c>
    </row>
    <row r="514" spans="1:7">
      <c r="A514">
        <v>513</v>
      </c>
      <c r="B514">
        <v>0.13639999999999999</v>
      </c>
      <c r="C514">
        <v>0.43</v>
      </c>
      <c r="D514">
        <v>0.22389999999999999</v>
      </c>
      <c r="E514">
        <v>22</v>
      </c>
      <c r="F514">
        <v>77</v>
      </c>
      <c r="G514">
        <v>99</v>
      </c>
    </row>
    <row r="515" spans="1:7">
      <c r="A515">
        <v>514</v>
      </c>
      <c r="B515">
        <v>0.1212</v>
      </c>
      <c r="C515">
        <v>0.37</v>
      </c>
      <c r="D515">
        <v>0.4627</v>
      </c>
      <c r="E515">
        <v>24</v>
      </c>
      <c r="F515">
        <v>92</v>
      </c>
      <c r="G515">
        <v>116</v>
      </c>
    </row>
    <row r="516" spans="1:7">
      <c r="A516">
        <v>515</v>
      </c>
      <c r="B516">
        <v>0.1061</v>
      </c>
      <c r="C516">
        <v>0.33</v>
      </c>
      <c r="D516">
        <v>0.3881</v>
      </c>
      <c r="E516">
        <v>12</v>
      </c>
      <c r="F516">
        <v>75</v>
      </c>
      <c r="G516">
        <v>87</v>
      </c>
    </row>
    <row r="517" spans="1:7">
      <c r="A517">
        <v>516</v>
      </c>
      <c r="B517">
        <v>0.13639999999999999</v>
      </c>
      <c r="C517">
        <v>0.28000000000000003</v>
      </c>
      <c r="D517">
        <v>0.35820000000000002</v>
      </c>
      <c r="E517">
        <v>17</v>
      </c>
      <c r="F517">
        <v>93</v>
      </c>
      <c r="G517">
        <v>110</v>
      </c>
    </row>
    <row r="518" spans="1:7">
      <c r="A518">
        <v>517</v>
      </c>
      <c r="B518">
        <v>0.13639999999999999</v>
      </c>
      <c r="C518">
        <v>0.28000000000000003</v>
      </c>
      <c r="D518">
        <v>0.35820000000000002</v>
      </c>
      <c r="E518">
        <v>13</v>
      </c>
      <c r="F518">
        <v>64</v>
      </c>
      <c r="G518">
        <v>77</v>
      </c>
    </row>
    <row r="519" spans="1:7">
      <c r="A519">
        <v>518</v>
      </c>
      <c r="B519">
        <v>0.13639999999999999</v>
      </c>
      <c r="C519">
        <v>0.26</v>
      </c>
      <c r="D519">
        <v>0.32840000000000003</v>
      </c>
      <c r="E519">
        <v>9</v>
      </c>
      <c r="F519">
        <v>56</v>
      </c>
      <c r="G519">
        <v>65</v>
      </c>
    </row>
    <row r="520" spans="1:7">
      <c r="A520">
        <v>519</v>
      </c>
      <c r="B520">
        <v>0.1061</v>
      </c>
      <c r="C520">
        <v>0.26</v>
      </c>
      <c r="D520">
        <v>0.3881</v>
      </c>
      <c r="E520">
        <v>5</v>
      </c>
      <c r="F520">
        <v>50</v>
      </c>
      <c r="G520">
        <v>55</v>
      </c>
    </row>
    <row r="521" spans="1:7">
      <c r="A521">
        <v>520</v>
      </c>
      <c r="B521">
        <v>0.1212</v>
      </c>
      <c r="C521">
        <v>0.3</v>
      </c>
      <c r="D521">
        <v>0.25369999999999998</v>
      </c>
      <c r="E521">
        <v>5</v>
      </c>
      <c r="F521">
        <v>44</v>
      </c>
      <c r="G521">
        <v>49</v>
      </c>
    </row>
    <row r="522" spans="1:7">
      <c r="A522">
        <v>521</v>
      </c>
      <c r="B522">
        <v>0.1212</v>
      </c>
      <c r="C522">
        <v>0.3</v>
      </c>
      <c r="D522">
        <v>0.28360000000000002</v>
      </c>
      <c r="E522">
        <v>5</v>
      </c>
      <c r="F522">
        <v>45</v>
      </c>
      <c r="G522">
        <v>50</v>
      </c>
    </row>
    <row r="523" spans="1:7">
      <c r="A523">
        <v>522</v>
      </c>
      <c r="B523">
        <v>0.1061</v>
      </c>
      <c r="C523">
        <v>0.36</v>
      </c>
      <c r="D523">
        <v>0.25369999999999998</v>
      </c>
      <c r="E523">
        <v>4</v>
      </c>
      <c r="F523">
        <v>31</v>
      </c>
      <c r="G523">
        <v>35</v>
      </c>
    </row>
    <row r="524" spans="1:7">
      <c r="A524">
        <v>523</v>
      </c>
      <c r="B524">
        <v>0.1061</v>
      </c>
      <c r="C524">
        <v>0.36</v>
      </c>
      <c r="D524">
        <v>0.19400000000000001</v>
      </c>
      <c r="E524">
        <v>5</v>
      </c>
      <c r="F524">
        <v>20</v>
      </c>
      <c r="G524">
        <v>25</v>
      </c>
    </row>
    <row r="525" spans="1:7">
      <c r="A525">
        <v>524</v>
      </c>
      <c r="B525">
        <v>9.0899999999999995E-2</v>
      </c>
      <c r="C525">
        <v>0.38</v>
      </c>
      <c r="D525">
        <v>0.19400000000000001</v>
      </c>
      <c r="E525">
        <v>5</v>
      </c>
      <c r="F525">
        <v>23</v>
      </c>
      <c r="G525">
        <v>28</v>
      </c>
    </row>
    <row r="526" spans="1:7">
      <c r="A526">
        <v>525</v>
      </c>
      <c r="B526">
        <v>6.0600000000000001E-2</v>
      </c>
      <c r="C526">
        <v>0.41</v>
      </c>
      <c r="D526">
        <v>0.22389999999999999</v>
      </c>
      <c r="E526">
        <v>4</v>
      </c>
      <c r="F526">
        <v>17</v>
      </c>
      <c r="G526">
        <v>21</v>
      </c>
    </row>
    <row r="527" spans="1:7">
      <c r="A527">
        <v>526</v>
      </c>
      <c r="B527">
        <v>6.0600000000000001E-2</v>
      </c>
      <c r="C527">
        <v>0.41</v>
      </c>
      <c r="D527">
        <v>0.19400000000000001</v>
      </c>
      <c r="E527">
        <v>0</v>
      </c>
      <c r="F527">
        <v>7</v>
      </c>
      <c r="G527">
        <v>7</v>
      </c>
    </row>
    <row r="528" spans="1:7">
      <c r="A528">
        <v>527</v>
      </c>
      <c r="B528">
        <v>4.5499999999999999E-2</v>
      </c>
      <c r="C528">
        <v>0.45</v>
      </c>
      <c r="D528">
        <v>0.19400000000000001</v>
      </c>
      <c r="E528">
        <v>0</v>
      </c>
      <c r="F528">
        <v>1</v>
      </c>
      <c r="G528">
        <v>1</v>
      </c>
    </row>
    <row r="529" spans="1:7">
      <c r="A529">
        <v>528</v>
      </c>
      <c r="B529">
        <v>3.0300000000000001E-2</v>
      </c>
      <c r="C529">
        <v>0.45</v>
      </c>
      <c r="D529">
        <v>0.25369999999999998</v>
      </c>
      <c r="E529">
        <v>0</v>
      </c>
      <c r="F529">
        <v>1</v>
      </c>
      <c r="G529">
        <v>1</v>
      </c>
    </row>
    <row r="530" spans="1:7">
      <c r="A530">
        <v>529</v>
      </c>
      <c r="B530">
        <v>6.0600000000000001E-2</v>
      </c>
      <c r="C530">
        <v>0.48</v>
      </c>
      <c r="D530">
        <v>0.1343</v>
      </c>
      <c r="E530">
        <v>0</v>
      </c>
      <c r="F530">
        <v>1</v>
      </c>
      <c r="G530">
        <v>1</v>
      </c>
    </row>
    <row r="531" spans="1:7">
      <c r="A531">
        <v>530</v>
      </c>
      <c r="B531">
        <v>6.0600000000000001E-2</v>
      </c>
      <c r="C531">
        <v>0.48</v>
      </c>
      <c r="D531">
        <v>0.1343</v>
      </c>
      <c r="E531">
        <v>0</v>
      </c>
      <c r="F531">
        <v>5</v>
      </c>
      <c r="G531">
        <v>5</v>
      </c>
    </row>
    <row r="532" spans="1:7">
      <c r="A532">
        <v>531</v>
      </c>
      <c r="B532">
        <v>7.5800000000000006E-2</v>
      </c>
      <c r="C532">
        <v>0.48</v>
      </c>
      <c r="D532">
        <v>8.9599999999999999E-2</v>
      </c>
      <c r="E532">
        <v>0</v>
      </c>
      <c r="F532">
        <v>15</v>
      </c>
      <c r="G532">
        <v>15</v>
      </c>
    </row>
    <row r="533" spans="1:7">
      <c r="A533">
        <v>532</v>
      </c>
      <c r="B533">
        <v>0.1212</v>
      </c>
      <c r="C533">
        <v>0.48</v>
      </c>
      <c r="D533">
        <v>0</v>
      </c>
      <c r="E533">
        <v>5</v>
      </c>
      <c r="F533">
        <v>79</v>
      </c>
      <c r="G533">
        <v>84</v>
      </c>
    </row>
    <row r="534" spans="1:7">
      <c r="A534">
        <v>533</v>
      </c>
      <c r="B534">
        <v>0.13639999999999999</v>
      </c>
      <c r="C534">
        <v>0.49</v>
      </c>
      <c r="D534">
        <v>0</v>
      </c>
      <c r="E534">
        <v>6</v>
      </c>
      <c r="F534">
        <v>171</v>
      </c>
      <c r="G534">
        <v>177</v>
      </c>
    </row>
    <row r="535" spans="1:7">
      <c r="A535">
        <v>534</v>
      </c>
      <c r="B535">
        <v>0.1515</v>
      </c>
      <c r="C535">
        <v>0.41</v>
      </c>
      <c r="D535">
        <v>0</v>
      </c>
      <c r="E535">
        <v>4</v>
      </c>
      <c r="F535">
        <v>98</v>
      </c>
      <c r="G535">
        <v>102</v>
      </c>
    </row>
    <row r="536" spans="1:7">
      <c r="A536">
        <v>535</v>
      </c>
      <c r="B536">
        <v>0.13639999999999999</v>
      </c>
      <c r="C536">
        <v>0.42</v>
      </c>
      <c r="D536">
        <v>0</v>
      </c>
      <c r="E536">
        <v>6</v>
      </c>
      <c r="F536">
        <v>34</v>
      </c>
      <c r="G536">
        <v>40</v>
      </c>
    </row>
    <row r="537" spans="1:7">
      <c r="A537">
        <v>536</v>
      </c>
      <c r="B537">
        <v>0.1212</v>
      </c>
      <c r="C537">
        <v>0.46</v>
      </c>
      <c r="D537">
        <v>0.1343</v>
      </c>
      <c r="E537">
        <v>3</v>
      </c>
      <c r="F537">
        <v>43</v>
      </c>
      <c r="G537">
        <v>46</v>
      </c>
    </row>
    <row r="538" spans="1:7">
      <c r="A538">
        <v>537</v>
      </c>
      <c r="B538">
        <v>0.13639999999999999</v>
      </c>
      <c r="C538">
        <v>0.42</v>
      </c>
      <c r="D538">
        <v>0.19400000000000001</v>
      </c>
      <c r="E538">
        <v>11</v>
      </c>
      <c r="F538">
        <v>52</v>
      </c>
      <c r="G538">
        <v>63</v>
      </c>
    </row>
    <row r="539" spans="1:7">
      <c r="A539">
        <v>538</v>
      </c>
      <c r="B539">
        <v>0.13639999999999999</v>
      </c>
      <c r="C539">
        <v>0.43</v>
      </c>
      <c r="D539">
        <v>0.22389999999999999</v>
      </c>
      <c r="E539">
        <v>6</v>
      </c>
      <c r="F539">
        <v>54</v>
      </c>
      <c r="G539">
        <v>60</v>
      </c>
    </row>
    <row r="540" spans="1:7">
      <c r="A540">
        <v>539</v>
      </c>
      <c r="B540">
        <v>0.13639999999999999</v>
      </c>
      <c r="C540">
        <v>0.46</v>
      </c>
      <c r="D540">
        <v>0.22389999999999999</v>
      </c>
      <c r="E540">
        <v>2</v>
      </c>
      <c r="F540">
        <v>43</v>
      </c>
      <c r="G540">
        <v>45</v>
      </c>
    </row>
    <row r="541" spans="1:7">
      <c r="A541">
        <v>540</v>
      </c>
      <c r="B541">
        <v>0.16669999999999999</v>
      </c>
      <c r="C541">
        <v>0.4</v>
      </c>
      <c r="D541">
        <v>0.16420000000000001</v>
      </c>
      <c r="E541">
        <v>7</v>
      </c>
      <c r="F541">
        <v>50</v>
      </c>
      <c r="G541">
        <v>57</v>
      </c>
    </row>
    <row r="542" spans="1:7">
      <c r="A542">
        <v>541</v>
      </c>
      <c r="B542">
        <v>0.1515</v>
      </c>
      <c r="C542">
        <v>0.47</v>
      </c>
      <c r="D542">
        <v>0.25369999999999998</v>
      </c>
      <c r="E542">
        <v>4</v>
      </c>
      <c r="F542">
        <v>66</v>
      </c>
      <c r="G542">
        <v>70</v>
      </c>
    </row>
    <row r="543" spans="1:7">
      <c r="A543">
        <v>542</v>
      </c>
      <c r="B543">
        <v>0.1212</v>
      </c>
      <c r="C543">
        <v>0.5</v>
      </c>
      <c r="D543">
        <v>0.25369999999999998</v>
      </c>
      <c r="E543">
        <v>6</v>
      </c>
      <c r="F543">
        <v>178</v>
      </c>
      <c r="G543">
        <v>184</v>
      </c>
    </row>
    <row r="544" spans="1:7">
      <c r="A544">
        <v>543</v>
      </c>
      <c r="B544">
        <v>0.13639999999999999</v>
      </c>
      <c r="C544">
        <v>0.59</v>
      </c>
      <c r="D544">
        <v>0.19400000000000001</v>
      </c>
      <c r="E544">
        <v>8</v>
      </c>
      <c r="F544">
        <v>145</v>
      </c>
      <c r="G544">
        <v>153</v>
      </c>
    </row>
    <row r="545" spans="1:7">
      <c r="A545">
        <v>544</v>
      </c>
      <c r="B545">
        <v>0.1515</v>
      </c>
      <c r="C545">
        <v>0.54</v>
      </c>
      <c r="D545">
        <v>0.16420000000000001</v>
      </c>
      <c r="E545">
        <v>5</v>
      </c>
      <c r="F545">
        <v>101</v>
      </c>
      <c r="G545">
        <v>106</v>
      </c>
    </row>
    <row r="546" spans="1:7">
      <c r="A546">
        <v>545</v>
      </c>
      <c r="B546">
        <v>0.13639999999999999</v>
      </c>
      <c r="C546">
        <v>0.59</v>
      </c>
      <c r="D546">
        <v>0.19400000000000001</v>
      </c>
      <c r="E546">
        <v>1</v>
      </c>
      <c r="F546">
        <v>80</v>
      </c>
      <c r="G546">
        <v>81</v>
      </c>
    </row>
    <row r="547" spans="1:7">
      <c r="A547">
        <v>546</v>
      </c>
      <c r="B547">
        <v>0.1515</v>
      </c>
      <c r="C547">
        <v>0.63</v>
      </c>
      <c r="D547">
        <v>0.16420000000000001</v>
      </c>
      <c r="E547">
        <v>6</v>
      </c>
      <c r="F547">
        <v>53</v>
      </c>
      <c r="G547">
        <v>59</v>
      </c>
    </row>
    <row r="548" spans="1:7">
      <c r="A548">
        <v>547</v>
      </c>
      <c r="B548">
        <v>0.13639999999999999</v>
      </c>
      <c r="C548">
        <v>0.63</v>
      </c>
      <c r="D548">
        <v>0.22389999999999999</v>
      </c>
      <c r="E548">
        <v>3</v>
      </c>
      <c r="F548">
        <v>32</v>
      </c>
      <c r="G548">
        <v>35</v>
      </c>
    </row>
    <row r="549" spans="1:7">
      <c r="A549">
        <v>548</v>
      </c>
      <c r="B549">
        <v>0.1515</v>
      </c>
      <c r="C549">
        <v>0.64</v>
      </c>
      <c r="D549">
        <v>0.25369999999999998</v>
      </c>
      <c r="E549">
        <v>3</v>
      </c>
      <c r="F549">
        <v>21</v>
      </c>
      <c r="G549">
        <v>24</v>
      </c>
    </row>
    <row r="550" spans="1:7">
      <c r="A550">
        <v>549</v>
      </c>
      <c r="B550">
        <v>0.13639999999999999</v>
      </c>
      <c r="C550">
        <v>0.69</v>
      </c>
      <c r="D550">
        <v>0.28360000000000002</v>
      </c>
      <c r="E550">
        <v>3</v>
      </c>
      <c r="F550">
        <v>6</v>
      </c>
      <c r="G550">
        <v>9</v>
      </c>
    </row>
    <row r="551" spans="1:7">
      <c r="A551">
        <v>550</v>
      </c>
      <c r="B551">
        <v>0.16669999999999999</v>
      </c>
      <c r="C551">
        <v>0.69</v>
      </c>
      <c r="D551">
        <v>0.16420000000000001</v>
      </c>
      <c r="E551">
        <v>0</v>
      </c>
      <c r="F551">
        <v>5</v>
      </c>
      <c r="G551">
        <v>5</v>
      </c>
    </row>
    <row r="552" spans="1:7">
      <c r="A552">
        <v>551</v>
      </c>
      <c r="B552">
        <v>0.1515</v>
      </c>
      <c r="C552">
        <v>0.69</v>
      </c>
      <c r="D552">
        <v>0.22389999999999999</v>
      </c>
      <c r="E552">
        <v>0</v>
      </c>
      <c r="F552">
        <v>2</v>
      </c>
      <c r="G552">
        <v>2</v>
      </c>
    </row>
    <row r="553" spans="1:7">
      <c r="A553">
        <v>552</v>
      </c>
      <c r="B553">
        <v>0.16669999999999999</v>
      </c>
      <c r="C553">
        <v>0.74</v>
      </c>
      <c r="D553">
        <v>0.1045</v>
      </c>
      <c r="E553">
        <v>0</v>
      </c>
      <c r="F553">
        <v>1</v>
      </c>
      <c r="G553">
        <v>1</v>
      </c>
    </row>
    <row r="554" spans="1:7">
      <c r="A554">
        <v>553</v>
      </c>
      <c r="B554">
        <v>0.13639999999999999</v>
      </c>
      <c r="C554">
        <v>0.74</v>
      </c>
      <c r="D554">
        <v>0.22389999999999999</v>
      </c>
      <c r="E554">
        <v>0</v>
      </c>
      <c r="F554">
        <v>9</v>
      </c>
      <c r="G554">
        <v>9</v>
      </c>
    </row>
    <row r="555" spans="1:7">
      <c r="A555">
        <v>554</v>
      </c>
      <c r="B555">
        <v>0.18179999999999999</v>
      </c>
      <c r="C555">
        <v>0.74</v>
      </c>
      <c r="D555">
        <v>0.1045</v>
      </c>
      <c r="E555">
        <v>1</v>
      </c>
      <c r="F555">
        <v>35</v>
      </c>
      <c r="G555">
        <v>36</v>
      </c>
    </row>
    <row r="556" spans="1:7">
      <c r="A556">
        <v>555</v>
      </c>
      <c r="B556">
        <v>0.1515</v>
      </c>
      <c r="C556">
        <v>0.74</v>
      </c>
      <c r="D556">
        <v>0.22389999999999999</v>
      </c>
      <c r="E556">
        <v>5</v>
      </c>
      <c r="F556">
        <v>103</v>
      </c>
      <c r="G556">
        <v>108</v>
      </c>
    </row>
    <row r="557" spans="1:7">
      <c r="A557">
        <v>556</v>
      </c>
      <c r="B557">
        <v>0.18179999999999999</v>
      </c>
      <c r="C557">
        <v>0.74</v>
      </c>
      <c r="D557">
        <v>0.1343</v>
      </c>
      <c r="E557">
        <v>5</v>
      </c>
      <c r="F557">
        <v>233</v>
      </c>
      <c r="G557">
        <v>238</v>
      </c>
    </row>
    <row r="558" spans="1:7">
      <c r="A558">
        <v>557</v>
      </c>
      <c r="B558">
        <v>0.2273</v>
      </c>
      <c r="C558">
        <v>0.64</v>
      </c>
      <c r="D558">
        <v>8.9599999999999999E-2</v>
      </c>
      <c r="E558">
        <v>10</v>
      </c>
      <c r="F558">
        <v>134</v>
      </c>
      <c r="G558">
        <v>144</v>
      </c>
    </row>
    <row r="559" spans="1:7">
      <c r="A559">
        <v>558</v>
      </c>
      <c r="B559">
        <v>0.2424</v>
      </c>
      <c r="C559">
        <v>0.6</v>
      </c>
      <c r="D559">
        <v>0.1045</v>
      </c>
      <c r="E559">
        <v>6</v>
      </c>
      <c r="F559">
        <v>49</v>
      </c>
      <c r="G559">
        <v>55</v>
      </c>
    </row>
    <row r="560" spans="1:7">
      <c r="A560">
        <v>559</v>
      </c>
      <c r="B560">
        <v>0.2424</v>
      </c>
      <c r="C560">
        <v>0.6</v>
      </c>
      <c r="D560">
        <v>0.1343</v>
      </c>
      <c r="E560">
        <v>6</v>
      </c>
      <c r="F560">
        <v>55</v>
      </c>
      <c r="G560">
        <v>61</v>
      </c>
    </row>
    <row r="561" spans="1:7">
      <c r="A561">
        <v>560</v>
      </c>
      <c r="B561">
        <v>0.28789999999999999</v>
      </c>
      <c r="C561">
        <v>0.56000000000000005</v>
      </c>
      <c r="D561">
        <v>8.9599999999999999E-2</v>
      </c>
      <c r="E561">
        <v>21</v>
      </c>
      <c r="F561">
        <v>85</v>
      </c>
      <c r="G561">
        <v>106</v>
      </c>
    </row>
    <row r="562" spans="1:7">
      <c r="A562">
        <v>561</v>
      </c>
      <c r="B562">
        <v>0.2727</v>
      </c>
      <c r="C562">
        <v>0.56000000000000005</v>
      </c>
      <c r="D562">
        <v>0.1343</v>
      </c>
      <c r="E562">
        <v>21</v>
      </c>
      <c r="F562">
        <v>72</v>
      </c>
      <c r="G562">
        <v>93</v>
      </c>
    </row>
    <row r="563" spans="1:7">
      <c r="A563">
        <v>562</v>
      </c>
      <c r="B563">
        <v>0.33329999999999999</v>
      </c>
      <c r="C563">
        <v>0.45</v>
      </c>
      <c r="D563">
        <v>0</v>
      </c>
      <c r="E563">
        <v>11</v>
      </c>
      <c r="F563">
        <v>57</v>
      </c>
      <c r="G563">
        <v>68</v>
      </c>
    </row>
    <row r="564" spans="1:7">
      <c r="A564">
        <v>563</v>
      </c>
      <c r="B564">
        <v>0.34849999999999998</v>
      </c>
      <c r="C564">
        <v>0.42</v>
      </c>
      <c r="D564">
        <v>0</v>
      </c>
      <c r="E564">
        <v>21</v>
      </c>
      <c r="F564">
        <v>63</v>
      </c>
      <c r="G564">
        <v>84</v>
      </c>
    </row>
    <row r="565" spans="1:7">
      <c r="A565">
        <v>564</v>
      </c>
      <c r="B565">
        <v>0.34849999999999998</v>
      </c>
      <c r="C565">
        <v>0.42</v>
      </c>
      <c r="D565">
        <v>0</v>
      </c>
      <c r="E565">
        <v>14</v>
      </c>
      <c r="F565">
        <v>102</v>
      </c>
      <c r="G565">
        <v>116</v>
      </c>
    </row>
    <row r="566" spans="1:7">
      <c r="A566">
        <v>565</v>
      </c>
      <c r="B566">
        <v>0.33329999999999999</v>
      </c>
      <c r="C566">
        <v>0.45</v>
      </c>
      <c r="D566">
        <v>0</v>
      </c>
      <c r="E566">
        <v>14</v>
      </c>
      <c r="F566">
        <v>208</v>
      </c>
      <c r="G566">
        <v>222</v>
      </c>
    </row>
    <row r="567" spans="1:7">
      <c r="A567">
        <v>566</v>
      </c>
      <c r="B567">
        <v>0.31819999999999998</v>
      </c>
      <c r="C567">
        <v>0.49</v>
      </c>
      <c r="D567">
        <v>8.9599999999999999E-2</v>
      </c>
      <c r="E567">
        <v>7</v>
      </c>
      <c r="F567">
        <v>218</v>
      </c>
      <c r="G567">
        <v>225</v>
      </c>
    </row>
    <row r="568" spans="1:7">
      <c r="A568">
        <v>567</v>
      </c>
      <c r="B568">
        <v>0.2576</v>
      </c>
      <c r="C568">
        <v>0.65</v>
      </c>
      <c r="D568">
        <v>0.16420000000000001</v>
      </c>
      <c r="E568">
        <v>13</v>
      </c>
      <c r="F568">
        <v>133</v>
      </c>
      <c r="G568">
        <v>146</v>
      </c>
    </row>
    <row r="569" spans="1:7">
      <c r="A569">
        <v>568</v>
      </c>
      <c r="B569">
        <v>0.2273</v>
      </c>
      <c r="C569">
        <v>0.65</v>
      </c>
      <c r="D569">
        <v>0.19400000000000001</v>
      </c>
      <c r="E569">
        <v>16</v>
      </c>
      <c r="F569">
        <v>103</v>
      </c>
      <c r="G569">
        <v>119</v>
      </c>
    </row>
    <row r="570" spans="1:7">
      <c r="A570">
        <v>569</v>
      </c>
      <c r="B570">
        <v>0.2273</v>
      </c>
      <c r="C570">
        <v>0.65</v>
      </c>
      <c r="D570">
        <v>0.19400000000000001</v>
      </c>
      <c r="E570">
        <v>5</v>
      </c>
      <c r="F570">
        <v>40</v>
      </c>
      <c r="G570">
        <v>45</v>
      </c>
    </row>
    <row r="571" spans="1:7">
      <c r="A571">
        <v>570</v>
      </c>
      <c r="B571">
        <v>0.2273</v>
      </c>
      <c r="C571">
        <v>0.64</v>
      </c>
      <c r="D571">
        <v>0.16420000000000001</v>
      </c>
      <c r="E571">
        <v>4</v>
      </c>
      <c r="F571">
        <v>49</v>
      </c>
      <c r="G571">
        <v>53</v>
      </c>
    </row>
    <row r="572" spans="1:7">
      <c r="A572">
        <v>571</v>
      </c>
      <c r="B572">
        <v>0.2273</v>
      </c>
      <c r="C572">
        <v>0.64</v>
      </c>
      <c r="D572">
        <v>0.16420000000000001</v>
      </c>
      <c r="E572">
        <v>3</v>
      </c>
      <c r="F572">
        <v>37</v>
      </c>
      <c r="G572">
        <v>40</v>
      </c>
    </row>
    <row r="573" spans="1:7">
      <c r="A573">
        <v>572</v>
      </c>
      <c r="B573">
        <v>0.2273</v>
      </c>
      <c r="C573">
        <v>0.69</v>
      </c>
      <c r="D573">
        <v>0.1343</v>
      </c>
      <c r="E573">
        <v>3</v>
      </c>
      <c r="F573">
        <v>14</v>
      </c>
      <c r="G573">
        <v>17</v>
      </c>
    </row>
    <row r="574" spans="1:7">
      <c r="A574">
        <v>573</v>
      </c>
      <c r="B574">
        <v>0.2424</v>
      </c>
      <c r="C574">
        <v>0.65</v>
      </c>
      <c r="D574">
        <v>0.1343</v>
      </c>
      <c r="E574">
        <v>0</v>
      </c>
      <c r="F574">
        <v>5</v>
      </c>
      <c r="G574">
        <v>5</v>
      </c>
    </row>
    <row r="575" spans="1:7">
      <c r="A575">
        <v>574</v>
      </c>
      <c r="B575">
        <v>0.2273</v>
      </c>
      <c r="C575">
        <v>0.69</v>
      </c>
      <c r="D575">
        <v>0.19400000000000001</v>
      </c>
      <c r="E575">
        <v>3</v>
      </c>
      <c r="F575">
        <v>7</v>
      </c>
      <c r="G575">
        <v>10</v>
      </c>
    </row>
    <row r="576" spans="1:7">
      <c r="A576">
        <v>575</v>
      </c>
      <c r="B576">
        <v>0.18179999999999999</v>
      </c>
      <c r="C576">
        <v>0.86</v>
      </c>
      <c r="D576">
        <v>0.28360000000000002</v>
      </c>
      <c r="E576">
        <v>0</v>
      </c>
      <c r="F576">
        <v>1</v>
      </c>
      <c r="G576">
        <v>1</v>
      </c>
    </row>
    <row r="577" spans="1:7">
      <c r="A577">
        <v>576</v>
      </c>
      <c r="B577">
        <v>0.18179999999999999</v>
      </c>
      <c r="C577">
        <v>0.86</v>
      </c>
      <c r="D577">
        <v>0.28360000000000002</v>
      </c>
      <c r="E577">
        <v>0</v>
      </c>
      <c r="F577">
        <v>8</v>
      </c>
      <c r="G577">
        <v>8</v>
      </c>
    </row>
    <row r="578" spans="1:7">
      <c r="A578">
        <v>577</v>
      </c>
      <c r="B578">
        <v>0.21210000000000001</v>
      </c>
      <c r="C578">
        <v>0.87</v>
      </c>
      <c r="D578">
        <v>0.29849999999999999</v>
      </c>
      <c r="E578">
        <v>1</v>
      </c>
      <c r="F578">
        <v>29</v>
      </c>
      <c r="G578">
        <v>30</v>
      </c>
    </row>
    <row r="579" spans="1:7">
      <c r="A579">
        <v>578</v>
      </c>
      <c r="B579">
        <v>0.21210000000000001</v>
      </c>
      <c r="C579">
        <v>0.87</v>
      </c>
      <c r="D579">
        <v>0.29849999999999999</v>
      </c>
      <c r="E579">
        <v>3</v>
      </c>
      <c r="F579">
        <v>69</v>
      </c>
      <c r="G579">
        <v>72</v>
      </c>
    </row>
    <row r="580" spans="1:7">
      <c r="A580">
        <v>579</v>
      </c>
      <c r="B580">
        <v>0.21210000000000001</v>
      </c>
      <c r="C580">
        <v>0.87</v>
      </c>
      <c r="D580">
        <v>0.29849999999999999</v>
      </c>
      <c r="E580">
        <v>3</v>
      </c>
      <c r="F580">
        <v>55</v>
      </c>
      <c r="G580">
        <v>58</v>
      </c>
    </row>
    <row r="581" spans="1:7">
      <c r="A581">
        <v>580</v>
      </c>
      <c r="B581">
        <v>0.21210000000000001</v>
      </c>
      <c r="C581">
        <v>0.93</v>
      </c>
      <c r="D581">
        <v>0.28360000000000002</v>
      </c>
      <c r="E581">
        <v>2</v>
      </c>
      <c r="F581">
        <v>26</v>
      </c>
      <c r="G581">
        <v>28</v>
      </c>
    </row>
    <row r="582" spans="1:7">
      <c r="A582">
        <v>581</v>
      </c>
      <c r="B582">
        <v>0.19700000000000001</v>
      </c>
      <c r="C582">
        <v>0.93</v>
      </c>
      <c r="D582">
        <v>0.32840000000000003</v>
      </c>
      <c r="E582">
        <v>6</v>
      </c>
      <c r="F582">
        <v>35</v>
      </c>
      <c r="G582">
        <v>41</v>
      </c>
    </row>
    <row r="583" spans="1:7">
      <c r="A583">
        <v>582</v>
      </c>
      <c r="B583">
        <v>0.19700000000000001</v>
      </c>
      <c r="C583">
        <v>0.93</v>
      </c>
      <c r="D583">
        <v>0.32840000000000003</v>
      </c>
      <c r="E583">
        <v>7</v>
      </c>
      <c r="F583">
        <v>41</v>
      </c>
      <c r="G583">
        <v>48</v>
      </c>
    </row>
    <row r="584" spans="1:7">
      <c r="A584">
        <v>583</v>
      </c>
      <c r="B584">
        <v>0.19700000000000001</v>
      </c>
      <c r="C584">
        <v>0.93</v>
      </c>
      <c r="D584">
        <v>0.32840000000000003</v>
      </c>
      <c r="E584">
        <v>4</v>
      </c>
      <c r="F584">
        <v>43</v>
      </c>
      <c r="G584">
        <v>47</v>
      </c>
    </row>
    <row r="585" spans="1:7">
      <c r="A585">
        <v>584</v>
      </c>
      <c r="B585">
        <v>0.19700000000000001</v>
      </c>
      <c r="C585">
        <v>0.93</v>
      </c>
      <c r="D585">
        <v>0.35820000000000002</v>
      </c>
      <c r="E585">
        <v>0</v>
      </c>
      <c r="F585">
        <v>36</v>
      </c>
      <c r="G585">
        <v>36</v>
      </c>
    </row>
    <row r="586" spans="1:7">
      <c r="A586">
        <v>585</v>
      </c>
      <c r="B586">
        <v>0.18179999999999999</v>
      </c>
      <c r="C586">
        <v>0.93</v>
      </c>
      <c r="D586">
        <v>0.4627</v>
      </c>
      <c r="E586">
        <v>1</v>
      </c>
      <c r="F586">
        <v>42</v>
      </c>
      <c r="G586">
        <v>43</v>
      </c>
    </row>
    <row r="587" spans="1:7">
      <c r="A587">
        <v>586</v>
      </c>
      <c r="B587">
        <v>0.19700000000000001</v>
      </c>
      <c r="C587">
        <v>0.93</v>
      </c>
      <c r="D587">
        <v>0.32840000000000003</v>
      </c>
      <c r="E587">
        <v>1</v>
      </c>
      <c r="F587">
        <v>35</v>
      </c>
      <c r="G587">
        <v>36</v>
      </c>
    </row>
    <row r="588" spans="1:7">
      <c r="A588">
        <v>587</v>
      </c>
      <c r="B588">
        <v>0.18179999999999999</v>
      </c>
      <c r="C588">
        <v>0.93</v>
      </c>
      <c r="D588">
        <v>0.35820000000000002</v>
      </c>
      <c r="E588">
        <v>0</v>
      </c>
      <c r="F588">
        <v>26</v>
      </c>
      <c r="G588">
        <v>26</v>
      </c>
    </row>
    <row r="589" spans="1:7">
      <c r="A589">
        <v>588</v>
      </c>
      <c r="B589">
        <v>0.2273</v>
      </c>
      <c r="C589">
        <v>0.55000000000000004</v>
      </c>
      <c r="D589">
        <v>0.19400000000000001</v>
      </c>
      <c r="E589">
        <v>1</v>
      </c>
      <c r="F589">
        <v>23</v>
      </c>
      <c r="G589">
        <v>24</v>
      </c>
    </row>
    <row r="590" spans="1:7">
      <c r="A590">
        <v>589</v>
      </c>
      <c r="B590">
        <v>0.2424</v>
      </c>
      <c r="C590">
        <v>0.55000000000000004</v>
      </c>
      <c r="D590">
        <v>0.1045</v>
      </c>
      <c r="E590">
        <v>2</v>
      </c>
      <c r="F590">
        <v>82</v>
      </c>
      <c r="G590">
        <v>84</v>
      </c>
    </row>
    <row r="591" spans="1:7">
      <c r="A591">
        <v>590</v>
      </c>
      <c r="B591">
        <v>0.2273</v>
      </c>
      <c r="C591">
        <v>0.69</v>
      </c>
      <c r="D591">
        <v>8.9599999999999999E-2</v>
      </c>
      <c r="E591">
        <v>3</v>
      </c>
      <c r="F591">
        <v>101</v>
      </c>
      <c r="G591">
        <v>104</v>
      </c>
    </row>
    <row r="592" spans="1:7">
      <c r="A592">
        <v>591</v>
      </c>
      <c r="B592">
        <v>0.2273</v>
      </c>
      <c r="C592">
        <v>0.69</v>
      </c>
      <c r="D592">
        <v>8.9599999999999999E-2</v>
      </c>
      <c r="E592">
        <v>3</v>
      </c>
      <c r="F592">
        <v>76</v>
      </c>
      <c r="G592">
        <v>79</v>
      </c>
    </row>
    <row r="593" spans="1:7">
      <c r="A593">
        <v>592</v>
      </c>
      <c r="B593">
        <v>0.21210000000000001</v>
      </c>
      <c r="C593">
        <v>0.74</v>
      </c>
      <c r="D593">
        <v>8.9599999999999999E-2</v>
      </c>
      <c r="E593">
        <v>4</v>
      </c>
      <c r="F593">
        <v>55</v>
      </c>
      <c r="G593">
        <v>59</v>
      </c>
    </row>
    <row r="594" spans="1:7">
      <c r="A594">
        <v>593</v>
      </c>
      <c r="B594">
        <v>0.21210000000000001</v>
      </c>
      <c r="C594">
        <v>0.74</v>
      </c>
      <c r="D594">
        <v>8.9599999999999999E-2</v>
      </c>
      <c r="E594">
        <v>2</v>
      </c>
      <c r="F594">
        <v>36</v>
      </c>
      <c r="G594">
        <v>38</v>
      </c>
    </row>
    <row r="595" spans="1:7">
      <c r="A595">
        <v>594</v>
      </c>
      <c r="B595">
        <v>0.21210000000000001</v>
      </c>
      <c r="C595">
        <v>0.74</v>
      </c>
      <c r="D595">
        <v>8.9599999999999999E-2</v>
      </c>
      <c r="E595">
        <v>0</v>
      </c>
      <c r="F595">
        <v>27</v>
      </c>
      <c r="G595">
        <v>27</v>
      </c>
    </row>
    <row r="596" spans="1:7">
      <c r="A596">
        <v>595</v>
      </c>
      <c r="B596">
        <v>0.19700000000000001</v>
      </c>
      <c r="C596">
        <v>0.8</v>
      </c>
      <c r="D596">
        <v>0.16420000000000001</v>
      </c>
      <c r="E596">
        <v>0</v>
      </c>
      <c r="F596">
        <v>16</v>
      </c>
      <c r="G596">
        <v>16</v>
      </c>
    </row>
    <row r="597" spans="1:7">
      <c r="A597">
        <v>596</v>
      </c>
      <c r="B597">
        <v>0.21210000000000001</v>
      </c>
      <c r="C597">
        <v>0.75</v>
      </c>
      <c r="D597">
        <v>0.1343</v>
      </c>
      <c r="E597">
        <v>0</v>
      </c>
      <c r="F597">
        <v>9</v>
      </c>
      <c r="G597">
        <v>9</v>
      </c>
    </row>
    <row r="598" spans="1:7">
      <c r="A598">
        <v>597</v>
      </c>
      <c r="B598">
        <v>0.21210000000000001</v>
      </c>
      <c r="C598">
        <v>0.75</v>
      </c>
      <c r="D598">
        <v>0.1343</v>
      </c>
      <c r="E598">
        <v>1</v>
      </c>
      <c r="F598">
        <v>2</v>
      </c>
      <c r="G598">
        <v>3</v>
      </c>
    </row>
    <row r="599" spans="1:7">
      <c r="A599">
        <v>598</v>
      </c>
      <c r="B599">
        <v>0.21210000000000001</v>
      </c>
      <c r="C599">
        <v>0.75</v>
      </c>
      <c r="D599">
        <v>0.16420000000000001</v>
      </c>
      <c r="E599">
        <v>0</v>
      </c>
      <c r="F599">
        <v>2</v>
      </c>
      <c r="G599">
        <v>2</v>
      </c>
    </row>
    <row r="600" spans="1:7">
      <c r="A600">
        <v>599</v>
      </c>
      <c r="B600">
        <v>0.2273</v>
      </c>
      <c r="C600">
        <v>0.75</v>
      </c>
      <c r="D600">
        <v>0.1045</v>
      </c>
      <c r="E600">
        <v>1</v>
      </c>
      <c r="F600">
        <v>0</v>
      </c>
      <c r="G600">
        <v>1</v>
      </c>
    </row>
    <row r="601" spans="1:7">
      <c r="A601">
        <v>600</v>
      </c>
      <c r="B601">
        <v>0.21210000000000001</v>
      </c>
      <c r="C601">
        <v>0.8</v>
      </c>
      <c r="D601">
        <v>0.1045</v>
      </c>
      <c r="E601">
        <v>0</v>
      </c>
      <c r="F601">
        <v>4</v>
      </c>
      <c r="G601">
        <v>4</v>
      </c>
    </row>
    <row r="602" spans="1:7">
      <c r="A602">
        <v>601</v>
      </c>
      <c r="B602">
        <v>0.19700000000000001</v>
      </c>
      <c r="C602">
        <v>0.8</v>
      </c>
      <c r="D602">
        <v>0.1343</v>
      </c>
      <c r="E602">
        <v>0</v>
      </c>
      <c r="F602">
        <v>16</v>
      </c>
      <c r="G602">
        <v>16</v>
      </c>
    </row>
    <row r="603" spans="1:7">
      <c r="A603">
        <v>602</v>
      </c>
      <c r="B603">
        <v>0.19700000000000001</v>
      </c>
      <c r="C603">
        <v>0.86</v>
      </c>
      <c r="D603">
        <v>8.9599999999999999E-2</v>
      </c>
      <c r="E603">
        <v>2</v>
      </c>
      <c r="F603">
        <v>58</v>
      </c>
      <c r="G603">
        <v>60</v>
      </c>
    </row>
    <row r="604" spans="1:7">
      <c r="A604">
        <v>603</v>
      </c>
      <c r="B604">
        <v>0.19700000000000001</v>
      </c>
      <c r="C604">
        <v>0.86</v>
      </c>
      <c r="D604">
        <v>8.9599999999999999E-2</v>
      </c>
      <c r="E604">
        <v>2</v>
      </c>
      <c r="F604">
        <v>155</v>
      </c>
      <c r="G604">
        <v>157</v>
      </c>
    </row>
    <row r="605" spans="1:7">
      <c r="A605">
        <v>604</v>
      </c>
      <c r="B605">
        <v>0.21210000000000001</v>
      </c>
      <c r="C605">
        <v>0.86</v>
      </c>
      <c r="D605">
        <v>8.9599999999999999E-2</v>
      </c>
      <c r="E605">
        <v>6</v>
      </c>
      <c r="F605">
        <v>95</v>
      </c>
      <c r="G605">
        <v>101</v>
      </c>
    </row>
    <row r="606" spans="1:7">
      <c r="A606">
        <v>605</v>
      </c>
      <c r="B606">
        <v>0.21210000000000001</v>
      </c>
      <c r="C606">
        <v>0.86</v>
      </c>
      <c r="D606">
        <v>0.1045</v>
      </c>
      <c r="E606">
        <v>0</v>
      </c>
      <c r="F606">
        <v>49</v>
      </c>
      <c r="G606">
        <v>49</v>
      </c>
    </row>
    <row r="607" spans="1:7">
      <c r="A607">
        <v>606</v>
      </c>
      <c r="B607">
        <v>0.21210000000000001</v>
      </c>
      <c r="C607">
        <v>0.93</v>
      </c>
      <c r="D607">
        <v>0.1045</v>
      </c>
      <c r="E607">
        <v>0</v>
      </c>
      <c r="F607">
        <v>30</v>
      </c>
      <c r="G607">
        <v>30</v>
      </c>
    </row>
    <row r="608" spans="1:7">
      <c r="A608">
        <v>607</v>
      </c>
      <c r="B608">
        <v>0.21210000000000001</v>
      </c>
      <c r="C608">
        <v>0.93</v>
      </c>
      <c r="D608">
        <v>0.1045</v>
      </c>
      <c r="E608">
        <v>1</v>
      </c>
      <c r="F608">
        <v>28</v>
      </c>
      <c r="G608">
        <v>29</v>
      </c>
    </row>
    <row r="609" spans="1:7">
      <c r="A609">
        <v>608</v>
      </c>
      <c r="B609">
        <v>0.21210000000000001</v>
      </c>
      <c r="C609">
        <v>0.93</v>
      </c>
      <c r="D609">
        <v>0.1045</v>
      </c>
      <c r="E609">
        <v>0</v>
      </c>
      <c r="F609">
        <v>31</v>
      </c>
      <c r="G609">
        <v>31</v>
      </c>
    </row>
    <row r="610" spans="1:7">
      <c r="A610">
        <v>609</v>
      </c>
      <c r="B610">
        <v>0.2727</v>
      </c>
      <c r="C610">
        <v>0.8</v>
      </c>
      <c r="D610">
        <v>0</v>
      </c>
      <c r="E610">
        <v>2</v>
      </c>
      <c r="F610">
        <v>36</v>
      </c>
      <c r="G610">
        <v>38</v>
      </c>
    </row>
    <row r="611" spans="1:7">
      <c r="A611">
        <v>610</v>
      </c>
      <c r="B611">
        <v>0.2576</v>
      </c>
      <c r="C611">
        <v>0.86</v>
      </c>
      <c r="D611">
        <v>0</v>
      </c>
      <c r="E611">
        <v>1</v>
      </c>
      <c r="F611">
        <v>40</v>
      </c>
      <c r="G611">
        <v>41</v>
      </c>
    </row>
  </sheetData>
  <phoneticPr fontId="2" type="noConversion"/>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7F707E-B27F-47BF-9475-2E83B275E135}">
  <dimension ref="A1:P391"/>
  <sheetViews>
    <sheetView topLeftCell="C1" workbookViewId="0">
      <selection activeCell="I15" sqref="I15"/>
    </sheetView>
  </sheetViews>
  <sheetFormatPr defaultRowHeight="14.6"/>
  <cols>
    <col min="1" max="1" width="11.69140625" bestFit="1" customWidth="1"/>
    <col min="2" max="2" width="10.07421875" bestFit="1" customWidth="1"/>
    <col min="3" max="3" width="14.15234375" bestFit="1" customWidth="1"/>
    <col min="4" max="4" width="6.84375" bestFit="1" customWidth="1"/>
    <col min="5" max="5" width="8.765625" bestFit="1" customWidth="1"/>
    <col min="6" max="6" width="7.15234375" bestFit="1" customWidth="1"/>
    <col min="7" max="7" width="11.61328125" bestFit="1" customWidth="1"/>
    <col min="8" max="8" width="11.4609375" bestFit="1" customWidth="1"/>
    <col min="9" max="9" width="15.69140625" bestFit="1" customWidth="1"/>
    <col min="10" max="10" width="13.921875" bestFit="1" customWidth="1"/>
    <col min="11" max="11" width="22.61328125" bestFit="1" customWidth="1"/>
    <col min="12" max="12" width="10.61328125" bestFit="1" customWidth="1"/>
    <col min="13" max="13" width="13.61328125" bestFit="1" customWidth="1"/>
    <col min="14" max="14" width="15.69140625" bestFit="1" customWidth="1"/>
    <col min="15" max="15" width="19.07421875" bestFit="1" customWidth="1"/>
    <col min="16" max="17" width="14.4609375" bestFit="1" customWidth="1"/>
  </cols>
  <sheetData>
    <row r="1" spans="1:16">
      <c r="A1" s="1" t="s">
        <v>54</v>
      </c>
      <c r="B1" s="1" t="s">
        <v>55</v>
      </c>
      <c r="C1" s="1" t="s">
        <v>56</v>
      </c>
      <c r="D1" s="1" t="s">
        <v>57</v>
      </c>
      <c r="E1" s="1" t="s">
        <v>58</v>
      </c>
      <c r="F1" s="1" t="s">
        <v>59</v>
      </c>
      <c r="G1" s="1" t="s">
        <v>60</v>
      </c>
      <c r="H1" s="1" t="s">
        <v>70</v>
      </c>
      <c r="I1" s="1" t="s">
        <v>62</v>
      </c>
      <c r="J1" s="1" t="s">
        <v>63</v>
      </c>
      <c r="K1" t="s">
        <v>84</v>
      </c>
      <c r="L1" s="1" t="s">
        <v>64</v>
      </c>
      <c r="M1" s="1" t="s">
        <v>65</v>
      </c>
      <c r="N1" s="1" t="s">
        <v>66</v>
      </c>
      <c r="O1" s="1" t="s">
        <v>67</v>
      </c>
      <c r="P1" s="1" t="s">
        <v>68</v>
      </c>
    </row>
    <row r="2" spans="1:16">
      <c r="A2" s="1">
        <v>611</v>
      </c>
      <c r="B2" s="2">
        <v>40571</v>
      </c>
      <c r="C2" s="1">
        <v>1</v>
      </c>
      <c r="D2" s="1">
        <v>0</v>
      </c>
      <c r="E2" s="1">
        <v>1</v>
      </c>
      <c r="F2" s="1">
        <v>16</v>
      </c>
      <c r="G2" s="1" t="b">
        <v>0</v>
      </c>
      <c r="H2" s="1">
        <v>5</v>
      </c>
      <c r="I2" s="1">
        <v>1</v>
      </c>
      <c r="J2" s="1">
        <v>0.22</v>
      </c>
      <c r="K2">
        <v>0.2727</v>
      </c>
      <c r="L2" s="1">
        <v>0.8</v>
      </c>
      <c r="M2" s="1">
        <v>0</v>
      </c>
      <c r="N2" s="1">
        <v>10</v>
      </c>
      <c r="O2" s="1">
        <v>70</v>
      </c>
      <c r="P2" s="1">
        <v>80</v>
      </c>
    </row>
    <row r="3" spans="1:16">
      <c r="A3" s="1">
        <v>612</v>
      </c>
      <c r="B3" s="2">
        <v>40571</v>
      </c>
      <c r="C3" s="1">
        <v>1</v>
      </c>
      <c r="D3" s="1">
        <v>0</v>
      </c>
      <c r="E3" s="1">
        <v>1</v>
      </c>
      <c r="F3" s="1">
        <v>17</v>
      </c>
      <c r="G3" s="1" t="b">
        <v>0</v>
      </c>
      <c r="H3" s="1">
        <v>5</v>
      </c>
      <c r="I3" s="1">
        <v>1</v>
      </c>
      <c r="J3" s="1">
        <v>0.24</v>
      </c>
      <c r="K3">
        <v>0.2424</v>
      </c>
      <c r="L3" s="1">
        <v>0.75</v>
      </c>
      <c r="M3" s="1">
        <v>0.1343</v>
      </c>
      <c r="N3" s="1">
        <v>2</v>
      </c>
      <c r="O3" s="1">
        <v>147</v>
      </c>
      <c r="P3" s="1">
        <v>149</v>
      </c>
    </row>
    <row r="4" spans="1:16">
      <c r="A4" s="1">
        <v>613</v>
      </c>
      <c r="B4" s="2">
        <v>40571</v>
      </c>
      <c r="C4" s="1">
        <v>1</v>
      </c>
      <c r="D4" s="1">
        <v>0</v>
      </c>
      <c r="E4" s="1">
        <v>1</v>
      </c>
      <c r="F4" s="1">
        <v>18</v>
      </c>
      <c r="G4" s="1" t="b">
        <v>0</v>
      </c>
      <c r="H4" s="1">
        <v>5</v>
      </c>
      <c r="I4" s="1">
        <v>1</v>
      </c>
      <c r="J4" s="1">
        <v>0.24</v>
      </c>
      <c r="K4">
        <v>0.2273</v>
      </c>
      <c r="L4" s="1">
        <v>0.75</v>
      </c>
      <c r="M4" s="1">
        <v>0.19400000000000001</v>
      </c>
      <c r="N4" s="1">
        <v>2</v>
      </c>
      <c r="O4" s="1">
        <v>107</v>
      </c>
      <c r="P4" s="1">
        <v>109</v>
      </c>
    </row>
    <row r="5" spans="1:16">
      <c r="A5" s="1">
        <v>614</v>
      </c>
      <c r="B5" s="2">
        <v>40571</v>
      </c>
      <c r="C5" s="1">
        <v>1</v>
      </c>
      <c r="D5" s="1">
        <v>0</v>
      </c>
      <c r="E5" s="1">
        <v>1</v>
      </c>
      <c r="F5" s="1">
        <v>19</v>
      </c>
      <c r="G5" s="1" t="b">
        <v>0</v>
      </c>
      <c r="H5" s="1">
        <v>5</v>
      </c>
      <c r="I5" s="1">
        <v>2</v>
      </c>
      <c r="J5" s="1">
        <v>0.24</v>
      </c>
      <c r="K5">
        <v>0.2424</v>
      </c>
      <c r="L5" s="1">
        <v>0.75</v>
      </c>
      <c r="M5" s="1">
        <v>0.1343</v>
      </c>
      <c r="N5" s="1">
        <v>5</v>
      </c>
      <c r="O5" s="1">
        <v>84</v>
      </c>
      <c r="P5" s="1">
        <v>89</v>
      </c>
    </row>
    <row r="6" spans="1:16">
      <c r="A6" s="1">
        <v>615</v>
      </c>
      <c r="B6" s="2">
        <v>40571</v>
      </c>
      <c r="C6" s="1">
        <v>1</v>
      </c>
      <c r="D6" s="1">
        <v>0</v>
      </c>
      <c r="E6" s="1">
        <v>1</v>
      </c>
      <c r="F6" s="1">
        <v>20</v>
      </c>
      <c r="G6" s="1" t="b">
        <v>0</v>
      </c>
      <c r="H6" s="1">
        <v>5</v>
      </c>
      <c r="I6" s="1">
        <v>2</v>
      </c>
      <c r="J6" s="1">
        <v>0.24</v>
      </c>
      <c r="K6">
        <v>0.2273</v>
      </c>
      <c r="L6" s="1">
        <v>0.7</v>
      </c>
      <c r="M6" s="1">
        <v>0.19400000000000001</v>
      </c>
      <c r="N6" s="1">
        <v>1</v>
      </c>
      <c r="O6" s="1">
        <v>61</v>
      </c>
      <c r="P6" s="1">
        <v>62</v>
      </c>
    </row>
    <row r="7" spans="1:16">
      <c r="A7" s="1">
        <v>616</v>
      </c>
      <c r="B7" s="2">
        <v>40571</v>
      </c>
      <c r="C7" s="1">
        <v>1</v>
      </c>
      <c r="D7" s="1">
        <v>0</v>
      </c>
      <c r="E7" s="1">
        <v>1</v>
      </c>
      <c r="F7" s="1">
        <v>21</v>
      </c>
      <c r="G7" s="1" t="b">
        <v>0</v>
      </c>
      <c r="H7" s="1">
        <v>5</v>
      </c>
      <c r="I7" s="1">
        <v>2</v>
      </c>
      <c r="J7" s="1">
        <v>0.22</v>
      </c>
      <c r="K7">
        <v>0.2273</v>
      </c>
      <c r="L7" s="1">
        <v>0.75</v>
      </c>
      <c r="M7" s="1">
        <v>0.1343</v>
      </c>
      <c r="N7" s="1">
        <v>1</v>
      </c>
      <c r="O7" s="1">
        <v>57</v>
      </c>
      <c r="P7" s="1">
        <v>58</v>
      </c>
    </row>
    <row r="8" spans="1:16">
      <c r="A8" s="1">
        <v>617</v>
      </c>
      <c r="B8" s="2">
        <v>40571</v>
      </c>
      <c r="C8" s="1">
        <v>1</v>
      </c>
      <c r="D8" s="1">
        <v>0</v>
      </c>
      <c r="E8" s="1">
        <v>1</v>
      </c>
      <c r="F8" s="1">
        <v>22</v>
      </c>
      <c r="G8" s="1" t="b">
        <v>0</v>
      </c>
      <c r="H8" s="1">
        <v>5</v>
      </c>
      <c r="I8" s="1">
        <v>1</v>
      </c>
      <c r="J8" s="1">
        <v>0.24</v>
      </c>
      <c r="K8">
        <v>0.21210000000000001</v>
      </c>
      <c r="L8" s="1">
        <v>0.65</v>
      </c>
      <c r="M8" s="1">
        <v>0.35820000000000002</v>
      </c>
      <c r="N8" s="1">
        <v>0</v>
      </c>
      <c r="O8" s="1">
        <v>26</v>
      </c>
      <c r="P8" s="1">
        <v>26</v>
      </c>
    </row>
    <row r="9" spans="1:16">
      <c r="A9" s="1">
        <v>618</v>
      </c>
      <c r="B9" s="2">
        <v>40571</v>
      </c>
      <c r="C9" s="1">
        <v>1</v>
      </c>
      <c r="D9" s="1">
        <v>0</v>
      </c>
      <c r="E9" s="1">
        <v>1</v>
      </c>
      <c r="F9" s="1">
        <v>23</v>
      </c>
      <c r="G9" s="1" t="b">
        <v>0</v>
      </c>
      <c r="H9" s="1">
        <v>5</v>
      </c>
      <c r="I9" s="1">
        <v>1</v>
      </c>
      <c r="J9" s="1">
        <v>0.24</v>
      </c>
      <c r="K9">
        <v>0.2273</v>
      </c>
      <c r="L9" s="1">
        <v>0.6</v>
      </c>
      <c r="M9" s="1">
        <v>0.22389999999999999</v>
      </c>
      <c r="N9" s="1">
        <v>1</v>
      </c>
      <c r="O9" s="1">
        <v>22</v>
      </c>
      <c r="P9" s="1">
        <v>23</v>
      </c>
    </row>
    <row r="10" spans="1:16">
      <c r="A10" s="1">
        <v>619</v>
      </c>
      <c r="B10" s="2">
        <v>40572</v>
      </c>
      <c r="C10" s="1">
        <v>1</v>
      </c>
      <c r="D10" s="1">
        <v>0</v>
      </c>
      <c r="E10" s="1">
        <v>1</v>
      </c>
      <c r="F10" s="1">
        <v>0</v>
      </c>
      <c r="G10" s="1" t="b">
        <v>0</v>
      </c>
      <c r="H10" s="1">
        <v>6</v>
      </c>
      <c r="I10" s="1">
        <v>1</v>
      </c>
      <c r="J10" s="1">
        <v>0.22</v>
      </c>
      <c r="K10">
        <v>0.19700000000000001</v>
      </c>
      <c r="L10" s="1">
        <v>0.64</v>
      </c>
      <c r="M10" s="1">
        <v>0.35820000000000002</v>
      </c>
      <c r="N10" s="1">
        <v>2</v>
      </c>
      <c r="O10" s="1">
        <v>26</v>
      </c>
      <c r="P10" s="1">
        <v>28</v>
      </c>
    </row>
    <row r="11" spans="1:16">
      <c r="A11" s="1">
        <v>620</v>
      </c>
      <c r="B11" s="2">
        <v>40572</v>
      </c>
      <c r="C11" s="1">
        <v>1</v>
      </c>
      <c r="D11" s="1">
        <v>0</v>
      </c>
      <c r="E11" s="1">
        <v>1</v>
      </c>
      <c r="F11" s="1">
        <v>1</v>
      </c>
      <c r="G11" s="1" t="b">
        <v>0</v>
      </c>
      <c r="H11" s="1">
        <v>6</v>
      </c>
      <c r="I11" s="1">
        <v>1</v>
      </c>
      <c r="J11" s="1">
        <v>0.22</v>
      </c>
      <c r="K11">
        <v>0.2273</v>
      </c>
      <c r="L11" s="1">
        <v>0.64</v>
      </c>
      <c r="M11" s="1">
        <v>0.19400000000000001</v>
      </c>
      <c r="N11" s="1">
        <v>0</v>
      </c>
      <c r="O11" s="1">
        <v>20</v>
      </c>
      <c r="P11" s="1">
        <v>20</v>
      </c>
    </row>
    <row r="12" spans="1:16">
      <c r="A12" s="1">
        <v>621</v>
      </c>
      <c r="B12" s="2">
        <v>40572</v>
      </c>
      <c r="C12" s="1">
        <v>1</v>
      </c>
      <c r="D12" s="1">
        <v>0</v>
      </c>
      <c r="E12" s="1">
        <v>1</v>
      </c>
      <c r="F12" s="1">
        <v>2</v>
      </c>
      <c r="G12" s="1" t="b">
        <v>0</v>
      </c>
      <c r="H12" s="1">
        <v>6</v>
      </c>
      <c r="I12" s="1">
        <v>1</v>
      </c>
      <c r="J12" s="1">
        <v>0.22</v>
      </c>
      <c r="K12">
        <v>0.2273</v>
      </c>
      <c r="L12" s="1">
        <v>0.64</v>
      </c>
      <c r="M12" s="1">
        <v>0.16420000000000001</v>
      </c>
      <c r="N12" s="1">
        <v>0</v>
      </c>
      <c r="O12" s="1">
        <v>15</v>
      </c>
      <c r="P12" s="1">
        <v>15</v>
      </c>
    </row>
    <row r="13" spans="1:16">
      <c r="A13">
        <v>622</v>
      </c>
      <c r="B13" s="2">
        <v>40572</v>
      </c>
      <c r="C13">
        <v>1</v>
      </c>
      <c r="D13">
        <v>0</v>
      </c>
      <c r="E13">
        <v>1</v>
      </c>
      <c r="F13">
        <v>3</v>
      </c>
      <c r="G13" t="b">
        <v>0</v>
      </c>
      <c r="H13">
        <v>6</v>
      </c>
      <c r="I13">
        <v>1</v>
      </c>
      <c r="J13">
        <v>0.2</v>
      </c>
      <c r="K13">
        <v>0.21210000000000001</v>
      </c>
      <c r="L13">
        <v>0.64</v>
      </c>
      <c r="M13">
        <v>0.1343</v>
      </c>
      <c r="N13">
        <v>3</v>
      </c>
      <c r="O13">
        <v>5</v>
      </c>
      <c r="P13">
        <v>8</v>
      </c>
    </row>
    <row r="14" spans="1:16">
      <c r="A14">
        <v>623</v>
      </c>
      <c r="B14" s="2">
        <v>40572</v>
      </c>
      <c r="C14">
        <v>1</v>
      </c>
      <c r="D14">
        <v>0</v>
      </c>
      <c r="E14">
        <v>1</v>
      </c>
      <c r="F14">
        <v>4</v>
      </c>
      <c r="G14" t="b">
        <v>0</v>
      </c>
      <c r="H14">
        <v>6</v>
      </c>
      <c r="I14">
        <v>1</v>
      </c>
      <c r="J14">
        <v>0.16</v>
      </c>
      <c r="K14">
        <v>0.18179999999999999</v>
      </c>
      <c r="L14">
        <v>0.69</v>
      </c>
      <c r="M14">
        <v>0.1045</v>
      </c>
      <c r="N14">
        <v>1</v>
      </c>
      <c r="O14">
        <v>2</v>
      </c>
      <c r="P14">
        <v>3</v>
      </c>
    </row>
    <row r="15" spans="1:16">
      <c r="A15">
        <v>624</v>
      </c>
      <c r="B15" s="2">
        <v>40572</v>
      </c>
      <c r="C15">
        <v>1</v>
      </c>
      <c r="D15">
        <v>0</v>
      </c>
      <c r="E15">
        <v>1</v>
      </c>
      <c r="F15">
        <v>6</v>
      </c>
      <c r="G15" t="b">
        <v>0</v>
      </c>
      <c r="H15">
        <v>6</v>
      </c>
      <c r="I15">
        <v>1</v>
      </c>
      <c r="J15">
        <v>0.16</v>
      </c>
      <c r="K15">
        <v>0.18179999999999999</v>
      </c>
      <c r="L15">
        <v>0.64</v>
      </c>
      <c r="M15">
        <v>0.1343</v>
      </c>
      <c r="N15">
        <v>0</v>
      </c>
      <c r="O15">
        <v>2</v>
      </c>
      <c r="P15">
        <v>2</v>
      </c>
    </row>
    <row r="16" spans="1:16">
      <c r="A16">
        <v>625</v>
      </c>
      <c r="B16" s="2">
        <v>40572</v>
      </c>
      <c r="C16">
        <v>1</v>
      </c>
      <c r="D16">
        <v>0</v>
      </c>
      <c r="E16">
        <v>1</v>
      </c>
      <c r="F16">
        <v>7</v>
      </c>
      <c r="G16" t="b">
        <v>0</v>
      </c>
      <c r="H16">
        <v>6</v>
      </c>
      <c r="I16">
        <v>1</v>
      </c>
      <c r="J16">
        <v>0.16</v>
      </c>
      <c r="K16">
        <v>0.18179999999999999</v>
      </c>
      <c r="L16">
        <v>0.59</v>
      </c>
      <c r="M16">
        <v>0.1045</v>
      </c>
      <c r="N16">
        <v>1</v>
      </c>
      <c r="O16">
        <v>4</v>
      </c>
      <c r="P16">
        <v>5</v>
      </c>
    </row>
    <row r="17" spans="1:16">
      <c r="A17">
        <v>626</v>
      </c>
      <c r="B17" s="2">
        <v>40572</v>
      </c>
      <c r="C17">
        <v>1</v>
      </c>
      <c r="D17">
        <v>0</v>
      </c>
      <c r="E17">
        <v>1</v>
      </c>
      <c r="F17">
        <v>8</v>
      </c>
      <c r="G17" t="b">
        <v>0</v>
      </c>
      <c r="H17">
        <v>6</v>
      </c>
      <c r="I17">
        <v>1</v>
      </c>
      <c r="J17">
        <v>0.18</v>
      </c>
      <c r="K17">
        <v>0.19700000000000001</v>
      </c>
      <c r="L17">
        <v>0.55000000000000004</v>
      </c>
      <c r="M17">
        <v>0.16420000000000001</v>
      </c>
      <c r="N17">
        <v>3</v>
      </c>
      <c r="O17">
        <v>31</v>
      </c>
      <c r="P17">
        <v>34</v>
      </c>
    </row>
    <row r="18" spans="1:16">
      <c r="A18">
        <v>627</v>
      </c>
      <c r="B18" s="2">
        <v>40572</v>
      </c>
      <c r="C18">
        <v>1</v>
      </c>
      <c r="D18">
        <v>0</v>
      </c>
      <c r="E18">
        <v>1</v>
      </c>
      <c r="F18">
        <v>9</v>
      </c>
      <c r="G18" t="b">
        <v>0</v>
      </c>
      <c r="H18">
        <v>6</v>
      </c>
      <c r="I18">
        <v>1</v>
      </c>
      <c r="J18">
        <v>0.18</v>
      </c>
      <c r="K18">
        <v>0.21210000000000001</v>
      </c>
      <c r="L18">
        <v>0.59</v>
      </c>
      <c r="M18">
        <v>8.9599999999999999E-2</v>
      </c>
      <c r="N18">
        <v>0</v>
      </c>
      <c r="O18">
        <v>34</v>
      </c>
      <c r="P18">
        <v>34</v>
      </c>
    </row>
    <row r="19" spans="1:16">
      <c r="A19">
        <v>628</v>
      </c>
      <c r="B19" s="2">
        <v>40572</v>
      </c>
      <c r="C19">
        <v>1</v>
      </c>
      <c r="D19">
        <v>0</v>
      </c>
      <c r="E19">
        <v>1</v>
      </c>
      <c r="F19">
        <v>10</v>
      </c>
      <c r="G19" t="b">
        <v>0</v>
      </c>
      <c r="H19">
        <v>6</v>
      </c>
      <c r="I19">
        <v>2</v>
      </c>
      <c r="J19">
        <v>0.18</v>
      </c>
      <c r="K19">
        <v>0.21210000000000001</v>
      </c>
      <c r="L19">
        <v>0.64</v>
      </c>
      <c r="M19">
        <v>0.1045</v>
      </c>
      <c r="N19">
        <v>4</v>
      </c>
      <c r="O19">
        <v>51</v>
      </c>
      <c r="P19">
        <v>55</v>
      </c>
    </row>
    <row r="20" spans="1:16">
      <c r="A20">
        <v>629</v>
      </c>
      <c r="B20" s="2">
        <v>40572</v>
      </c>
      <c r="C20">
        <v>1</v>
      </c>
      <c r="D20">
        <v>0</v>
      </c>
      <c r="E20">
        <v>1</v>
      </c>
      <c r="F20">
        <v>11</v>
      </c>
      <c r="G20" t="b">
        <v>0</v>
      </c>
      <c r="H20">
        <v>6</v>
      </c>
      <c r="I20">
        <v>2</v>
      </c>
      <c r="J20">
        <v>0.18</v>
      </c>
      <c r="K20">
        <v>0.19700000000000001</v>
      </c>
      <c r="L20">
        <v>0.64</v>
      </c>
      <c r="M20">
        <v>0.1343</v>
      </c>
      <c r="N20">
        <v>4</v>
      </c>
      <c r="O20">
        <v>60</v>
      </c>
      <c r="P20">
        <v>64</v>
      </c>
    </row>
    <row r="21" spans="1:16">
      <c r="A21">
        <v>630</v>
      </c>
      <c r="B21" s="2">
        <v>40572</v>
      </c>
      <c r="C21">
        <v>1</v>
      </c>
      <c r="D21">
        <v>0</v>
      </c>
      <c r="E21">
        <v>1</v>
      </c>
      <c r="F21">
        <v>12</v>
      </c>
      <c r="G21" t="b">
        <v>0</v>
      </c>
      <c r="H21">
        <v>6</v>
      </c>
      <c r="I21">
        <v>2</v>
      </c>
      <c r="J21">
        <v>0.2</v>
      </c>
      <c r="K21">
        <v>0.19700000000000001</v>
      </c>
      <c r="L21">
        <v>0.59</v>
      </c>
      <c r="M21">
        <v>0.19400000000000001</v>
      </c>
      <c r="N21">
        <v>12</v>
      </c>
      <c r="O21">
        <v>66</v>
      </c>
      <c r="P21">
        <v>78</v>
      </c>
    </row>
    <row r="22" spans="1:16">
      <c r="A22">
        <v>631</v>
      </c>
      <c r="B22" s="2">
        <v>40572</v>
      </c>
      <c r="C22">
        <v>1</v>
      </c>
      <c r="D22">
        <v>0</v>
      </c>
      <c r="E22">
        <v>1</v>
      </c>
      <c r="F22">
        <v>13</v>
      </c>
      <c r="G22" t="b">
        <v>0</v>
      </c>
      <c r="H22">
        <v>6</v>
      </c>
      <c r="I22">
        <v>2</v>
      </c>
      <c r="J22">
        <v>0.22</v>
      </c>
      <c r="K22">
        <v>0.2273</v>
      </c>
      <c r="L22">
        <v>0.55000000000000004</v>
      </c>
      <c r="M22">
        <v>0.16420000000000001</v>
      </c>
      <c r="N22">
        <v>9</v>
      </c>
      <c r="O22">
        <v>56</v>
      </c>
      <c r="P22">
        <v>65</v>
      </c>
    </row>
    <row r="23" spans="1:16">
      <c r="A23">
        <v>632</v>
      </c>
      <c r="B23" s="2">
        <v>40572</v>
      </c>
      <c r="C23">
        <v>1</v>
      </c>
      <c r="D23">
        <v>0</v>
      </c>
      <c r="E23">
        <v>1</v>
      </c>
      <c r="F23">
        <v>14</v>
      </c>
      <c r="G23" t="b">
        <v>0</v>
      </c>
      <c r="H23">
        <v>6</v>
      </c>
      <c r="I23">
        <v>2</v>
      </c>
      <c r="J23">
        <v>0.22</v>
      </c>
      <c r="K23">
        <v>0.2273</v>
      </c>
      <c r="L23">
        <v>0.6</v>
      </c>
      <c r="M23">
        <v>0.1343</v>
      </c>
      <c r="N23">
        <v>10</v>
      </c>
      <c r="O23">
        <v>89</v>
      </c>
      <c r="P23">
        <v>99</v>
      </c>
    </row>
    <row r="24" spans="1:16">
      <c r="A24">
        <v>633</v>
      </c>
      <c r="B24" s="2">
        <v>40572</v>
      </c>
      <c r="C24">
        <v>1</v>
      </c>
      <c r="D24">
        <v>0</v>
      </c>
      <c r="E24">
        <v>1</v>
      </c>
      <c r="F24">
        <v>15</v>
      </c>
      <c r="G24" t="b">
        <v>0</v>
      </c>
      <c r="H24">
        <v>6</v>
      </c>
      <c r="I24">
        <v>1</v>
      </c>
      <c r="J24">
        <v>0.22</v>
      </c>
      <c r="K24">
        <v>0.21210000000000001</v>
      </c>
      <c r="L24">
        <v>0.69</v>
      </c>
      <c r="M24">
        <v>0.25369999999999998</v>
      </c>
      <c r="N24">
        <v>22</v>
      </c>
      <c r="O24">
        <v>98</v>
      </c>
      <c r="P24">
        <v>120</v>
      </c>
    </row>
    <row r="25" spans="1:16">
      <c r="A25">
        <v>634</v>
      </c>
      <c r="B25" s="2">
        <v>40572</v>
      </c>
      <c r="C25">
        <v>1</v>
      </c>
      <c r="D25">
        <v>0</v>
      </c>
      <c r="E25">
        <v>1</v>
      </c>
      <c r="F25">
        <v>16</v>
      </c>
      <c r="G25" t="b">
        <v>0</v>
      </c>
      <c r="H25">
        <v>6</v>
      </c>
      <c r="I25">
        <v>1</v>
      </c>
      <c r="J25">
        <v>0.24</v>
      </c>
      <c r="K25">
        <v>0.2424</v>
      </c>
      <c r="L25">
        <v>0.6</v>
      </c>
      <c r="M25">
        <v>0.16420000000000001</v>
      </c>
      <c r="N25">
        <v>19</v>
      </c>
      <c r="O25">
        <v>88</v>
      </c>
      <c r="P25">
        <v>107</v>
      </c>
    </row>
    <row r="26" spans="1:16">
      <c r="A26">
        <v>635</v>
      </c>
      <c r="B26" s="2">
        <v>40572</v>
      </c>
      <c r="C26">
        <v>1</v>
      </c>
      <c r="D26">
        <v>0</v>
      </c>
      <c r="E26">
        <v>1</v>
      </c>
      <c r="F26">
        <v>17</v>
      </c>
      <c r="G26" t="b">
        <v>0</v>
      </c>
      <c r="H26">
        <v>6</v>
      </c>
      <c r="I26">
        <v>1</v>
      </c>
      <c r="J26">
        <v>0.24</v>
      </c>
      <c r="K26">
        <v>0.28789999999999999</v>
      </c>
      <c r="L26">
        <v>0.6</v>
      </c>
      <c r="M26">
        <v>0</v>
      </c>
      <c r="N26">
        <v>9</v>
      </c>
      <c r="O26">
        <v>82</v>
      </c>
      <c r="P26">
        <v>91</v>
      </c>
    </row>
    <row r="27" spans="1:16">
      <c r="A27">
        <v>636</v>
      </c>
      <c r="B27" s="2">
        <v>40572</v>
      </c>
      <c r="C27">
        <v>1</v>
      </c>
      <c r="D27">
        <v>0</v>
      </c>
      <c r="E27">
        <v>1</v>
      </c>
      <c r="F27">
        <v>18</v>
      </c>
      <c r="G27" t="b">
        <v>0</v>
      </c>
      <c r="H27">
        <v>6</v>
      </c>
      <c r="I27">
        <v>1</v>
      </c>
      <c r="J27">
        <v>0.22</v>
      </c>
      <c r="K27">
        <v>0.2273</v>
      </c>
      <c r="L27">
        <v>0.69</v>
      </c>
      <c r="M27">
        <v>0.1343</v>
      </c>
      <c r="N27">
        <v>9</v>
      </c>
      <c r="O27">
        <v>59</v>
      </c>
      <c r="P27">
        <v>68</v>
      </c>
    </row>
    <row r="28" spans="1:16">
      <c r="A28">
        <v>637</v>
      </c>
      <c r="B28" s="2">
        <v>40572</v>
      </c>
      <c r="C28">
        <v>1</v>
      </c>
      <c r="D28">
        <v>0</v>
      </c>
      <c r="E28">
        <v>1</v>
      </c>
      <c r="F28">
        <v>19</v>
      </c>
      <c r="G28" t="b">
        <v>0</v>
      </c>
      <c r="H28">
        <v>6</v>
      </c>
      <c r="I28">
        <v>2</v>
      </c>
      <c r="J28">
        <v>0.22</v>
      </c>
      <c r="K28">
        <v>0.21210000000000001</v>
      </c>
      <c r="L28">
        <v>0.69</v>
      </c>
      <c r="M28">
        <v>0.25369999999999998</v>
      </c>
      <c r="N28">
        <v>6</v>
      </c>
      <c r="O28">
        <v>52</v>
      </c>
      <c r="P28">
        <v>58</v>
      </c>
    </row>
    <row r="29" spans="1:16">
      <c r="A29">
        <v>638</v>
      </c>
      <c r="B29" s="2">
        <v>40572</v>
      </c>
      <c r="C29">
        <v>1</v>
      </c>
      <c r="D29">
        <v>0</v>
      </c>
      <c r="E29">
        <v>1</v>
      </c>
      <c r="F29">
        <v>20</v>
      </c>
      <c r="G29" t="b">
        <v>0</v>
      </c>
      <c r="H29">
        <v>6</v>
      </c>
      <c r="I29">
        <v>1</v>
      </c>
      <c r="J29">
        <v>0.18</v>
      </c>
      <c r="K29">
        <v>0.21210000000000001</v>
      </c>
      <c r="L29">
        <v>0.74</v>
      </c>
      <c r="M29">
        <v>8.9599999999999999E-2</v>
      </c>
      <c r="N29">
        <v>1</v>
      </c>
      <c r="O29">
        <v>42</v>
      </c>
      <c r="P29">
        <v>43</v>
      </c>
    </row>
    <row r="30" spans="1:16">
      <c r="A30">
        <v>639</v>
      </c>
      <c r="B30" s="2">
        <v>40572</v>
      </c>
      <c r="C30">
        <v>1</v>
      </c>
      <c r="D30">
        <v>0</v>
      </c>
      <c r="E30">
        <v>1</v>
      </c>
      <c r="F30">
        <v>21</v>
      </c>
      <c r="G30" t="b">
        <v>0</v>
      </c>
      <c r="H30">
        <v>6</v>
      </c>
      <c r="I30">
        <v>1</v>
      </c>
      <c r="J30">
        <v>0.18</v>
      </c>
      <c r="K30">
        <v>0.21210000000000001</v>
      </c>
      <c r="L30">
        <v>0.74</v>
      </c>
      <c r="M30">
        <v>8.9599999999999999E-2</v>
      </c>
      <c r="N30">
        <v>1</v>
      </c>
      <c r="O30">
        <v>35</v>
      </c>
      <c r="P30">
        <v>36</v>
      </c>
    </row>
    <row r="31" spans="1:16">
      <c r="A31">
        <v>640</v>
      </c>
      <c r="B31" s="2">
        <v>40572</v>
      </c>
      <c r="C31">
        <v>1</v>
      </c>
      <c r="D31">
        <v>0</v>
      </c>
      <c r="E31">
        <v>1</v>
      </c>
      <c r="F31">
        <v>22</v>
      </c>
      <c r="G31" t="b">
        <v>0</v>
      </c>
      <c r="H31">
        <v>6</v>
      </c>
      <c r="I31">
        <v>1</v>
      </c>
      <c r="J31">
        <v>0.16</v>
      </c>
      <c r="K31">
        <v>0.19700000000000001</v>
      </c>
      <c r="L31">
        <v>0.8</v>
      </c>
      <c r="M31">
        <v>8.9599999999999999E-2</v>
      </c>
      <c r="N31">
        <v>4</v>
      </c>
      <c r="O31">
        <v>28</v>
      </c>
      <c r="P31">
        <v>32</v>
      </c>
    </row>
    <row r="32" spans="1:16">
      <c r="A32">
        <v>641</v>
      </c>
      <c r="B32" s="2">
        <v>40572</v>
      </c>
      <c r="C32">
        <v>1</v>
      </c>
      <c r="D32">
        <v>0</v>
      </c>
      <c r="E32">
        <v>1</v>
      </c>
      <c r="F32">
        <v>23</v>
      </c>
      <c r="G32" t="b">
        <v>0</v>
      </c>
      <c r="H32">
        <v>6</v>
      </c>
      <c r="I32">
        <v>1</v>
      </c>
      <c r="J32">
        <v>0.16</v>
      </c>
      <c r="K32">
        <v>0.19700000000000001</v>
      </c>
      <c r="L32">
        <v>0.8</v>
      </c>
      <c r="M32">
        <v>8.9599999999999999E-2</v>
      </c>
      <c r="N32">
        <v>3</v>
      </c>
      <c r="O32">
        <v>30</v>
      </c>
      <c r="P32">
        <v>33</v>
      </c>
    </row>
    <row r="33" spans="1:16">
      <c r="A33">
        <v>642</v>
      </c>
      <c r="B33" s="2">
        <v>40573</v>
      </c>
      <c r="C33">
        <v>1</v>
      </c>
      <c r="D33">
        <v>0</v>
      </c>
      <c r="E33">
        <v>1</v>
      </c>
      <c r="F33">
        <v>0</v>
      </c>
      <c r="G33" t="b">
        <v>0</v>
      </c>
      <c r="H33">
        <v>0</v>
      </c>
      <c r="I33">
        <v>1</v>
      </c>
      <c r="J33">
        <v>0.16</v>
      </c>
      <c r="K33">
        <v>0.18179999999999999</v>
      </c>
      <c r="L33">
        <v>0.8</v>
      </c>
      <c r="M33">
        <v>0.1045</v>
      </c>
      <c r="N33">
        <v>0</v>
      </c>
      <c r="O33">
        <v>33</v>
      </c>
      <c r="P33">
        <v>33</v>
      </c>
    </row>
    <row r="34" spans="1:16">
      <c r="A34">
        <v>643</v>
      </c>
      <c r="B34" s="2">
        <v>40573</v>
      </c>
      <c r="C34">
        <v>1</v>
      </c>
      <c r="D34">
        <v>0</v>
      </c>
      <c r="E34">
        <v>1</v>
      </c>
      <c r="F34">
        <v>1</v>
      </c>
      <c r="G34" t="b">
        <v>0</v>
      </c>
      <c r="H34">
        <v>0</v>
      </c>
      <c r="I34">
        <v>1</v>
      </c>
      <c r="J34">
        <v>0.14000000000000001</v>
      </c>
      <c r="K34">
        <v>0.21210000000000001</v>
      </c>
      <c r="L34">
        <v>0.8</v>
      </c>
      <c r="M34">
        <v>0</v>
      </c>
      <c r="N34">
        <v>7</v>
      </c>
      <c r="O34">
        <v>22</v>
      </c>
      <c r="P34">
        <v>29</v>
      </c>
    </row>
    <row r="35" spans="1:16">
      <c r="A35">
        <v>644</v>
      </c>
      <c r="B35" s="2">
        <v>40573</v>
      </c>
      <c r="C35">
        <v>1</v>
      </c>
      <c r="D35">
        <v>0</v>
      </c>
      <c r="E35">
        <v>1</v>
      </c>
      <c r="F35">
        <v>2</v>
      </c>
      <c r="G35" t="b">
        <v>0</v>
      </c>
      <c r="H35">
        <v>0</v>
      </c>
      <c r="I35">
        <v>1</v>
      </c>
      <c r="J35">
        <v>0.16</v>
      </c>
      <c r="K35">
        <v>0.2273</v>
      </c>
      <c r="L35">
        <v>0.8</v>
      </c>
      <c r="M35">
        <v>0</v>
      </c>
      <c r="N35">
        <v>1</v>
      </c>
      <c r="O35">
        <v>10</v>
      </c>
      <c r="P35">
        <v>11</v>
      </c>
    </row>
    <row r="36" spans="1:16">
      <c r="A36">
        <v>645</v>
      </c>
      <c r="B36" s="2">
        <v>40573</v>
      </c>
      <c r="C36">
        <v>1</v>
      </c>
      <c r="D36">
        <v>0</v>
      </c>
      <c r="E36">
        <v>1</v>
      </c>
      <c r="F36">
        <v>3</v>
      </c>
      <c r="G36" t="b">
        <v>0</v>
      </c>
      <c r="H36">
        <v>0</v>
      </c>
      <c r="I36">
        <v>1</v>
      </c>
      <c r="J36">
        <v>0.14000000000000001</v>
      </c>
      <c r="K36">
        <v>0.21210000000000001</v>
      </c>
      <c r="L36">
        <v>0.93</v>
      </c>
      <c r="M36">
        <v>0</v>
      </c>
      <c r="N36">
        <v>1</v>
      </c>
      <c r="O36">
        <v>7</v>
      </c>
      <c r="P36">
        <v>8</v>
      </c>
    </row>
    <row r="37" spans="1:16">
      <c r="A37">
        <v>646</v>
      </c>
      <c r="B37" s="2">
        <v>40573</v>
      </c>
      <c r="C37">
        <v>1</v>
      </c>
      <c r="D37">
        <v>0</v>
      </c>
      <c r="E37">
        <v>1</v>
      </c>
      <c r="F37">
        <v>4</v>
      </c>
      <c r="G37" t="b">
        <v>0</v>
      </c>
      <c r="H37">
        <v>0</v>
      </c>
      <c r="I37">
        <v>1</v>
      </c>
      <c r="J37">
        <v>0.14000000000000001</v>
      </c>
      <c r="K37">
        <v>0.21210000000000001</v>
      </c>
      <c r="L37">
        <v>0.93</v>
      </c>
      <c r="M37">
        <v>0</v>
      </c>
      <c r="N37">
        <v>0</v>
      </c>
      <c r="O37">
        <v>1</v>
      </c>
      <c r="P37">
        <v>1</v>
      </c>
    </row>
    <row r="38" spans="1:16">
      <c r="A38">
        <v>647</v>
      </c>
      <c r="B38" s="2">
        <v>40573</v>
      </c>
      <c r="C38">
        <v>1</v>
      </c>
      <c r="D38">
        <v>0</v>
      </c>
      <c r="E38">
        <v>1</v>
      </c>
      <c r="F38">
        <v>5</v>
      </c>
      <c r="G38" t="b">
        <v>0</v>
      </c>
      <c r="H38">
        <v>0</v>
      </c>
      <c r="I38">
        <v>1</v>
      </c>
      <c r="J38">
        <v>0.14000000000000001</v>
      </c>
      <c r="K38">
        <v>0.21210000000000001</v>
      </c>
      <c r="L38">
        <v>0.86</v>
      </c>
      <c r="M38">
        <v>0</v>
      </c>
      <c r="N38">
        <v>0</v>
      </c>
      <c r="O38">
        <v>3</v>
      </c>
      <c r="P38">
        <v>3</v>
      </c>
    </row>
    <row r="39" spans="1:16">
      <c r="A39">
        <v>648</v>
      </c>
      <c r="B39" s="2">
        <v>40573</v>
      </c>
      <c r="C39">
        <v>1</v>
      </c>
      <c r="D39">
        <v>0</v>
      </c>
      <c r="E39">
        <v>1</v>
      </c>
      <c r="F39">
        <v>7</v>
      </c>
      <c r="G39" t="b">
        <v>0</v>
      </c>
      <c r="H39">
        <v>0</v>
      </c>
      <c r="I39">
        <v>1</v>
      </c>
      <c r="J39">
        <v>0.14000000000000001</v>
      </c>
      <c r="K39">
        <v>0.21210000000000001</v>
      </c>
      <c r="L39">
        <v>0.86</v>
      </c>
      <c r="M39">
        <v>0</v>
      </c>
      <c r="N39">
        <v>0</v>
      </c>
      <c r="O39">
        <v>3</v>
      </c>
      <c r="P39">
        <v>3</v>
      </c>
    </row>
    <row r="40" spans="1:16">
      <c r="A40">
        <v>649</v>
      </c>
      <c r="B40" s="2">
        <v>40573</v>
      </c>
      <c r="C40">
        <v>1</v>
      </c>
      <c r="D40">
        <v>0</v>
      </c>
      <c r="E40">
        <v>1</v>
      </c>
      <c r="F40">
        <v>8</v>
      </c>
      <c r="G40" t="b">
        <v>0</v>
      </c>
      <c r="H40">
        <v>0</v>
      </c>
      <c r="I40">
        <v>2</v>
      </c>
      <c r="J40">
        <v>0.14000000000000001</v>
      </c>
      <c r="K40">
        <v>0.21210000000000001</v>
      </c>
      <c r="L40">
        <v>0.86</v>
      </c>
      <c r="M40">
        <v>0</v>
      </c>
      <c r="N40">
        <v>1</v>
      </c>
      <c r="O40">
        <v>11</v>
      </c>
      <c r="P40">
        <v>12</v>
      </c>
    </row>
    <row r="41" spans="1:16">
      <c r="A41">
        <v>650</v>
      </c>
      <c r="B41" s="2">
        <v>40573</v>
      </c>
      <c r="C41">
        <v>1</v>
      </c>
      <c r="D41">
        <v>0</v>
      </c>
      <c r="E41">
        <v>1</v>
      </c>
      <c r="F41">
        <v>9</v>
      </c>
      <c r="G41" t="b">
        <v>0</v>
      </c>
      <c r="H41">
        <v>0</v>
      </c>
      <c r="I41">
        <v>2</v>
      </c>
      <c r="J41">
        <v>0.16</v>
      </c>
      <c r="K41">
        <v>0.2273</v>
      </c>
      <c r="L41">
        <v>0.8</v>
      </c>
      <c r="M41">
        <v>0</v>
      </c>
      <c r="N41">
        <v>4</v>
      </c>
      <c r="O41">
        <v>34</v>
      </c>
      <c r="P41">
        <v>38</v>
      </c>
    </row>
    <row r="42" spans="1:16">
      <c r="A42">
        <v>651</v>
      </c>
      <c r="B42" s="2">
        <v>40573</v>
      </c>
      <c r="C42">
        <v>1</v>
      </c>
      <c r="D42">
        <v>0</v>
      </c>
      <c r="E42">
        <v>1</v>
      </c>
      <c r="F42">
        <v>10</v>
      </c>
      <c r="G42" t="b">
        <v>0</v>
      </c>
      <c r="H42">
        <v>0</v>
      </c>
      <c r="I42">
        <v>2</v>
      </c>
      <c r="J42">
        <v>0.18</v>
      </c>
      <c r="K42">
        <v>0.2424</v>
      </c>
      <c r="L42">
        <v>0.8</v>
      </c>
      <c r="M42">
        <v>0</v>
      </c>
      <c r="N42">
        <v>7</v>
      </c>
      <c r="O42">
        <v>57</v>
      </c>
      <c r="P42">
        <v>64</v>
      </c>
    </row>
    <row r="43" spans="1:16">
      <c r="A43">
        <v>652</v>
      </c>
      <c r="B43" s="2">
        <v>40573</v>
      </c>
      <c r="C43">
        <v>1</v>
      </c>
      <c r="D43">
        <v>0</v>
      </c>
      <c r="E43">
        <v>1</v>
      </c>
      <c r="F43">
        <v>11</v>
      </c>
      <c r="G43" t="b">
        <v>0</v>
      </c>
      <c r="H43">
        <v>0</v>
      </c>
      <c r="I43">
        <v>1</v>
      </c>
      <c r="J43">
        <v>0.22</v>
      </c>
      <c r="K43">
        <v>0.2727</v>
      </c>
      <c r="L43">
        <v>0.75</v>
      </c>
      <c r="M43">
        <v>0</v>
      </c>
      <c r="N43">
        <v>9</v>
      </c>
      <c r="O43">
        <v>50</v>
      </c>
      <c r="P43">
        <v>59</v>
      </c>
    </row>
    <row r="44" spans="1:16">
      <c r="A44">
        <v>653</v>
      </c>
      <c r="B44" s="2">
        <v>40573</v>
      </c>
      <c r="C44">
        <v>1</v>
      </c>
      <c r="D44">
        <v>0</v>
      </c>
      <c r="E44">
        <v>1</v>
      </c>
      <c r="F44">
        <v>12</v>
      </c>
      <c r="G44" t="b">
        <v>0</v>
      </c>
      <c r="H44">
        <v>0</v>
      </c>
      <c r="I44">
        <v>1</v>
      </c>
      <c r="J44">
        <v>0.3</v>
      </c>
      <c r="K44">
        <v>0.31819999999999998</v>
      </c>
      <c r="L44">
        <v>0.52</v>
      </c>
      <c r="M44">
        <v>0.1045</v>
      </c>
      <c r="N44">
        <v>10</v>
      </c>
      <c r="O44">
        <v>87</v>
      </c>
      <c r="P44">
        <v>97</v>
      </c>
    </row>
    <row r="45" spans="1:16">
      <c r="A45">
        <v>654</v>
      </c>
      <c r="B45" s="2">
        <v>40573</v>
      </c>
      <c r="C45">
        <v>1</v>
      </c>
      <c r="D45">
        <v>0</v>
      </c>
      <c r="E45">
        <v>1</v>
      </c>
      <c r="F45">
        <v>13</v>
      </c>
      <c r="G45" t="b">
        <v>0</v>
      </c>
      <c r="H45">
        <v>0</v>
      </c>
      <c r="I45">
        <v>1</v>
      </c>
      <c r="J45">
        <v>0.28000000000000003</v>
      </c>
      <c r="K45">
        <v>0.28789999999999999</v>
      </c>
      <c r="L45">
        <v>0.61</v>
      </c>
      <c r="M45">
        <v>0.1045</v>
      </c>
      <c r="N45">
        <v>13</v>
      </c>
      <c r="O45">
        <v>71</v>
      </c>
      <c r="P45">
        <v>84</v>
      </c>
    </row>
    <row r="46" spans="1:16">
      <c r="A46">
        <v>655</v>
      </c>
      <c r="B46" s="2">
        <v>40573</v>
      </c>
      <c r="C46">
        <v>1</v>
      </c>
      <c r="D46">
        <v>0</v>
      </c>
      <c r="E46">
        <v>1</v>
      </c>
      <c r="F46">
        <v>14</v>
      </c>
      <c r="G46" t="b">
        <v>0</v>
      </c>
      <c r="H46">
        <v>0</v>
      </c>
      <c r="I46">
        <v>1</v>
      </c>
      <c r="J46">
        <v>0.28000000000000003</v>
      </c>
      <c r="K46">
        <v>0.30299999999999999</v>
      </c>
      <c r="L46">
        <v>0.61</v>
      </c>
      <c r="M46">
        <v>8.9599999999999999E-2</v>
      </c>
      <c r="N46">
        <v>18</v>
      </c>
      <c r="O46">
        <v>104</v>
      </c>
      <c r="P46">
        <v>122</v>
      </c>
    </row>
    <row r="47" spans="1:16">
      <c r="A47">
        <v>656</v>
      </c>
      <c r="B47" s="2">
        <v>40573</v>
      </c>
      <c r="C47">
        <v>1</v>
      </c>
      <c r="D47">
        <v>0</v>
      </c>
      <c r="E47">
        <v>1</v>
      </c>
      <c r="F47">
        <v>15</v>
      </c>
      <c r="G47" t="b">
        <v>0</v>
      </c>
      <c r="H47">
        <v>0</v>
      </c>
      <c r="I47">
        <v>1</v>
      </c>
      <c r="J47">
        <v>0.3</v>
      </c>
      <c r="K47">
        <v>0.33329999999999999</v>
      </c>
      <c r="L47">
        <v>0.56000000000000005</v>
      </c>
      <c r="M47">
        <v>0</v>
      </c>
      <c r="N47">
        <v>14</v>
      </c>
      <c r="O47">
        <v>95</v>
      </c>
      <c r="P47">
        <v>109</v>
      </c>
    </row>
    <row r="48" spans="1:16">
      <c r="A48">
        <v>657</v>
      </c>
      <c r="B48" s="2">
        <v>40573</v>
      </c>
      <c r="C48">
        <v>1</v>
      </c>
      <c r="D48">
        <v>0</v>
      </c>
      <c r="E48">
        <v>1</v>
      </c>
      <c r="F48">
        <v>16</v>
      </c>
      <c r="G48" t="b">
        <v>0</v>
      </c>
      <c r="H48">
        <v>0</v>
      </c>
      <c r="I48">
        <v>1</v>
      </c>
      <c r="J48">
        <v>0.3</v>
      </c>
      <c r="K48">
        <v>0.33329999999999999</v>
      </c>
      <c r="L48">
        <v>0.56000000000000005</v>
      </c>
      <c r="M48">
        <v>0</v>
      </c>
      <c r="N48">
        <v>19</v>
      </c>
      <c r="O48">
        <v>104</v>
      </c>
      <c r="P48">
        <v>123</v>
      </c>
    </row>
    <row r="49" spans="1:16">
      <c r="A49">
        <v>658</v>
      </c>
      <c r="B49" s="2">
        <v>40573</v>
      </c>
      <c r="C49">
        <v>1</v>
      </c>
      <c r="D49">
        <v>0</v>
      </c>
      <c r="E49">
        <v>1</v>
      </c>
      <c r="F49">
        <v>17</v>
      </c>
      <c r="G49" t="b">
        <v>0</v>
      </c>
      <c r="H49">
        <v>0</v>
      </c>
      <c r="I49">
        <v>1</v>
      </c>
      <c r="J49">
        <v>0.3</v>
      </c>
      <c r="K49">
        <v>0.28789999999999999</v>
      </c>
      <c r="L49">
        <v>0.56000000000000005</v>
      </c>
      <c r="M49">
        <v>0.19400000000000001</v>
      </c>
      <c r="N49">
        <v>6</v>
      </c>
      <c r="O49">
        <v>71</v>
      </c>
      <c r="P49">
        <v>77</v>
      </c>
    </row>
    <row r="50" spans="1:16">
      <c r="A50">
        <v>659</v>
      </c>
      <c r="B50" s="2">
        <v>40573</v>
      </c>
      <c r="C50">
        <v>1</v>
      </c>
      <c r="D50">
        <v>0</v>
      </c>
      <c r="E50">
        <v>1</v>
      </c>
      <c r="F50">
        <v>18</v>
      </c>
      <c r="G50" t="b">
        <v>0</v>
      </c>
      <c r="H50">
        <v>0</v>
      </c>
      <c r="I50">
        <v>1</v>
      </c>
      <c r="J50">
        <v>0.26</v>
      </c>
      <c r="K50">
        <v>0.2576</v>
      </c>
      <c r="L50">
        <v>0.65</v>
      </c>
      <c r="M50">
        <v>0.16420000000000001</v>
      </c>
      <c r="N50">
        <v>8</v>
      </c>
      <c r="O50">
        <v>57</v>
      </c>
      <c r="P50">
        <v>65</v>
      </c>
    </row>
    <row r="51" spans="1:16">
      <c r="A51">
        <v>660</v>
      </c>
      <c r="B51" s="2">
        <v>40573</v>
      </c>
      <c r="C51">
        <v>1</v>
      </c>
      <c r="D51">
        <v>0</v>
      </c>
      <c r="E51">
        <v>1</v>
      </c>
      <c r="F51">
        <v>19</v>
      </c>
      <c r="G51" t="b">
        <v>0</v>
      </c>
      <c r="H51">
        <v>0</v>
      </c>
      <c r="I51">
        <v>1</v>
      </c>
      <c r="J51">
        <v>0.26</v>
      </c>
      <c r="K51">
        <v>0.2576</v>
      </c>
      <c r="L51">
        <v>0.65</v>
      </c>
      <c r="M51">
        <v>0.19400000000000001</v>
      </c>
      <c r="N51">
        <v>9</v>
      </c>
      <c r="O51">
        <v>46</v>
      </c>
      <c r="P51">
        <v>55</v>
      </c>
    </row>
    <row r="52" spans="1:16">
      <c r="A52">
        <v>661</v>
      </c>
      <c r="B52" s="2">
        <v>40573</v>
      </c>
      <c r="C52">
        <v>1</v>
      </c>
      <c r="D52">
        <v>0</v>
      </c>
      <c r="E52">
        <v>1</v>
      </c>
      <c r="F52">
        <v>20</v>
      </c>
      <c r="G52" t="b">
        <v>0</v>
      </c>
      <c r="H52">
        <v>0</v>
      </c>
      <c r="I52">
        <v>2</v>
      </c>
      <c r="J52">
        <v>0.26</v>
      </c>
      <c r="K52">
        <v>0.2727</v>
      </c>
      <c r="L52">
        <v>0.65</v>
      </c>
      <c r="M52">
        <v>0.1045</v>
      </c>
      <c r="N52">
        <v>3</v>
      </c>
      <c r="O52">
        <v>30</v>
      </c>
      <c r="P52">
        <v>33</v>
      </c>
    </row>
    <row r="53" spans="1:16">
      <c r="A53">
        <v>662</v>
      </c>
      <c r="B53" s="2">
        <v>40573</v>
      </c>
      <c r="C53">
        <v>1</v>
      </c>
      <c r="D53">
        <v>0</v>
      </c>
      <c r="E53">
        <v>1</v>
      </c>
      <c r="F53">
        <v>21</v>
      </c>
      <c r="G53" t="b">
        <v>0</v>
      </c>
      <c r="H53">
        <v>0</v>
      </c>
      <c r="I53">
        <v>2</v>
      </c>
      <c r="J53">
        <v>0.24</v>
      </c>
      <c r="K53">
        <v>0.2424</v>
      </c>
      <c r="L53">
        <v>0.7</v>
      </c>
      <c r="M53">
        <v>0.16420000000000001</v>
      </c>
      <c r="N53">
        <v>3</v>
      </c>
      <c r="O53">
        <v>25</v>
      </c>
      <c r="P53">
        <v>28</v>
      </c>
    </row>
    <row r="54" spans="1:16">
      <c r="A54">
        <v>663</v>
      </c>
      <c r="B54" s="2">
        <v>40573</v>
      </c>
      <c r="C54">
        <v>1</v>
      </c>
      <c r="D54">
        <v>0</v>
      </c>
      <c r="E54">
        <v>1</v>
      </c>
      <c r="F54">
        <v>22</v>
      </c>
      <c r="G54" t="b">
        <v>0</v>
      </c>
      <c r="H54">
        <v>0</v>
      </c>
      <c r="I54">
        <v>2</v>
      </c>
      <c r="J54">
        <v>0.24</v>
      </c>
      <c r="K54">
        <v>0.2273</v>
      </c>
      <c r="L54">
        <v>0.7</v>
      </c>
      <c r="M54">
        <v>0.19400000000000001</v>
      </c>
      <c r="N54">
        <v>2</v>
      </c>
      <c r="O54">
        <v>19</v>
      </c>
      <c r="P54">
        <v>21</v>
      </c>
    </row>
    <row r="55" spans="1:16">
      <c r="A55">
        <v>664</v>
      </c>
      <c r="B55" s="2">
        <v>40573</v>
      </c>
      <c r="C55">
        <v>1</v>
      </c>
      <c r="D55">
        <v>0</v>
      </c>
      <c r="E55">
        <v>1</v>
      </c>
      <c r="F55">
        <v>23</v>
      </c>
      <c r="G55" t="b">
        <v>0</v>
      </c>
      <c r="H55">
        <v>0</v>
      </c>
      <c r="I55">
        <v>2</v>
      </c>
      <c r="J55">
        <v>0.24</v>
      </c>
      <c r="K55">
        <v>0.21210000000000001</v>
      </c>
      <c r="L55">
        <v>0.65</v>
      </c>
      <c r="M55">
        <v>0.28360000000000002</v>
      </c>
      <c r="N55">
        <v>5</v>
      </c>
      <c r="O55">
        <v>16</v>
      </c>
      <c r="P55">
        <v>21</v>
      </c>
    </row>
    <row r="56" spans="1:16">
      <c r="A56">
        <v>665</v>
      </c>
      <c r="B56" s="2">
        <v>40574</v>
      </c>
      <c r="C56">
        <v>1</v>
      </c>
      <c r="D56">
        <v>0</v>
      </c>
      <c r="E56">
        <v>1</v>
      </c>
      <c r="F56">
        <v>0</v>
      </c>
      <c r="G56" t="b">
        <v>0</v>
      </c>
      <c r="H56">
        <v>1</v>
      </c>
      <c r="I56">
        <v>2</v>
      </c>
      <c r="J56">
        <v>0.24</v>
      </c>
      <c r="K56">
        <v>0.2273</v>
      </c>
      <c r="L56">
        <v>0.65</v>
      </c>
      <c r="M56">
        <v>0.22389999999999999</v>
      </c>
      <c r="N56">
        <v>1</v>
      </c>
      <c r="O56">
        <v>6</v>
      </c>
      <c r="P56">
        <v>7</v>
      </c>
    </row>
    <row r="57" spans="1:16">
      <c r="A57">
        <v>666</v>
      </c>
      <c r="B57" s="2">
        <v>40574</v>
      </c>
      <c r="C57">
        <v>1</v>
      </c>
      <c r="D57">
        <v>0</v>
      </c>
      <c r="E57">
        <v>1</v>
      </c>
      <c r="F57">
        <v>1</v>
      </c>
      <c r="G57" t="b">
        <v>0</v>
      </c>
      <c r="H57">
        <v>1</v>
      </c>
      <c r="I57">
        <v>1</v>
      </c>
      <c r="J57">
        <v>0.22</v>
      </c>
      <c r="K57">
        <v>0.21210000000000001</v>
      </c>
      <c r="L57">
        <v>0.64</v>
      </c>
      <c r="M57">
        <v>0.25369999999999998</v>
      </c>
      <c r="N57">
        <v>2</v>
      </c>
      <c r="O57">
        <v>5</v>
      </c>
      <c r="P57">
        <v>7</v>
      </c>
    </row>
    <row r="58" spans="1:16">
      <c r="A58">
        <v>667</v>
      </c>
      <c r="B58" s="2">
        <v>40574</v>
      </c>
      <c r="C58">
        <v>1</v>
      </c>
      <c r="D58">
        <v>0</v>
      </c>
      <c r="E58">
        <v>1</v>
      </c>
      <c r="F58">
        <v>2</v>
      </c>
      <c r="G58" t="b">
        <v>0</v>
      </c>
      <c r="H58">
        <v>1</v>
      </c>
      <c r="I58">
        <v>1</v>
      </c>
      <c r="J58">
        <v>0.22</v>
      </c>
      <c r="K58">
        <v>0.2273</v>
      </c>
      <c r="L58">
        <v>0.64</v>
      </c>
      <c r="M58">
        <v>0.19400000000000001</v>
      </c>
      <c r="N58">
        <v>0</v>
      </c>
      <c r="O58">
        <v>1</v>
      </c>
      <c r="P58">
        <v>1</v>
      </c>
    </row>
    <row r="59" spans="1:16">
      <c r="A59">
        <v>668</v>
      </c>
      <c r="B59" s="2">
        <v>40574</v>
      </c>
      <c r="C59">
        <v>1</v>
      </c>
      <c r="D59">
        <v>0</v>
      </c>
      <c r="E59">
        <v>1</v>
      </c>
      <c r="F59">
        <v>3</v>
      </c>
      <c r="G59" t="b">
        <v>0</v>
      </c>
      <c r="H59">
        <v>1</v>
      </c>
      <c r="I59">
        <v>1</v>
      </c>
      <c r="J59">
        <v>0.22</v>
      </c>
      <c r="K59">
        <v>0.2273</v>
      </c>
      <c r="L59">
        <v>0.64</v>
      </c>
      <c r="M59">
        <v>0.19400000000000001</v>
      </c>
      <c r="N59">
        <v>0</v>
      </c>
      <c r="O59">
        <v>2</v>
      </c>
      <c r="P59">
        <v>2</v>
      </c>
    </row>
    <row r="60" spans="1:16">
      <c r="A60">
        <v>669</v>
      </c>
      <c r="B60" s="2">
        <v>40574</v>
      </c>
      <c r="C60">
        <v>1</v>
      </c>
      <c r="D60">
        <v>0</v>
      </c>
      <c r="E60">
        <v>1</v>
      </c>
      <c r="F60">
        <v>4</v>
      </c>
      <c r="G60" t="b">
        <v>0</v>
      </c>
      <c r="H60">
        <v>1</v>
      </c>
      <c r="I60">
        <v>1</v>
      </c>
      <c r="J60">
        <v>0.2</v>
      </c>
      <c r="K60">
        <v>0.19700000000000001</v>
      </c>
      <c r="L60">
        <v>0.59</v>
      </c>
      <c r="M60">
        <v>0.22389999999999999</v>
      </c>
      <c r="N60">
        <v>0</v>
      </c>
      <c r="O60">
        <v>2</v>
      </c>
      <c r="P60">
        <v>2</v>
      </c>
    </row>
    <row r="61" spans="1:16">
      <c r="A61">
        <v>670</v>
      </c>
      <c r="B61" s="2">
        <v>40574</v>
      </c>
      <c r="C61">
        <v>1</v>
      </c>
      <c r="D61">
        <v>0</v>
      </c>
      <c r="E61">
        <v>1</v>
      </c>
      <c r="F61">
        <v>5</v>
      </c>
      <c r="G61" t="b">
        <v>0</v>
      </c>
      <c r="H61">
        <v>1</v>
      </c>
      <c r="I61">
        <v>1</v>
      </c>
      <c r="J61">
        <v>0.18</v>
      </c>
      <c r="K61">
        <v>0.16669999999999999</v>
      </c>
      <c r="L61">
        <v>0.64</v>
      </c>
      <c r="M61">
        <v>0.28360000000000002</v>
      </c>
      <c r="N61">
        <v>0</v>
      </c>
      <c r="O61">
        <v>8</v>
      </c>
      <c r="P61">
        <v>8</v>
      </c>
    </row>
    <row r="62" spans="1:16">
      <c r="A62">
        <v>671</v>
      </c>
      <c r="B62" s="2">
        <v>40574</v>
      </c>
      <c r="C62">
        <v>1</v>
      </c>
      <c r="D62">
        <v>0</v>
      </c>
      <c r="E62">
        <v>1</v>
      </c>
      <c r="F62">
        <v>6</v>
      </c>
      <c r="G62" t="b">
        <v>0</v>
      </c>
      <c r="H62">
        <v>1</v>
      </c>
      <c r="I62">
        <v>1</v>
      </c>
      <c r="J62">
        <v>0.16</v>
      </c>
      <c r="K62">
        <v>0.13639999999999999</v>
      </c>
      <c r="L62">
        <v>0.69</v>
      </c>
      <c r="M62">
        <v>0.32840000000000003</v>
      </c>
      <c r="N62">
        <v>0</v>
      </c>
      <c r="O62">
        <v>37</v>
      </c>
      <c r="P62">
        <v>37</v>
      </c>
    </row>
    <row r="63" spans="1:16">
      <c r="A63">
        <v>672</v>
      </c>
      <c r="B63" s="2">
        <v>40574</v>
      </c>
      <c r="C63">
        <v>1</v>
      </c>
      <c r="D63">
        <v>0</v>
      </c>
      <c r="E63">
        <v>1</v>
      </c>
      <c r="F63">
        <v>7</v>
      </c>
      <c r="G63" t="b">
        <v>0</v>
      </c>
      <c r="H63">
        <v>1</v>
      </c>
      <c r="I63">
        <v>2</v>
      </c>
      <c r="J63">
        <v>0.16</v>
      </c>
      <c r="K63">
        <v>0.13639999999999999</v>
      </c>
      <c r="L63">
        <v>0.64</v>
      </c>
      <c r="M63">
        <v>0.28360000000000002</v>
      </c>
      <c r="N63">
        <v>1</v>
      </c>
      <c r="O63">
        <v>71</v>
      </c>
      <c r="P63">
        <v>72</v>
      </c>
    </row>
    <row r="64" spans="1:16">
      <c r="A64">
        <v>673</v>
      </c>
      <c r="B64" s="2">
        <v>40574</v>
      </c>
      <c r="C64">
        <v>1</v>
      </c>
      <c r="D64">
        <v>0</v>
      </c>
      <c r="E64">
        <v>1</v>
      </c>
      <c r="F64">
        <v>8</v>
      </c>
      <c r="G64" t="b">
        <v>0</v>
      </c>
      <c r="H64">
        <v>1</v>
      </c>
      <c r="I64">
        <v>2</v>
      </c>
      <c r="J64">
        <v>0.16</v>
      </c>
      <c r="K64">
        <v>0.13639999999999999</v>
      </c>
      <c r="L64">
        <v>0.59</v>
      </c>
      <c r="M64">
        <v>0.28360000000000002</v>
      </c>
      <c r="N64">
        <v>3</v>
      </c>
      <c r="O64">
        <v>182</v>
      </c>
      <c r="P64">
        <v>185</v>
      </c>
    </row>
    <row r="65" spans="1:16">
      <c r="A65">
        <v>674</v>
      </c>
      <c r="B65" s="2">
        <v>40574</v>
      </c>
      <c r="C65">
        <v>1</v>
      </c>
      <c r="D65">
        <v>0</v>
      </c>
      <c r="E65">
        <v>1</v>
      </c>
      <c r="F65">
        <v>9</v>
      </c>
      <c r="G65" t="b">
        <v>0</v>
      </c>
      <c r="H65">
        <v>1</v>
      </c>
      <c r="I65">
        <v>2</v>
      </c>
      <c r="J65">
        <v>0.16</v>
      </c>
      <c r="K65">
        <v>0.13639999999999999</v>
      </c>
      <c r="L65">
        <v>0.59</v>
      </c>
      <c r="M65">
        <v>0.29849999999999999</v>
      </c>
      <c r="N65">
        <v>0</v>
      </c>
      <c r="O65">
        <v>112</v>
      </c>
      <c r="P65">
        <v>112</v>
      </c>
    </row>
    <row r="66" spans="1:16">
      <c r="A66">
        <v>675</v>
      </c>
      <c r="B66" s="2">
        <v>40574</v>
      </c>
      <c r="C66">
        <v>1</v>
      </c>
      <c r="D66">
        <v>0</v>
      </c>
      <c r="E66">
        <v>1</v>
      </c>
      <c r="F66">
        <v>10</v>
      </c>
      <c r="G66" t="b">
        <v>0</v>
      </c>
      <c r="H66">
        <v>1</v>
      </c>
      <c r="I66">
        <v>2</v>
      </c>
      <c r="J66">
        <v>0.16</v>
      </c>
      <c r="K66">
        <v>0.1515</v>
      </c>
      <c r="L66">
        <v>0.59</v>
      </c>
      <c r="M66">
        <v>0.19400000000000001</v>
      </c>
      <c r="N66">
        <v>1</v>
      </c>
      <c r="O66">
        <v>68</v>
      </c>
      <c r="P66">
        <v>69</v>
      </c>
    </row>
    <row r="67" spans="1:16">
      <c r="A67">
        <v>676</v>
      </c>
      <c r="B67" s="2">
        <v>40574</v>
      </c>
      <c r="C67">
        <v>1</v>
      </c>
      <c r="D67">
        <v>0</v>
      </c>
      <c r="E67">
        <v>1</v>
      </c>
      <c r="F67">
        <v>11</v>
      </c>
      <c r="G67" t="b">
        <v>0</v>
      </c>
      <c r="H67">
        <v>1</v>
      </c>
      <c r="I67">
        <v>2</v>
      </c>
      <c r="J67">
        <v>0.16</v>
      </c>
      <c r="K67">
        <v>0.1515</v>
      </c>
      <c r="L67">
        <v>0.59</v>
      </c>
      <c r="M67">
        <v>0.19400000000000001</v>
      </c>
      <c r="N67">
        <v>2</v>
      </c>
      <c r="O67">
        <v>46</v>
      </c>
      <c r="P67">
        <v>48</v>
      </c>
    </row>
    <row r="68" spans="1:16">
      <c r="A68">
        <v>677</v>
      </c>
      <c r="B68" s="2">
        <v>40574</v>
      </c>
      <c r="C68">
        <v>1</v>
      </c>
      <c r="D68">
        <v>0</v>
      </c>
      <c r="E68">
        <v>1</v>
      </c>
      <c r="F68">
        <v>12</v>
      </c>
      <c r="G68" t="b">
        <v>0</v>
      </c>
      <c r="H68">
        <v>1</v>
      </c>
      <c r="I68">
        <v>2</v>
      </c>
      <c r="J68">
        <v>0.18</v>
      </c>
      <c r="K68">
        <v>0.21210000000000001</v>
      </c>
      <c r="L68">
        <v>0.55000000000000004</v>
      </c>
      <c r="M68">
        <v>0.1045</v>
      </c>
      <c r="N68">
        <v>6</v>
      </c>
      <c r="O68">
        <v>62</v>
      </c>
      <c r="P68">
        <v>68</v>
      </c>
    </row>
    <row r="69" spans="1:16">
      <c r="A69">
        <v>678</v>
      </c>
      <c r="B69" s="2">
        <v>40574</v>
      </c>
      <c r="C69">
        <v>1</v>
      </c>
      <c r="D69">
        <v>0</v>
      </c>
      <c r="E69">
        <v>1</v>
      </c>
      <c r="F69">
        <v>13</v>
      </c>
      <c r="G69" t="b">
        <v>0</v>
      </c>
      <c r="H69">
        <v>1</v>
      </c>
      <c r="I69">
        <v>2</v>
      </c>
      <c r="J69">
        <v>0.16</v>
      </c>
      <c r="K69">
        <v>0.2273</v>
      </c>
      <c r="L69">
        <v>0.59</v>
      </c>
      <c r="M69">
        <v>0</v>
      </c>
      <c r="N69">
        <v>2</v>
      </c>
      <c r="O69">
        <v>52</v>
      </c>
      <c r="P69">
        <v>54</v>
      </c>
    </row>
    <row r="70" spans="1:16">
      <c r="A70">
        <v>679</v>
      </c>
      <c r="B70" s="2">
        <v>40574</v>
      </c>
      <c r="C70">
        <v>1</v>
      </c>
      <c r="D70">
        <v>0</v>
      </c>
      <c r="E70">
        <v>1</v>
      </c>
      <c r="F70">
        <v>14</v>
      </c>
      <c r="G70" t="b">
        <v>0</v>
      </c>
      <c r="H70">
        <v>1</v>
      </c>
      <c r="I70">
        <v>2</v>
      </c>
      <c r="J70">
        <v>0.18</v>
      </c>
      <c r="K70">
        <v>0.19700000000000001</v>
      </c>
      <c r="L70">
        <v>0.55000000000000004</v>
      </c>
      <c r="M70">
        <v>0.1343</v>
      </c>
      <c r="N70">
        <v>1</v>
      </c>
      <c r="O70">
        <v>85</v>
      </c>
      <c r="P70">
        <v>86</v>
      </c>
    </row>
    <row r="71" spans="1:16">
      <c r="A71">
        <v>680</v>
      </c>
      <c r="B71" s="2">
        <v>40574</v>
      </c>
      <c r="C71">
        <v>1</v>
      </c>
      <c r="D71">
        <v>0</v>
      </c>
      <c r="E71">
        <v>1</v>
      </c>
      <c r="F71">
        <v>15</v>
      </c>
      <c r="G71" t="b">
        <v>0</v>
      </c>
      <c r="H71">
        <v>1</v>
      </c>
      <c r="I71">
        <v>2</v>
      </c>
      <c r="J71">
        <v>0.16</v>
      </c>
      <c r="K71">
        <v>0.18179999999999999</v>
      </c>
      <c r="L71">
        <v>0.59</v>
      </c>
      <c r="M71">
        <v>0.1343</v>
      </c>
      <c r="N71">
        <v>3</v>
      </c>
      <c r="O71">
        <v>41</v>
      </c>
      <c r="P71">
        <v>44</v>
      </c>
    </row>
    <row r="72" spans="1:16">
      <c r="A72">
        <v>681</v>
      </c>
      <c r="B72" s="2">
        <v>40574</v>
      </c>
      <c r="C72">
        <v>1</v>
      </c>
      <c r="D72">
        <v>0</v>
      </c>
      <c r="E72">
        <v>1</v>
      </c>
      <c r="F72">
        <v>16</v>
      </c>
      <c r="G72" t="b">
        <v>0</v>
      </c>
      <c r="H72">
        <v>1</v>
      </c>
      <c r="I72">
        <v>2</v>
      </c>
      <c r="J72">
        <v>0.16</v>
      </c>
      <c r="K72">
        <v>0.18179999999999999</v>
      </c>
      <c r="L72">
        <v>0.56000000000000005</v>
      </c>
      <c r="M72">
        <v>0.19400000000000001</v>
      </c>
      <c r="N72">
        <v>3</v>
      </c>
      <c r="O72">
        <v>83</v>
      </c>
      <c r="P72">
        <v>86</v>
      </c>
    </row>
    <row r="73" spans="1:16">
      <c r="A73">
        <v>682</v>
      </c>
      <c r="B73" s="2">
        <v>40574</v>
      </c>
      <c r="C73">
        <v>1</v>
      </c>
      <c r="D73">
        <v>0</v>
      </c>
      <c r="E73">
        <v>1</v>
      </c>
      <c r="F73">
        <v>17</v>
      </c>
      <c r="G73" t="b">
        <v>0</v>
      </c>
      <c r="H73">
        <v>1</v>
      </c>
      <c r="I73">
        <v>2</v>
      </c>
      <c r="J73">
        <v>0.16</v>
      </c>
      <c r="K73">
        <v>0.1515</v>
      </c>
      <c r="L73">
        <v>0.59</v>
      </c>
      <c r="M73">
        <v>0.19400000000000001</v>
      </c>
      <c r="N73">
        <v>6</v>
      </c>
      <c r="O73">
        <v>155</v>
      </c>
      <c r="P73">
        <v>161</v>
      </c>
    </row>
    <row r="74" spans="1:16">
      <c r="A74">
        <v>683</v>
      </c>
      <c r="B74" s="2">
        <v>40574</v>
      </c>
      <c r="C74">
        <v>1</v>
      </c>
      <c r="D74">
        <v>0</v>
      </c>
      <c r="E74">
        <v>1</v>
      </c>
      <c r="F74">
        <v>18</v>
      </c>
      <c r="G74" t="b">
        <v>0</v>
      </c>
      <c r="H74">
        <v>1</v>
      </c>
      <c r="I74">
        <v>2</v>
      </c>
      <c r="J74">
        <v>0.16</v>
      </c>
      <c r="K74">
        <v>0.1515</v>
      </c>
      <c r="L74">
        <v>0.55000000000000004</v>
      </c>
      <c r="M74">
        <v>0.22389999999999999</v>
      </c>
      <c r="N74">
        <v>3</v>
      </c>
      <c r="O74">
        <v>153</v>
      </c>
      <c r="P74">
        <v>156</v>
      </c>
    </row>
    <row r="75" spans="1:16">
      <c r="A75">
        <v>684</v>
      </c>
      <c r="B75" s="2">
        <v>40574</v>
      </c>
      <c r="C75">
        <v>1</v>
      </c>
      <c r="D75">
        <v>0</v>
      </c>
      <c r="E75">
        <v>1</v>
      </c>
      <c r="F75">
        <v>19</v>
      </c>
      <c r="G75" t="b">
        <v>0</v>
      </c>
      <c r="H75">
        <v>1</v>
      </c>
      <c r="I75">
        <v>1</v>
      </c>
      <c r="J75">
        <v>0.3</v>
      </c>
      <c r="K75">
        <v>0.31819999999999998</v>
      </c>
      <c r="L75">
        <v>0.61</v>
      </c>
      <c r="M75">
        <v>0.1045</v>
      </c>
      <c r="N75">
        <v>3</v>
      </c>
      <c r="O75">
        <v>108</v>
      </c>
      <c r="P75">
        <v>111</v>
      </c>
    </row>
    <row r="76" spans="1:16">
      <c r="A76">
        <v>685</v>
      </c>
      <c r="B76" s="2">
        <v>40574</v>
      </c>
      <c r="C76">
        <v>1</v>
      </c>
      <c r="D76">
        <v>0</v>
      </c>
      <c r="E76">
        <v>1</v>
      </c>
      <c r="F76">
        <v>20</v>
      </c>
      <c r="G76" t="b">
        <v>0</v>
      </c>
      <c r="H76">
        <v>1</v>
      </c>
      <c r="I76">
        <v>3</v>
      </c>
      <c r="J76">
        <v>0.16</v>
      </c>
      <c r="K76">
        <v>0.16669999999999999</v>
      </c>
      <c r="L76">
        <v>0.59</v>
      </c>
      <c r="M76">
        <v>0.16420000000000001</v>
      </c>
      <c r="N76">
        <v>0</v>
      </c>
      <c r="O76">
        <v>78</v>
      </c>
      <c r="P76">
        <v>78</v>
      </c>
    </row>
    <row r="77" spans="1:16">
      <c r="A77">
        <v>686</v>
      </c>
      <c r="B77" s="2">
        <v>40574</v>
      </c>
      <c r="C77">
        <v>1</v>
      </c>
      <c r="D77">
        <v>0</v>
      </c>
      <c r="E77">
        <v>1</v>
      </c>
      <c r="F77">
        <v>21</v>
      </c>
      <c r="G77" t="b">
        <v>0</v>
      </c>
      <c r="H77">
        <v>1</v>
      </c>
      <c r="I77">
        <v>3</v>
      </c>
      <c r="J77">
        <v>0.16</v>
      </c>
      <c r="K77">
        <v>0.19700000000000001</v>
      </c>
      <c r="L77">
        <v>0.59</v>
      </c>
      <c r="M77">
        <v>8.9599999999999999E-2</v>
      </c>
      <c r="N77">
        <v>3</v>
      </c>
      <c r="O77">
        <v>53</v>
      </c>
      <c r="P77">
        <v>56</v>
      </c>
    </row>
    <row r="78" spans="1:16">
      <c r="A78">
        <v>687</v>
      </c>
      <c r="B78" s="2">
        <v>40574</v>
      </c>
      <c r="C78">
        <v>1</v>
      </c>
      <c r="D78">
        <v>0</v>
      </c>
      <c r="E78">
        <v>1</v>
      </c>
      <c r="F78">
        <v>22</v>
      </c>
      <c r="G78" t="b">
        <v>0</v>
      </c>
      <c r="H78">
        <v>1</v>
      </c>
      <c r="I78">
        <v>2</v>
      </c>
      <c r="J78">
        <v>0.16</v>
      </c>
      <c r="K78">
        <v>0.18179999999999999</v>
      </c>
      <c r="L78">
        <v>0.59</v>
      </c>
      <c r="M78">
        <v>0.1045</v>
      </c>
      <c r="N78">
        <v>0</v>
      </c>
      <c r="O78">
        <v>34</v>
      </c>
      <c r="P78">
        <v>34</v>
      </c>
    </row>
    <row r="79" spans="1:16">
      <c r="A79">
        <v>688</v>
      </c>
      <c r="B79" s="2">
        <v>40574</v>
      </c>
      <c r="C79">
        <v>1</v>
      </c>
      <c r="D79">
        <v>0</v>
      </c>
      <c r="E79">
        <v>1</v>
      </c>
      <c r="F79">
        <v>23</v>
      </c>
      <c r="G79" t="b">
        <v>0</v>
      </c>
      <c r="H79">
        <v>1</v>
      </c>
      <c r="I79">
        <v>2</v>
      </c>
      <c r="J79">
        <v>0.16</v>
      </c>
      <c r="K79">
        <v>0.19700000000000001</v>
      </c>
      <c r="L79">
        <v>0.64</v>
      </c>
      <c r="M79">
        <v>8.9599999999999999E-2</v>
      </c>
      <c r="N79">
        <v>2</v>
      </c>
      <c r="O79">
        <v>15</v>
      </c>
      <c r="P79">
        <v>17</v>
      </c>
    </row>
    <row r="80" spans="1:16">
      <c r="A80">
        <v>689</v>
      </c>
      <c r="B80" s="2">
        <v>40575</v>
      </c>
      <c r="C80">
        <v>1</v>
      </c>
      <c r="D80">
        <v>0</v>
      </c>
      <c r="E80">
        <v>2</v>
      </c>
      <c r="F80">
        <v>0</v>
      </c>
      <c r="G80" t="b">
        <v>0</v>
      </c>
      <c r="H80">
        <v>2</v>
      </c>
      <c r="I80">
        <v>2</v>
      </c>
      <c r="J80">
        <v>0.16</v>
      </c>
      <c r="K80">
        <v>0.18179999999999999</v>
      </c>
      <c r="L80">
        <v>0.64</v>
      </c>
      <c r="M80">
        <v>0.1045</v>
      </c>
      <c r="N80">
        <v>2</v>
      </c>
      <c r="O80">
        <v>6</v>
      </c>
      <c r="P80">
        <v>8</v>
      </c>
    </row>
    <row r="81" spans="1:16">
      <c r="A81">
        <v>690</v>
      </c>
      <c r="B81" s="2">
        <v>40575</v>
      </c>
      <c r="C81">
        <v>1</v>
      </c>
      <c r="D81">
        <v>0</v>
      </c>
      <c r="E81">
        <v>2</v>
      </c>
      <c r="F81">
        <v>1</v>
      </c>
      <c r="G81" t="b">
        <v>0</v>
      </c>
      <c r="H81">
        <v>2</v>
      </c>
      <c r="I81">
        <v>2</v>
      </c>
      <c r="J81">
        <v>0.16</v>
      </c>
      <c r="K81">
        <v>0.18179999999999999</v>
      </c>
      <c r="L81">
        <v>0.69</v>
      </c>
      <c r="M81">
        <v>0.1045</v>
      </c>
      <c r="N81">
        <v>0</v>
      </c>
      <c r="O81">
        <v>3</v>
      </c>
      <c r="P81">
        <v>3</v>
      </c>
    </row>
    <row r="82" spans="1:16">
      <c r="A82">
        <v>691</v>
      </c>
      <c r="B82" s="2">
        <v>40575</v>
      </c>
      <c r="C82">
        <v>1</v>
      </c>
      <c r="D82">
        <v>0</v>
      </c>
      <c r="E82">
        <v>2</v>
      </c>
      <c r="F82">
        <v>2</v>
      </c>
      <c r="G82" t="b">
        <v>0</v>
      </c>
      <c r="H82">
        <v>2</v>
      </c>
      <c r="I82">
        <v>2</v>
      </c>
      <c r="J82">
        <v>0.16</v>
      </c>
      <c r="K82">
        <v>0.2273</v>
      </c>
      <c r="L82">
        <v>0.69</v>
      </c>
      <c r="M82">
        <v>0</v>
      </c>
      <c r="N82">
        <v>0</v>
      </c>
      <c r="O82">
        <v>2</v>
      </c>
      <c r="P82">
        <v>2</v>
      </c>
    </row>
    <row r="83" spans="1:16">
      <c r="A83">
        <v>692</v>
      </c>
      <c r="B83" s="2">
        <v>40575</v>
      </c>
      <c r="C83">
        <v>1</v>
      </c>
      <c r="D83">
        <v>0</v>
      </c>
      <c r="E83">
        <v>2</v>
      </c>
      <c r="F83">
        <v>3</v>
      </c>
      <c r="G83" t="b">
        <v>0</v>
      </c>
      <c r="H83">
        <v>2</v>
      </c>
      <c r="I83">
        <v>2</v>
      </c>
      <c r="J83">
        <v>0.16</v>
      </c>
      <c r="K83">
        <v>0.2273</v>
      </c>
      <c r="L83">
        <v>0.69</v>
      </c>
      <c r="M83">
        <v>0</v>
      </c>
      <c r="N83">
        <v>0</v>
      </c>
      <c r="O83">
        <v>2</v>
      </c>
      <c r="P83">
        <v>2</v>
      </c>
    </row>
    <row r="84" spans="1:16">
      <c r="A84">
        <v>693</v>
      </c>
      <c r="B84" s="2">
        <v>40575</v>
      </c>
      <c r="C84">
        <v>1</v>
      </c>
      <c r="D84">
        <v>0</v>
      </c>
      <c r="E84">
        <v>2</v>
      </c>
      <c r="F84">
        <v>5</v>
      </c>
      <c r="G84" t="b">
        <v>0</v>
      </c>
      <c r="H84">
        <v>2</v>
      </c>
      <c r="I84">
        <v>3</v>
      </c>
      <c r="J84">
        <v>0.14000000000000001</v>
      </c>
      <c r="K84">
        <v>0.21210000000000001</v>
      </c>
      <c r="L84">
        <v>0.93</v>
      </c>
      <c r="M84">
        <v>0</v>
      </c>
      <c r="N84">
        <v>0</v>
      </c>
      <c r="O84">
        <v>3</v>
      </c>
      <c r="P84">
        <v>3</v>
      </c>
    </row>
    <row r="85" spans="1:16">
      <c r="A85">
        <v>694</v>
      </c>
      <c r="B85" s="2">
        <v>40575</v>
      </c>
      <c r="C85">
        <v>1</v>
      </c>
      <c r="D85">
        <v>0</v>
      </c>
      <c r="E85">
        <v>2</v>
      </c>
      <c r="F85">
        <v>6</v>
      </c>
      <c r="G85" t="b">
        <v>0</v>
      </c>
      <c r="H85">
        <v>2</v>
      </c>
      <c r="I85">
        <v>3</v>
      </c>
      <c r="J85">
        <v>0.14000000000000001</v>
      </c>
      <c r="K85">
        <v>0.21210000000000001</v>
      </c>
      <c r="L85">
        <v>0.93</v>
      </c>
      <c r="M85">
        <v>0</v>
      </c>
      <c r="N85">
        <v>0</v>
      </c>
      <c r="O85">
        <v>22</v>
      </c>
      <c r="P85">
        <v>22</v>
      </c>
    </row>
    <row r="86" spans="1:16">
      <c r="A86">
        <v>695</v>
      </c>
      <c r="B86" s="2">
        <v>40575</v>
      </c>
      <c r="C86">
        <v>1</v>
      </c>
      <c r="D86">
        <v>0</v>
      </c>
      <c r="E86">
        <v>2</v>
      </c>
      <c r="F86">
        <v>7</v>
      </c>
      <c r="G86" t="b">
        <v>0</v>
      </c>
      <c r="H86">
        <v>2</v>
      </c>
      <c r="I86">
        <v>3</v>
      </c>
      <c r="J86">
        <v>0.16</v>
      </c>
      <c r="K86">
        <v>0.2273</v>
      </c>
      <c r="L86">
        <v>0.93</v>
      </c>
      <c r="M86">
        <v>0</v>
      </c>
      <c r="N86">
        <v>0</v>
      </c>
      <c r="O86">
        <v>52</v>
      </c>
      <c r="P86">
        <v>52</v>
      </c>
    </row>
    <row r="87" spans="1:16">
      <c r="A87">
        <v>696</v>
      </c>
      <c r="B87" s="2">
        <v>40575</v>
      </c>
      <c r="C87">
        <v>1</v>
      </c>
      <c r="D87">
        <v>0</v>
      </c>
      <c r="E87">
        <v>2</v>
      </c>
      <c r="F87">
        <v>8</v>
      </c>
      <c r="G87" t="b">
        <v>0</v>
      </c>
      <c r="H87">
        <v>2</v>
      </c>
      <c r="I87">
        <v>3</v>
      </c>
      <c r="J87">
        <v>0.16</v>
      </c>
      <c r="K87">
        <v>0.2273</v>
      </c>
      <c r="L87">
        <v>0.93</v>
      </c>
      <c r="M87">
        <v>0</v>
      </c>
      <c r="N87">
        <v>3</v>
      </c>
      <c r="O87">
        <v>132</v>
      </c>
      <c r="P87">
        <v>135</v>
      </c>
    </row>
    <row r="88" spans="1:16">
      <c r="A88">
        <v>697</v>
      </c>
      <c r="B88" s="2">
        <v>40575</v>
      </c>
      <c r="C88">
        <v>1</v>
      </c>
      <c r="D88">
        <v>0</v>
      </c>
      <c r="E88">
        <v>2</v>
      </c>
      <c r="F88">
        <v>9</v>
      </c>
      <c r="G88" t="b">
        <v>0</v>
      </c>
      <c r="H88">
        <v>2</v>
      </c>
      <c r="I88">
        <v>2</v>
      </c>
      <c r="J88">
        <v>0.16</v>
      </c>
      <c r="K88">
        <v>0.2273</v>
      </c>
      <c r="L88">
        <v>0.93</v>
      </c>
      <c r="M88">
        <v>0</v>
      </c>
      <c r="N88">
        <v>2</v>
      </c>
      <c r="O88">
        <v>114</v>
      </c>
      <c r="P88">
        <v>116</v>
      </c>
    </row>
    <row r="89" spans="1:16">
      <c r="A89">
        <v>698</v>
      </c>
      <c r="B89" s="2">
        <v>40575</v>
      </c>
      <c r="C89">
        <v>1</v>
      </c>
      <c r="D89">
        <v>0</v>
      </c>
      <c r="E89">
        <v>2</v>
      </c>
      <c r="F89">
        <v>10</v>
      </c>
      <c r="G89" t="b">
        <v>0</v>
      </c>
      <c r="H89">
        <v>2</v>
      </c>
      <c r="I89">
        <v>2</v>
      </c>
      <c r="J89">
        <v>0.16</v>
      </c>
      <c r="K89">
        <v>0.2273</v>
      </c>
      <c r="L89">
        <v>0.93</v>
      </c>
      <c r="M89">
        <v>0</v>
      </c>
      <c r="N89">
        <v>0</v>
      </c>
      <c r="O89">
        <v>47</v>
      </c>
      <c r="P89">
        <v>47</v>
      </c>
    </row>
    <row r="90" spans="1:16">
      <c r="A90">
        <v>699</v>
      </c>
      <c r="B90" s="2">
        <v>40575</v>
      </c>
      <c r="C90">
        <v>1</v>
      </c>
      <c r="D90">
        <v>0</v>
      </c>
      <c r="E90">
        <v>2</v>
      </c>
      <c r="F90">
        <v>11</v>
      </c>
      <c r="G90" t="b">
        <v>0</v>
      </c>
      <c r="H90">
        <v>2</v>
      </c>
      <c r="I90">
        <v>2</v>
      </c>
      <c r="J90">
        <v>0.18</v>
      </c>
      <c r="K90">
        <v>0.2424</v>
      </c>
      <c r="L90">
        <v>0.86</v>
      </c>
      <c r="M90">
        <v>0</v>
      </c>
      <c r="N90">
        <v>2</v>
      </c>
      <c r="O90">
        <v>49</v>
      </c>
      <c r="P90">
        <v>51</v>
      </c>
    </row>
    <row r="91" spans="1:16">
      <c r="A91">
        <v>700</v>
      </c>
      <c r="B91" s="2">
        <v>40575</v>
      </c>
      <c r="C91">
        <v>1</v>
      </c>
      <c r="D91">
        <v>0</v>
      </c>
      <c r="E91">
        <v>2</v>
      </c>
      <c r="F91">
        <v>12</v>
      </c>
      <c r="G91" t="b">
        <v>0</v>
      </c>
      <c r="H91">
        <v>2</v>
      </c>
      <c r="I91">
        <v>2</v>
      </c>
      <c r="J91">
        <v>0.2</v>
      </c>
      <c r="K91">
        <v>0.2576</v>
      </c>
      <c r="L91">
        <v>0.86</v>
      </c>
      <c r="M91">
        <v>0</v>
      </c>
      <c r="N91">
        <v>2</v>
      </c>
      <c r="O91">
        <v>53</v>
      </c>
      <c r="P91">
        <v>55</v>
      </c>
    </row>
    <row r="92" spans="1:16">
      <c r="A92">
        <v>701</v>
      </c>
      <c r="B92" s="2">
        <v>40575</v>
      </c>
      <c r="C92">
        <v>1</v>
      </c>
      <c r="D92">
        <v>0</v>
      </c>
      <c r="E92">
        <v>2</v>
      </c>
      <c r="F92">
        <v>13</v>
      </c>
      <c r="G92" t="b">
        <v>0</v>
      </c>
      <c r="H92">
        <v>2</v>
      </c>
      <c r="I92">
        <v>2</v>
      </c>
      <c r="J92">
        <v>0.2</v>
      </c>
      <c r="K92">
        <v>0.2576</v>
      </c>
      <c r="L92">
        <v>0.86</v>
      </c>
      <c r="M92">
        <v>0</v>
      </c>
      <c r="N92">
        <v>3</v>
      </c>
      <c r="O92">
        <v>49</v>
      </c>
      <c r="P92">
        <v>52</v>
      </c>
    </row>
    <row r="93" spans="1:16">
      <c r="A93">
        <v>702</v>
      </c>
      <c r="B93" s="2">
        <v>40575</v>
      </c>
      <c r="C93">
        <v>1</v>
      </c>
      <c r="D93">
        <v>0</v>
      </c>
      <c r="E93">
        <v>2</v>
      </c>
      <c r="F93">
        <v>14</v>
      </c>
      <c r="G93" t="b">
        <v>0</v>
      </c>
      <c r="H93">
        <v>2</v>
      </c>
      <c r="I93">
        <v>2</v>
      </c>
      <c r="J93">
        <v>0.22</v>
      </c>
      <c r="K93">
        <v>0.2576</v>
      </c>
      <c r="L93">
        <v>0.8</v>
      </c>
      <c r="M93">
        <v>8.9599999999999999E-2</v>
      </c>
      <c r="N93">
        <v>5</v>
      </c>
      <c r="O93">
        <v>49</v>
      </c>
      <c r="P93">
        <v>54</v>
      </c>
    </row>
    <row r="94" spans="1:16">
      <c r="A94">
        <v>703</v>
      </c>
      <c r="B94" s="2">
        <v>40575</v>
      </c>
      <c r="C94">
        <v>1</v>
      </c>
      <c r="D94">
        <v>0</v>
      </c>
      <c r="E94">
        <v>2</v>
      </c>
      <c r="F94">
        <v>15</v>
      </c>
      <c r="G94" t="b">
        <v>0</v>
      </c>
      <c r="H94">
        <v>2</v>
      </c>
      <c r="I94">
        <v>2</v>
      </c>
      <c r="J94">
        <v>0.24</v>
      </c>
      <c r="K94">
        <v>0.28789999999999999</v>
      </c>
      <c r="L94">
        <v>0.75</v>
      </c>
      <c r="M94">
        <v>0</v>
      </c>
      <c r="N94">
        <v>7</v>
      </c>
      <c r="O94">
        <v>45</v>
      </c>
      <c r="P94">
        <v>52</v>
      </c>
    </row>
    <row r="95" spans="1:16">
      <c r="A95">
        <v>704</v>
      </c>
      <c r="B95" s="2">
        <v>40575</v>
      </c>
      <c r="C95">
        <v>1</v>
      </c>
      <c r="D95">
        <v>0</v>
      </c>
      <c r="E95">
        <v>2</v>
      </c>
      <c r="F95">
        <v>16</v>
      </c>
      <c r="G95" t="b">
        <v>0</v>
      </c>
      <c r="H95">
        <v>2</v>
      </c>
      <c r="I95">
        <v>2</v>
      </c>
      <c r="J95">
        <v>0.24</v>
      </c>
      <c r="K95">
        <v>0.2424</v>
      </c>
      <c r="L95">
        <v>0.75</v>
      </c>
      <c r="M95">
        <v>0.1343</v>
      </c>
      <c r="N95">
        <v>3</v>
      </c>
      <c r="O95">
        <v>61</v>
      </c>
      <c r="P95">
        <v>64</v>
      </c>
    </row>
    <row r="96" spans="1:16">
      <c r="A96">
        <v>705</v>
      </c>
      <c r="B96" s="2">
        <v>40575</v>
      </c>
      <c r="C96">
        <v>1</v>
      </c>
      <c r="D96">
        <v>0</v>
      </c>
      <c r="E96">
        <v>2</v>
      </c>
      <c r="F96">
        <v>17</v>
      </c>
      <c r="G96" t="b">
        <v>0</v>
      </c>
      <c r="H96">
        <v>2</v>
      </c>
      <c r="I96">
        <v>2</v>
      </c>
      <c r="J96">
        <v>0.24</v>
      </c>
      <c r="K96">
        <v>0.28789999999999999</v>
      </c>
      <c r="L96">
        <v>0.75</v>
      </c>
      <c r="M96">
        <v>0</v>
      </c>
      <c r="N96">
        <v>4</v>
      </c>
      <c r="O96">
        <v>172</v>
      </c>
      <c r="P96">
        <v>176</v>
      </c>
    </row>
    <row r="97" spans="1:16">
      <c r="A97">
        <v>706</v>
      </c>
      <c r="B97" s="2">
        <v>40575</v>
      </c>
      <c r="C97">
        <v>1</v>
      </c>
      <c r="D97">
        <v>0</v>
      </c>
      <c r="E97">
        <v>2</v>
      </c>
      <c r="F97">
        <v>18</v>
      </c>
      <c r="G97" t="b">
        <v>0</v>
      </c>
      <c r="H97">
        <v>2</v>
      </c>
      <c r="I97">
        <v>2</v>
      </c>
      <c r="J97">
        <v>0.24</v>
      </c>
      <c r="K97">
        <v>0.2576</v>
      </c>
      <c r="L97">
        <v>0.81</v>
      </c>
      <c r="M97">
        <v>0.1045</v>
      </c>
      <c r="N97">
        <v>3</v>
      </c>
      <c r="O97">
        <v>165</v>
      </c>
      <c r="P97">
        <v>168</v>
      </c>
    </row>
    <row r="98" spans="1:16">
      <c r="A98">
        <v>707</v>
      </c>
      <c r="B98" s="2">
        <v>40575</v>
      </c>
      <c r="C98">
        <v>1</v>
      </c>
      <c r="D98">
        <v>0</v>
      </c>
      <c r="E98">
        <v>2</v>
      </c>
      <c r="F98">
        <v>19</v>
      </c>
      <c r="G98" t="b">
        <v>0</v>
      </c>
      <c r="H98">
        <v>2</v>
      </c>
      <c r="I98">
        <v>2</v>
      </c>
      <c r="J98">
        <v>0.24</v>
      </c>
      <c r="K98">
        <v>0.2424</v>
      </c>
      <c r="L98">
        <v>0.81</v>
      </c>
      <c r="M98">
        <v>0.1343</v>
      </c>
      <c r="N98">
        <v>3</v>
      </c>
      <c r="O98">
        <v>105</v>
      </c>
      <c r="P98">
        <v>108</v>
      </c>
    </row>
    <row r="99" spans="1:16">
      <c r="A99">
        <v>708</v>
      </c>
      <c r="B99" s="2">
        <v>40575</v>
      </c>
      <c r="C99">
        <v>1</v>
      </c>
      <c r="D99">
        <v>0</v>
      </c>
      <c r="E99">
        <v>2</v>
      </c>
      <c r="F99">
        <v>20</v>
      </c>
      <c r="G99" t="b">
        <v>0</v>
      </c>
      <c r="H99">
        <v>2</v>
      </c>
      <c r="I99">
        <v>2</v>
      </c>
      <c r="J99">
        <v>0.22</v>
      </c>
      <c r="K99">
        <v>0.2273</v>
      </c>
      <c r="L99">
        <v>0.87</v>
      </c>
      <c r="M99">
        <v>0.1343</v>
      </c>
      <c r="N99">
        <v>5</v>
      </c>
      <c r="O99">
        <v>69</v>
      </c>
      <c r="P99">
        <v>74</v>
      </c>
    </row>
    <row r="100" spans="1:16">
      <c r="A100">
        <v>709</v>
      </c>
      <c r="B100" s="2">
        <v>40575</v>
      </c>
      <c r="C100">
        <v>1</v>
      </c>
      <c r="D100">
        <v>0</v>
      </c>
      <c r="E100">
        <v>2</v>
      </c>
      <c r="F100">
        <v>21</v>
      </c>
      <c r="G100" t="b">
        <v>0</v>
      </c>
      <c r="H100">
        <v>2</v>
      </c>
      <c r="I100">
        <v>2</v>
      </c>
      <c r="J100">
        <v>0.22</v>
      </c>
      <c r="K100">
        <v>0.2273</v>
      </c>
      <c r="L100">
        <v>0.87</v>
      </c>
      <c r="M100">
        <v>0.1343</v>
      </c>
      <c r="N100">
        <v>0</v>
      </c>
      <c r="O100">
        <v>64</v>
      </c>
      <c r="P100">
        <v>64</v>
      </c>
    </row>
    <row r="101" spans="1:16">
      <c r="A101">
        <v>710</v>
      </c>
      <c r="B101" s="2">
        <v>40575</v>
      </c>
      <c r="C101">
        <v>1</v>
      </c>
      <c r="D101">
        <v>0</v>
      </c>
      <c r="E101">
        <v>2</v>
      </c>
      <c r="F101">
        <v>22</v>
      </c>
      <c r="G101" t="b">
        <v>0</v>
      </c>
      <c r="H101">
        <v>2</v>
      </c>
      <c r="I101">
        <v>2</v>
      </c>
      <c r="J101">
        <v>0.22</v>
      </c>
      <c r="K101">
        <v>0.2576</v>
      </c>
      <c r="L101">
        <v>0.87</v>
      </c>
      <c r="M101">
        <v>8.9599999999999999E-2</v>
      </c>
      <c r="N101">
        <v>2</v>
      </c>
      <c r="O101">
        <v>34</v>
      </c>
      <c r="P101">
        <v>36</v>
      </c>
    </row>
    <row r="102" spans="1:16">
      <c r="A102">
        <v>711</v>
      </c>
      <c r="B102" s="2">
        <v>40575</v>
      </c>
      <c r="C102">
        <v>1</v>
      </c>
      <c r="D102">
        <v>0</v>
      </c>
      <c r="E102">
        <v>2</v>
      </c>
      <c r="F102">
        <v>23</v>
      </c>
      <c r="G102" t="b">
        <v>0</v>
      </c>
      <c r="H102">
        <v>2</v>
      </c>
      <c r="I102">
        <v>3</v>
      </c>
      <c r="J102">
        <v>0.2</v>
      </c>
      <c r="K102">
        <v>0.19700000000000001</v>
      </c>
      <c r="L102">
        <v>0.93</v>
      </c>
      <c r="M102">
        <v>0.19400000000000001</v>
      </c>
      <c r="N102">
        <v>1</v>
      </c>
      <c r="O102">
        <v>15</v>
      </c>
      <c r="P102">
        <v>16</v>
      </c>
    </row>
    <row r="103" spans="1:16">
      <c r="A103">
        <v>712</v>
      </c>
      <c r="B103" s="2">
        <v>40576</v>
      </c>
      <c r="C103">
        <v>1</v>
      </c>
      <c r="D103">
        <v>0</v>
      </c>
      <c r="E103">
        <v>2</v>
      </c>
      <c r="F103">
        <v>0</v>
      </c>
      <c r="G103" t="b">
        <v>0</v>
      </c>
      <c r="H103">
        <v>3</v>
      </c>
      <c r="I103">
        <v>3</v>
      </c>
      <c r="J103">
        <v>0.22</v>
      </c>
      <c r="K103">
        <v>0.2424</v>
      </c>
      <c r="L103">
        <v>0.93</v>
      </c>
      <c r="M103">
        <v>0.1045</v>
      </c>
      <c r="N103">
        <v>0</v>
      </c>
      <c r="O103">
        <v>2</v>
      </c>
      <c r="P103">
        <v>2</v>
      </c>
    </row>
    <row r="104" spans="1:16">
      <c r="A104">
        <v>713</v>
      </c>
      <c r="B104" s="2">
        <v>40576</v>
      </c>
      <c r="C104">
        <v>1</v>
      </c>
      <c r="D104">
        <v>0</v>
      </c>
      <c r="E104">
        <v>2</v>
      </c>
      <c r="F104">
        <v>1</v>
      </c>
      <c r="G104" t="b">
        <v>0</v>
      </c>
      <c r="H104">
        <v>3</v>
      </c>
      <c r="I104">
        <v>3</v>
      </c>
      <c r="J104">
        <v>0.22</v>
      </c>
      <c r="K104">
        <v>0.2273</v>
      </c>
      <c r="L104">
        <v>0.93</v>
      </c>
      <c r="M104">
        <v>0.19400000000000001</v>
      </c>
      <c r="N104">
        <v>0</v>
      </c>
      <c r="O104">
        <v>3</v>
      </c>
      <c r="P104">
        <v>3</v>
      </c>
    </row>
    <row r="105" spans="1:16">
      <c r="A105">
        <v>714</v>
      </c>
      <c r="B105" s="2">
        <v>40576</v>
      </c>
      <c r="C105">
        <v>1</v>
      </c>
      <c r="D105">
        <v>0</v>
      </c>
      <c r="E105">
        <v>2</v>
      </c>
      <c r="F105">
        <v>2</v>
      </c>
      <c r="G105" t="b">
        <v>0</v>
      </c>
      <c r="H105">
        <v>3</v>
      </c>
      <c r="I105">
        <v>3</v>
      </c>
      <c r="J105">
        <v>0.22</v>
      </c>
      <c r="K105">
        <v>0.2273</v>
      </c>
      <c r="L105">
        <v>0.93</v>
      </c>
      <c r="M105">
        <v>0.1343</v>
      </c>
      <c r="N105">
        <v>4</v>
      </c>
      <c r="O105">
        <v>0</v>
      </c>
      <c r="P105">
        <v>4</v>
      </c>
    </row>
    <row r="106" spans="1:16">
      <c r="A106">
        <v>715</v>
      </c>
      <c r="B106" s="2">
        <v>40576</v>
      </c>
      <c r="C106">
        <v>1</v>
      </c>
      <c r="D106">
        <v>0</v>
      </c>
      <c r="E106">
        <v>2</v>
      </c>
      <c r="F106">
        <v>3</v>
      </c>
      <c r="G106" t="b">
        <v>0</v>
      </c>
      <c r="H106">
        <v>3</v>
      </c>
      <c r="I106">
        <v>3</v>
      </c>
      <c r="J106">
        <v>0.22</v>
      </c>
      <c r="K106">
        <v>0.2273</v>
      </c>
      <c r="L106">
        <v>0.93</v>
      </c>
      <c r="M106">
        <v>0.1343</v>
      </c>
      <c r="N106">
        <v>0</v>
      </c>
      <c r="O106">
        <v>1</v>
      </c>
      <c r="P106">
        <v>1</v>
      </c>
    </row>
    <row r="107" spans="1:16">
      <c r="A107">
        <v>716</v>
      </c>
      <c r="B107" s="2">
        <v>40576</v>
      </c>
      <c r="C107">
        <v>1</v>
      </c>
      <c r="D107">
        <v>0</v>
      </c>
      <c r="E107">
        <v>2</v>
      </c>
      <c r="F107">
        <v>4</v>
      </c>
      <c r="G107" t="b">
        <v>0</v>
      </c>
      <c r="H107">
        <v>3</v>
      </c>
      <c r="I107">
        <v>3</v>
      </c>
      <c r="J107">
        <v>0.22</v>
      </c>
      <c r="K107">
        <v>0.21210000000000001</v>
      </c>
      <c r="L107">
        <v>0.93</v>
      </c>
      <c r="M107">
        <v>0.28360000000000002</v>
      </c>
      <c r="N107">
        <v>0</v>
      </c>
      <c r="O107">
        <v>1</v>
      </c>
      <c r="P107">
        <v>1</v>
      </c>
    </row>
    <row r="108" spans="1:16">
      <c r="A108">
        <v>717</v>
      </c>
      <c r="B108" s="2">
        <v>40576</v>
      </c>
      <c r="C108">
        <v>1</v>
      </c>
      <c r="D108">
        <v>0</v>
      </c>
      <c r="E108">
        <v>2</v>
      </c>
      <c r="F108">
        <v>5</v>
      </c>
      <c r="G108" t="b">
        <v>0</v>
      </c>
      <c r="H108">
        <v>3</v>
      </c>
      <c r="I108">
        <v>3</v>
      </c>
      <c r="J108">
        <v>0.22</v>
      </c>
      <c r="K108">
        <v>0.2424</v>
      </c>
      <c r="L108">
        <v>0.93</v>
      </c>
      <c r="M108">
        <v>0.1045</v>
      </c>
      <c r="N108">
        <v>0</v>
      </c>
      <c r="O108">
        <v>3</v>
      </c>
      <c r="P108">
        <v>3</v>
      </c>
    </row>
    <row r="109" spans="1:16">
      <c r="A109">
        <v>718</v>
      </c>
      <c r="B109" s="2">
        <v>40576</v>
      </c>
      <c r="C109">
        <v>1</v>
      </c>
      <c r="D109">
        <v>0</v>
      </c>
      <c r="E109">
        <v>2</v>
      </c>
      <c r="F109">
        <v>6</v>
      </c>
      <c r="G109" t="b">
        <v>0</v>
      </c>
      <c r="H109">
        <v>3</v>
      </c>
      <c r="I109">
        <v>3</v>
      </c>
      <c r="J109">
        <v>0.22</v>
      </c>
      <c r="K109">
        <v>0.2424</v>
      </c>
      <c r="L109">
        <v>0.93</v>
      </c>
      <c r="M109">
        <v>0.1045</v>
      </c>
      <c r="N109">
        <v>1</v>
      </c>
      <c r="O109">
        <v>17</v>
      </c>
      <c r="P109">
        <v>18</v>
      </c>
    </row>
    <row r="110" spans="1:16">
      <c r="A110">
        <v>719</v>
      </c>
      <c r="B110" s="2">
        <v>40576</v>
      </c>
      <c r="C110">
        <v>1</v>
      </c>
      <c r="D110">
        <v>0</v>
      </c>
      <c r="E110">
        <v>2</v>
      </c>
      <c r="F110">
        <v>7</v>
      </c>
      <c r="G110" t="b">
        <v>0</v>
      </c>
      <c r="H110">
        <v>3</v>
      </c>
      <c r="I110">
        <v>3</v>
      </c>
      <c r="J110">
        <v>0.22</v>
      </c>
      <c r="K110">
        <v>0.21210000000000001</v>
      </c>
      <c r="L110">
        <v>0.93</v>
      </c>
      <c r="M110">
        <v>0.22389999999999999</v>
      </c>
      <c r="N110">
        <v>1</v>
      </c>
      <c r="O110">
        <v>48</v>
      </c>
      <c r="P110">
        <v>49</v>
      </c>
    </row>
    <row r="111" spans="1:16">
      <c r="A111">
        <v>720</v>
      </c>
      <c r="B111" s="2">
        <v>40576</v>
      </c>
      <c r="C111">
        <v>1</v>
      </c>
      <c r="D111">
        <v>0</v>
      </c>
      <c r="E111">
        <v>2</v>
      </c>
      <c r="F111">
        <v>8</v>
      </c>
      <c r="G111" t="b">
        <v>0</v>
      </c>
      <c r="H111">
        <v>3</v>
      </c>
      <c r="I111">
        <v>3</v>
      </c>
      <c r="J111">
        <v>0.22</v>
      </c>
      <c r="K111">
        <v>0.21210000000000001</v>
      </c>
      <c r="L111">
        <v>0.93</v>
      </c>
      <c r="M111">
        <v>0.22389999999999999</v>
      </c>
      <c r="N111">
        <v>1</v>
      </c>
      <c r="O111">
        <v>154</v>
      </c>
      <c r="P111">
        <v>155</v>
      </c>
    </row>
    <row r="112" spans="1:16">
      <c r="A112">
        <v>721</v>
      </c>
      <c r="B112" s="2">
        <v>40576</v>
      </c>
      <c r="C112">
        <v>1</v>
      </c>
      <c r="D112">
        <v>0</v>
      </c>
      <c r="E112">
        <v>2</v>
      </c>
      <c r="F112">
        <v>9</v>
      </c>
      <c r="G112" t="b">
        <v>0</v>
      </c>
      <c r="H112">
        <v>3</v>
      </c>
      <c r="I112">
        <v>2</v>
      </c>
      <c r="J112">
        <v>0.24</v>
      </c>
      <c r="K112">
        <v>0.2576</v>
      </c>
      <c r="L112">
        <v>0.93</v>
      </c>
      <c r="M112">
        <v>8.9599999999999999E-2</v>
      </c>
      <c r="N112">
        <v>4</v>
      </c>
      <c r="O112">
        <v>119</v>
      </c>
      <c r="P112">
        <v>123</v>
      </c>
    </row>
    <row r="113" spans="1:16">
      <c r="A113">
        <v>722</v>
      </c>
      <c r="B113" s="2">
        <v>40576</v>
      </c>
      <c r="C113">
        <v>1</v>
      </c>
      <c r="D113">
        <v>0</v>
      </c>
      <c r="E113">
        <v>2</v>
      </c>
      <c r="F113">
        <v>10</v>
      </c>
      <c r="G113" t="b">
        <v>0</v>
      </c>
      <c r="H113">
        <v>3</v>
      </c>
      <c r="I113">
        <v>2</v>
      </c>
      <c r="J113">
        <v>0.22</v>
      </c>
      <c r="K113">
        <v>0.2727</v>
      </c>
      <c r="L113">
        <v>1</v>
      </c>
      <c r="M113">
        <v>0</v>
      </c>
      <c r="N113">
        <v>2</v>
      </c>
      <c r="O113">
        <v>59</v>
      </c>
      <c r="P113">
        <v>61</v>
      </c>
    </row>
    <row r="114" spans="1:16">
      <c r="A114">
        <v>723</v>
      </c>
      <c r="B114" s="2">
        <v>40576</v>
      </c>
      <c r="C114">
        <v>1</v>
      </c>
      <c r="D114">
        <v>0</v>
      </c>
      <c r="E114">
        <v>2</v>
      </c>
      <c r="F114">
        <v>11</v>
      </c>
      <c r="G114" t="b">
        <v>0</v>
      </c>
      <c r="H114">
        <v>3</v>
      </c>
      <c r="I114">
        <v>2</v>
      </c>
      <c r="J114">
        <v>0.24</v>
      </c>
      <c r="K114">
        <v>0.2273</v>
      </c>
      <c r="L114">
        <v>0.93</v>
      </c>
      <c r="M114">
        <v>0.19400000000000001</v>
      </c>
      <c r="N114">
        <v>5</v>
      </c>
      <c r="O114">
        <v>47</v>
      </c>
      <c r="P114">
        <v>52</v>
      </c>
    </row>
    <row r="115" spans="1:16">
      <c r="A115">
        <v>724</v>
      </c>
      <c r="B115" s="2">
        <v>40576</v>
      </c>
      <c r="C115">
        <v>1</v>
      </c>
      <c r="D115">
        <v>0</v>
      </c>
      <c r="E115">
        <v>2</v>
      </c>
      <c r="F115">
        <v>12</v>
      </c>
      <c r="G115" t="b">
        <v>0</v>
      </c>
      <c r="H115">
        <v>3</v>
      </c>
      <c r="I115">
        <v>2</v>
      </c>
      <c r="J115">
        <v>0.24</v>
      </c>
      <c r="K115">
        <v>0.2273</v>
      </c>
      <c r="L115">
        <v>0.93</v>
      </c>
      <c r="M115">
        <v>0.22389999999999999</v>
      </c>
      <c r="N115">
        <v>3</v>
      </c>
      <c r="O115">
        <v>61</v>
      </c>
      <c r="P115">
        <v>64</v>
      </c>
    </row>
    <row r="116" spans="1:16">
      <c r="A116">
        <v>725</v>
      </c>
      <c r="B116" s="2">
        <v>40576</v>
      </c>
      <c r="C116">
        <v>1</v>
      </c>
      <c r="D116">
        <v>0</v>
      </c>
      <c r="E116">
        <v>2</v>
      </c>
      <c r="F116">
        <v>13</v>
      </c>
      <c r="G116" t="b">
        <v>0</v>
      </c>
      <c r="H116">
        <v>3</v>
      </c>
      <c r="I116">
        <v>1</v>
      </c>
      <c r="J116">
        <v>0.34</v>
      </c>
      <c r="K116">
        <v>0.33329999999999999</v>
      </c>
      <c r="L116">
        <v>0.93</v>
      </c>
      <c r="M116">
        <v>0.16420000000000001</v>
      </c>
      <c r="N116">
        <v>1</v>
      </c>
      <c r="O116">
        <v>74</v>
      </c>
      <c r="P116">
        <v>75</v>
      </c>
    </row>
    <row r="117" spans="1:16">
      <c r="A117">
        <v>726</v>
      </c>
      <c r="B117" s="2">
        <v>40576</v>
      </c>
      <c r="C117">
        <v>1</v>
      </c>
      <c r="D117">
        <v>0</v>
      </c>
      <c r="E117">
        <v>2</v>
      </c>
      <c r="F117">
        <v>14</v>
      </c>
      <c r="G117" t="b">
        <v>0</v>
      </c>
      <c r="H117">
        <v>3</v>
      </c>
      <c r="I117">
        <v>1</v>
      </c>
      <c r="J117">
        <v>0.38</v>
      </c>
      <c r="K117">
        <v>0.39389999999999997</v>
      </c>
      <c r="L117">
        <v>0.82</v>
      </c>
      <c r="M117">
        <v>0.3881</v>
      </c>
      <c r="N117">
        <v>2</v>
      </c>
      <c r="O117">
        <v>61</v>
      </c>
      <c r="P117">
        <v>63</v>
      </c>
    </row>
    <row r="118" spans="1:16">
      <c r="A118">
        <v>727</v>
      </c>
      <c r="B118" s="2">
        <v>40576</v>
      </c>
      <c r="C118">
        <v>1</v>
      </c>
      <c r="D118">
        <v>0</v>
      </c>
      <c r="E118">
        <v>2</v>
      </c>
      <c r="F118">
        <v>15</v>
      </c>
      <c r="G118" t="b">
        <v>0</v>
      </c>
      <c r="H118">
        <v>3</v>
      </c>
      <c r="I118">
        <v>1</v>
      </c>
      <c r="J118">
        <v>0.38</v>
      </c>
      <c r="K118">
        <v>0.39389999999999997</v>
      </c>
      <c r="L118">
        <v>0.76</v>
      </c>
      <c r="M118">
        <v>0.32840000000000003</v>
      </c>
      <c r="N118">
        <v>10</v>
      </c>
      <c r="O118">
        <v>66</v>
      </c>
      <c r="P118">
        <v>76</v>
      </c>
    </row>
    <row r="119" spans="1:16">
      <c r="A119">
        <v>728</v>
      </c>
      <c r="B119" s="2">
        <v>40576</v>
      </c>
      <c r="C119">
        <v>1</v>
      </c>
      <c r="D119">
        <v>0</v>
      </c>
      <c r="E119">
        <v>2</v>
      </c>
      <c r="F119">
        <v>16</v>
      </c>
      <c r="G119" t="b">
        <v>0</v>
      </c>
      <c r="H119">
        <v>3</v>
      </c>
      <c r="I119">
        <v>1</v>
      </c>
      <c r="J119">
        <v>0.36</v>
      </c>
      <c r="K119">
        <v>0.33329999999999999</v>
      </c>
      <c r="L119">
        <v>0.71</v>
      </c>
      <c r="M119">
        <v>0.29849999999999999</v>
      </c>
      <c r="N119">
        <v>8</v>
      </c>
      <c r="O119">
        <v>95</v>
      </c>
      <c r="P119">
        <v>103</v>
      </c>
    </row>
    <row r="120" spans="1:16">
      <c r="A120">
        <v>729</v>
      </c>
      <c r="B120" s="2">
        <v>40576</v>
      </c>
      <c r="C120">
        <v>1</v>
      </c>
      <c r="D120">
        <v>0</v>
      </c>
      <c r="E120">
        <v>2</v>
      </c>
      <c r="F120">
        <v>17</v>
      </c>
      <c r="G120" t="b">
        <v>0</v>
      </c>
      <c r="H120">
        <v>3</v>
      </c>
      <c r="I120">
        <v>1</v>
      </c>
      <c r="J120">
        <v>0.36</v>
      </c>
      <c r="K120">
        <v>0.31819999999999998</v>
      </c>
      <c r="L120">
        <v>0.53</v>
      </c>
      <c r="M120">
        <v>0.52239999999999998</v>
      </c>
      <c r="N120">
        <v>7</v>
      </c>
      <c r="O120">
        <v>183</v>
      </c>
      <c r="P120">
        <v>190</v>
      </c>
    </row>
    <row r="121" spans="1:16">
      <c r="A121">
        <v>730</v>
      </c>
      <c r="B121" s="2">
        <v>40576</v>
      </c>
      <c r="C121">
        <v>1</v>
      </c>
      <c r="D121">
        <v>0</v>
      </c>
      <c r="E121">
        <v>2</v>
      </c>
      <c r="F121">
        <v>18</v>
      </c>
      <c r="G121" t="b">
        <v>0</v>
      </c>
      <c r="H121">
        <v>3</v>
      </c>
      <c r="I121">
        <v>1</v>
      </c>
      <c r="J121">
        <v>0.34</v>
      </c>
      <c r="K121">
        <v>0.28789999999999999</v>
      </c>
      <c r="L121">
        <v>0.42</v>
      </c>
      <c r="M121">
        <v>0.55220000000000002</v>
      </c>
      <c r="N121">
        <v>7</v>
      </c>
      <c r="O121">
        <v>175</v>
      </c>
      <c r="P121">
        <v>182</v>
      </c>
    </row>
    <row r="122" spans="1:16">
      <c r="A122">
        <v>731</v>
      </c>
      <c r="B122" s="2">
        <v>40576</v>
      </c>
      <c r="C122">
        <v>1</v>
      </c>
      <c r="D122">
        <v>0</v>
      </c>
      <c r="E122">
        <v>2</v>
      </c>
      <c r="F122">
        <v>19</v>
      </c>
      <c r="G122" t="b">
        <v>0</v>
      </c>
      <c r="H122">
        <v>3</v>
      </c>
      <c r="I122">
        <v>1</v>
      </c>
      <c r="J122">
        <v>0.28000000000000003</v>
      </c>
      <c r="K122">
        <v>0.2424</v>
      </c>
      <c r="L122">
        <v>0.45</v>
      </c>
      <c r="M122">
        <v>0.49249999999999999</v>
      </c>
      <c r="N122">
        <v>3</v>
      </c>
      <c r="O122">
        <v>88</v>
      </c>
      <c r="P122">
        <v>91</v>
      </c>
    </row>
    <row r="123" spans="1:16">
      <c r="A123">
        <v>732</v>
      </c>
      <c r="B123" s="2">
        <v>40576</v>
      </c>
      <c r="C123">
        <v>1</v>
      </c>
      <c r="D123">
        <v>0</v>
      </c>
      <c r="E123">
        <v>2</v>
      </c>
      <c r="F123">
        <v>20</v>
      </c>
      <c r="G123" t="b">
        <v>0</v>
      </c>
      <c r="H123">
        <v>3</v>
      </c>
      <c r="I123">
        <v>1</v>
      </c>
      <c r="J123">
        <v>0.24</v>
      </c>
      <c r="K123">
        <v>0.19700000000000001</v>
      </c>
      <c r="L123">
        <v>0.48</v>
      </c>
      <c r="M123">
        <v>0.55220000000000002</v>
      </c>
      <c r="N123">
        <v>4</v>
      </c>
      <c r="O123">
        <v>71</v>
      </c>
      <c r="P123">
        <v>75</v>
      </c>
    </row>
    <row r="124" spans="1:16">
      <c r="A124">
        <v>733</v>
      </c>
      <c r="B124" s="2">
        <v>40576</v>
      </c>
      <c r="C124">
        <v>1</v>
      </c>
      <c r="D124">
        <v>0</v>
      </c>
      <c r="E124">
        <v>2</v>
      </c>
      <c r="F124">
        <v>21</v>
      </c>
      <c r="G124" t="b">
        <v>0</v>
      </c>
      <c r="H124">
        <v>3</v>
      </c>
      <c r="I124">
        <v>1</v>
      </c>
      <c r="J124">
        <v>0.22</v>
      </c>
      <c r="K124">
        <v>0.19700000000000001</v>
      </c>
      <c r="L124">
        <v>0.47</v>
      </c>
      <c r="M124">
        <v>0.32840000000000003</v>
      </c>
      <c r="N124">
        <v>1</v>
      </c>
      <c r="O124">
        <v>62</v>
      </c>
      <c r="P124">
        <v>63</v>
      </c>
    </row>
    <row r="125" spans="1:16">
      <c r="A125">
        <v>734</v>
      </c>
      <c r="B125" s="2">
        <v>40576</v>
      </c>
      <c r="C125">
        <v>1</v>
      </c>
      <c r="D125">
        <v>0</v>
      </c>
      <c r="E125">
        <v>2</v>
      </c>
      <c r="F125">
        <v>22</v>
      </c>
      <c r="G125" t="b">
        <v>0</v>
      </c>
      <c r="H125">
        <v>3</v>
      </c>
      <c r="I125">
        <v>1</v>
      </c>
      <c r="J125">
        <v>0.22</v>
      </c>
      <c r="K125">
        <v>0.21210000000000001</v>
      </c>
      <c r="L125">
        <v>0.44</v>
      </c>
      <c r="M125">
        <v>0.25369999999999998</v>
      </c>
      <c r="N125">
        <v>5</v>
      </c>
      <c r="O125">
        <v>35</v>
      </c>
      <c r="P125">
        <v>40</v>
      </c>
    </row>
    <row r="126" spans="1:16">
      <c r="A126">
        <v>735</v>
      </c>
      <c r="B126" s="2">
        <v>40576</v>
      </c>
      <c r="C126">
        <v>1</v>
      </c>
      <c r="D126">
        <v>0</v>
      </c>
      <c r="E126">
        <v>2</v>
      </c>
      <c r="F126">
        <v>23</v>
      </c>
      <c r="G126" t="b">
        <v>0</v>
      </c>
      <c r="H126">
        <v>3</v>
      </c>
      <c r="I126">
        <v>1</v>
      </c>
      <c r="J126">
        <v>0.2</v>
      </c>
      <c r="K126">
        <v>0.16669999999999999</v>
      </c>
      <c r="L126">
        <v>0.44</v>
      </c>
      <c r="M126">
        <v>0.44779999999999998</v>
      </c>
      <c r="N126">
        <v>3</v>
      </c>
      <c r="O126">
        <v>29</v>
      </c>
      <c r="P126">
        <v>32</v>
      </c>
    </row>
    <row r="127" spans="1:16">
      <c r="A127">
        <v>736</v>
      </c>
      <c r="B127" s="2">
        <v>40577</v>
      </c>
      <c r="C127">
        <v>1</v>
      </c>
      <c r="D127">
        <v>0</v>
      </c>
      <c r="E127">
        <v>2</v>
      </c>
      <c r="F127">
        <v>0</v>
      </c>
      <c r="G127" t="b">
        <v>0</v>
      </c>
      <c r="H127">
        <v>4</v>
      </c>
      <c r="I127">
        <v>1</v>
      </c>
      <c r="J127">
        <v>0.2</v>
      </c>
      <c r="K127">
        <v>0.16669999999999999</v>
      </c>
      <c r="L127">
        <v>0.4</v>
      </c>
      <c r="M127">
        <v>0.44779999999999998</v>
      </c>
      <c r="N127">
        <v>1</v>
      </c>
      <c r="O127">
        <v>11</v>
      </c>
      <c r="P127">
        <v>12</v>
      </c>
    </row>
    <row r="128" spans="1:16">
      <c r="A128">
        <v>737</v>
      </c>
      <c r="B128" s="2">
        <v>40577</v>
      </c>
      <c r="C128">
        <v>1</v>
      </c>
      <c r="D128">
        <v>0</v>
      </c>
      <c r="E128">
        <v>2</v>
      </c>
      <c r="F128">
        <v>1</v>
      </c>
      <c r="G128" t="b">
        <v>0</v>
      </c>
      <c r="H128">
        <v>4</v>
      </c>
      <c r="I128">
        <v>1</v>
      </c>
      <c r="J128">
        <v>0.2</v>
      </c>
      <c r="K128">
        <v>0.1515</v>
      </c>
      <c r="L128">
        <v>0.44</v>
      </c>
      <c r="M128">
        <v>0.52239999999999998</v>
      </c>
      <c r="N128">
        <v>0</v>
      </c>
      <c r="O128">
        <v>5</v>
      </c>
      <c r="P128">
        <v>5</v>
      </c>
    </row>
    <row r="129" spans="1:16">
      <c r="A129">
        <v>738</v>
      </c>
      <c r="B129" s="2">
        <v>40577</v>
      </c>
      <c r="C129">
        <v>1</v>
      </c>
      <c r="D129">
        <v>0</v>
      </c>
      <c r="E129">
        <v>2</v>
      </c>
      <c r="F129">
        <v>2</v>
      </c>
      <c r="G129" t="b">
        <v>0</v>
      </c>
      <c r="H129">
        <v>4</v>
      </c>
      <c r="I129">
        <v>1</v>
      </c>
      <c r="J129">
        <v>0.18</v>
      </c>
      <c r="K129">
        <v>0.16669999999999999</v>
      </c>
      <c r="L129">
        <v>0.43</v>
      </c>
      <c r="M129">
        <v>0.25369999999999998</v>
      </c>
      <c r="N129">
        <v>0</v>
      </c>
      <c r="O129">
        <v>2</v>
      </c>
      <c r="P129">
        <v>2</v>
      </c>
    </row>
    <row r="130" spans="1:16">
      <c r="A130">
        <v>739</v>
      </c>
      <c r="B130" s="2">
        <v>40577</v>
      </c>
      <c r="C130">
        <v>1</v>
      </c>
      <c r="D130">
        <v>0</v>
      </c>
      <c r="E130">
        <v>2</v>
      </c>
      <c r="F130">
        <v>3</v>
      </c>
      <c r="G130" t="b">
        <v>0</v>
      </c>
      <c r="H130">
        <v>4</v>
      </c>
      <c r="I130">
        <v>1</v>
      </c>
      <c r="J130">
        <v>0.18</v>
      </c>
      <c r="K130">
        <v>0.16669999999999999</v>
      </c>
      <c r="L130">
        <v>0.43</v>
      </c>
      <c r="M130">
        <v>0.25369999999999998</v>
      </c>
      <c r="N130">
        <v>0</v>
      </c>
      <c r="O130">
        <v>1</v>
      </c>
      <c r="P130">
        <v>1</v>
      </c>
    </row>
    <row r="131" spans="1:16">
      <c r="A131">
        <v>740</v>
      </c>
      <c r="B131" s="2">
        <v>40577</v>
      </c>
      <c r="C131">
        <v>1</v>
      </c>
      <c r="D131">
        <v>0</v>
      </c>
      <c r="E131">
        <v>2</v>
      </c>
      <c r="F131">
        <v>5</v>
      </c>
      <c r="G131" t="b">
        <v>0</v>
      </c>
      <c r="H131">
        <v>4</v>
      </c>
      <c r="I131">
        <v>1</v>
      </c>
      <c r="J131">
        <v>0.16</v>
      </c>
      <c r="K131">
        <v>0.13639999999999999</v>
      </c>
      <c r="L131">
        <v>0.5</v>
      </c>
      <c r="M131">
        <v>0.29849999999999999</v>
      </c>
      <c r="N131">
        <v>0</v>
      </c>
      <c r="O131">
        <v>2</v>
      </c>
      <c r="P131">
        <v>2</v>
      </c>
    </row>
    <row r="132" spans="1:16">
      <c r="A132">
        <v>741</v>
      </c>
      <c r="B132" s="2">
        <v>40577</v>
      </c>
      <c r="C132">
        <v>1</v>
      </c>
      <c r="D132">
        <v>0</v>
      </c>
      <c r="E132">
        <v>2</v>
      </c>
      <c r="F132">
        <v>6</v>
      </c>
      <c r="G132" t="b">
        <v>0</v>
      </c>
      <c r="H132">
        <v>4</v>
      </c>
      <c r="I132">
        <v>1</v>
      </c>
      <c r="J132">
        <v>0.16</v>
      </c>
      <c r="K132">
        <v>0.13639999999999999</v>
      </c>
      <c r="L132">
        <v>0.43</v>
      </c>
      <c r="M132">
        <v>0.35820000000000002</v>
      </c>
      <c r="N132">
        <v>0</v>
      </c>
      <c r="O132">
        <v>39</v>
      </c>
      <c r="P132">
        <v>39</v>
      </c>
    </row>
    <row r="133" spans="1:16">
      <c r="A133">
        <v>742</v>
      </c>
      <c r="B133" s="2">
        <v>40577</v>
      </c>
      <c r="C133">
        <v>1</v>
      </c>
      <c r="D133">
        <v>0</v>
      </c>
      <c r="E133">
        <v>2</v>
      </c>
      <c r="F133">
        <v>7</v>
      </c>
      <c r="G133" t="b">
        <v>0</v>
      </c>
      <c r="H133">
        <v>4</v>
      </c>
      <c r="I133">
        <v>1</v>
      </c>
      <c r="J133">
        <v>0.14000000000000001</v>
      </c>
      <c r="K133">
        <v>0.1212</v>
      </c>
      <c r="L133">
        <v>0.5</v>
      </c>
      <c r="M133">
        <v>0.32840000000000003</v>
      </c>
      <c r="N133">
        <v>1</v>
      </c>
      <c r="O133">
        <v>86</v>
      </c>
      <c r="P133">
        <v>87</v>
      </c>
    </row>
    <row r="134" spans="1:16">
      <c r="A134">
        <v>743</v>
      </c>
      <c r="B134" s="2">
        <v>40577</v>
      </c>
      <c r="C134">
        <v>1</v>
      </c>
      <c r="D134">
        <v>0</v>
      </c>
      <c r="E134">
        <v>2</v>
      </c>
      <c r="F134">
        <v>8</v>
      </c>
      <c r="G134" t="b">
        <v>0</v>
      </c>
      <c r="H134">
        <v>4</v>
      </c>
      <c r="I134">
        <v>1</v>
      </c>
      <c r="J134">
        <v>0.14000000000000001</v>
      </c>
      <c r="K134">
        <v>0.1212</v>
      </c>
      <c r="L134">
        <v>0.5</v>
      </c>
      <c r="M134">
        <v>0.35820000000000002</v>
      </c>
      <c r="N134">
        <v>4</v>
      </c>
      <c r="O134">
        <v>184</v>
      </c>
      <c r="P134">
        <v>188</v>
      </c>
    </row>
    <row r="135" spans="1:16">
      <c r="A135">
        <v>744</v>
      </c>
      <c r="B135" s="2">
        <v>40577</v>
      </c>
      <c r="C135">
        <v>1</v>
      </c>
      <c r="D135">
        <v>0</v>
      </c>
      <c r="E135">
        <v>2</v>
      </c>
      <c r="F135">
        <v>9</v>
      </c>
      <c r="G135" t="b">
        <v>0</v>
      </c>
      <c r="H135">
        <v>4</v>
      </c>
      <c r="I135">
        <v>1</v>
      </c>
      <c r="J135">
        <v>0.16</v>
      </c>
      <c r="K135">
        <v>0.13639999999999999</v>
      </c>
      <c r="L135">
        <v>0.47</v>
      </c>
      <c r="M135">
        <v>0.29849999999999999</v>
      </c>
      <c r="N135">
        <v>6</v>
      </c>
      <c r="O135">
        <v>127</v>
      </c>
      <c r="P135">
        <v>133</v>
      </c>
    </row>
    <row r="136" spans="1:16">
      <c r="A136">
        <v>745</v>
      </c>
      <c r="B136" s="2">
        <v>40577</v>
      </c>
      <c r="C136">
        <v>1</v>
      </c>
      <c r="D136">
        <v>0</v>
      </c>
      <c r="E136">
        <v>2</v>
      </c>
      <c r="F136">
        <v>10</v>
      </c>
      <c r="G136" t="b">
        <v>0</v>
      </c>
      <c r="H136">
        <v>4</v>
      </c>
      <c r="I136">
        <v>1</v>
      </c>
      <c r="J136">
        <v>0.18</v>
      </c>
      <c r="K136">
        <v>0.1515</v>
      </c>
      <c r="L136">
        <v>0.43</v>
      </c>
      <c r="M136">
        <v>0.32840000000000003</v>
      </c>
      <c r="N136">
        <v>2</v>
      </c>
      <c r="O136">
        <v>50</v>
      </c>
      <c r="P136">
        <v>52</v>
      </c>
    </row>
    <row r="137" spans="1:16">
      <c r="A137">
        <v>746</v>
      </c>
      <c r="B137" s="2">
        <v>40577</v>
      </c>
      <c r="C137">
        <v>1</v>
      </c>
      <c r="D137">
        <v>0</v>
      </c>
      <c r="E137">
        <v>2</v>
      </c>
      <c r="F137">
        <v>11</v>
      </c>
      <c r="G137" t="b">
        <v>0</v>
      </c>
      <c r="H137">
        <v>4</v>
      </c>
      <c r="I137">
        <v>1</v>
      </c>
      <c r="J137">
        <v>0.18</v>
      </c>
      <c r="K137">
        <v>0.13639999999999999</v>
      </c>
      <c r="L137">
        <v>0.43</v>
      </c>
      <c r="M137">
        <v>0.44779999999999998</v>
      </c>
      <c r="N137">
        <v>9</v>
      </c>
      <c r="O137">
        <v>55</v>
      </c>
      <c r="P137">
        <v>64</v>
      </c>
    </row>
    <row r="138" spans="1:16">
      <c r="A138">
        <v>747</v>
      </c>
      <c r="B138" s="2">
        <v>40577</v>
      </c>
      <c r="C138">
        <v>1</v>
      </c>
      <c r="D138">
        <v>0</v>
      </c>
      <c r="E138">
        <v>2</v>
      </c>
      <c r="F138">
        <v>12</v>
      </c>
      <c r="G138" t="b">
        <v>0</v>
      </c>
      <c r="H138">
        <v>4</v>
      </c>
      <c r="I138">
        <v>1</v>
      </c>
      <c r="J138">
        <v>0.2</v>
      </c>
      <c r="K138">
        <v>0.18179999999999999</v>
      </c>
      <c r="L138">
        <v>0.4</v>
      </c>
      <c r="M138">
        <v>0.35820000000000002</v>
      </c>
      <c r="N138">
        <v>2</v>
      </c>
      <c r="O138">
        <v>67</v>
      </c>
      <c r="P138">
        <v>69</v>
      </c>
    </row>
    <row r="139" spans="1:16">
      <c r="A139">
        <v>748</v>
      </c>
      <c r="B139" s="2">
        <v>40577</v>
      </c>
      <c r="C139">
        <v>1</v>
      </c>
      <c r="D139">
        <v>0</v>
      </c>
      <c r="E139">
        <v>2</v>
      </c>
      <c r="F139">
        <v>13</v>
      </c>
      <c r="G139" t="b">
        <v>0</v>
      </c>
      <c r="H139">
        <v>4</v>
      </c>
      <c r="I139">
        <v>1</v>
      </c>
      <c r="J139">
        <v>0.2</v>
      </c>
      <c r="K139">
        <v>0.16669999999999999</v>
      </c>
      <c r="L139">
        <v>0.4</v>
      </c>
      <c r="M139">
        <v>0.41789999999999999</v>
      </c>
      <c r="N139">
        <v>4</v>
      </c>
      <c r="O139">
        <v>47</v>
      </c>
      <c r="P139">
        <v>51</v>
      </c>
    </row>
    <row r="140" spans="1:16">
      <c r="A140">
        <v>749</v>
      </c>
      <c r="B140" s="2">
        <v>40577</v>
      </c>
      <c r="C140">
        <v>1</v>
      </c>
      <c r="D140">
        <v>0</v>
      </c>
      <c r="E140">
        <v>2</v>
      </c>
      <c r="F140">
        <v>14</v>
      </c>
      <c r="G140" t="b">
        <v>0</v>
      </c>
      <c r="H140">
        <v>4</v>
      </c>
      <c r="I140">
        <v>1</v>
      </c>
      <c r="J140">
        <v>0.22</v>
      </c>
      <c r="K140">
        <v>0.19700000000000001</v>
      </c>
      <c r="L140">
        <v>0.37</v>
      </c>
      <c r="M140">
        <v>0.3881</v>
      </c>
      <c r="N140">
        <v>4</v>
      </c>
      <c r="O140">
        <v>43</v>
      </c>
      <c r="P140">
        <v>47</v>
      </c>
    </row>
    <row r="141" spans="1:16">
      <c r="A141">
        <v>750</v>
      </c>
      <c r="B141" s="2">
        <v>40577</v>
      </c>
      <c r="C141">
        <v>1</v>
      </c>
      <c r="D141">
        <v>0</v>
      </c>
      <c r="E141">
        <v>2</v>
      </c>
      <c r="F141">
        <v>15</v>
      </c>
      <c r="G141" t="b">
        <v>0</v>
      </c>
      <c r="H141">
        <v>4</v>
      </c>
      <c r="I141">
        <v>1</v>
      </c>
      <c r="J141">
        <v>0.22</v>
      </c>
      <c r="K141">
        <v>0.19700000000000001</v>
      </c>
      <c r="L141">
        <v>0.37</v>
      </c>
      <c r="M141">
        <v>0.32840000000000003</v>
      </c>
      <c r="N141">
        <v>4</v>
      </c>
      <c r="O141">
        <v>56</v>
      </c>
      <c r="P141">
        <v>60</v>
      </c>
    </row>
    <row r="142" spans="1:16">
      <c r="A142">
        <v>751</v>
      </c>
      <c r="B142" s="2">
        <v>40577</v>
      </c>
      <c r="C142">
        <v>1</v>
      </c>
      <c r="D142">
        <v>0</v>
      </c>
      <c r="E142">
        <v>2</v>
      </c>
      <c r="F142">
        <v>16</v>
      </c>
      <c r="G142" t="b">
        <v>0</v>
      </c>
      <c r="H142">
        <v>4</v>
      </c>
      <c r="I142">
        <v>1</v>
      </c>
      <c r="J142">
        <v>0.22</v>
      </c>
      <c r="K142">
        <v>0.21210000000000001</v>
      </c>
      <c r="L142">
        <v>0.37</v>
      </c>
      <c r="M142">
        <v>0.25369999999999998</v>
      </c>
      <c r="N142">
        <v>5</v>
      </c>
      <c r="O142">
        <v>73</v>
      </c>
      <c r="P142">
        <v>78</v>
      </c>
    </row>
    <row r="143" spans="1:16">
      <c r="A143">
        <v>752</v>
      </c>
      <c r="B143" s="2">
        <v>40577</v>
      </c>
      <c r="C143">
        <v>1</v>
      </c>
      <c r="D143">
        <v>0</v>
      </c>
      <c r="E143">
        <v>2</v>
      </c>
      <c r="F143">
        <v>17</v>
      </c>
      <c r="G143" t="b">
        <v>0</v>
      </c>
      <c r="H143">
        <v>4</v>
      </c>
      <c r="I143">
        <v>1</v>
      </c>
      <c r="J143">
        <v>0.2</v>
      </c>
      <c r="K143">
        <v>0.19700000000000001</v>
      </c>
      <c r="L143">
        <v>0.4</v>
      </c>
      <c r="M143">
        <v>0.19400000000000001</v>
      </c>
      <c r="N143">
        <v>5</v>
      </c>
      <c r="O143">
        <v>170</v>
      </c>
      <c r="P143">
        <v>175</v>
      </c>
    </row>
    <row r="144" spans="1:16">
      <c r="A144">
        <v>753</v>
      </c>
      <c r="B144" s="2">
        <v>40577</v>
      </c>
      <c r="C144">
        <v>1</v>
      </c>
      <c r="D144">
        <v>0</v>
      </c>
      <c r="E144">
        <v>2</v>
      </c>
      <c r="F144">
        <v>18</v>
      </c>
      <c r="G144" t="b">
        <v>0</v>
      </c>
      <c r="H144">
        <v>4</v>
      </c>
      <c r="I144">
        <v>1</v>
      </c>
      <c r="J144">
        <v>0.2</v>
      </c>
      <c r="K144">
        <v>0.21210000000000001</v>
      </c>
      <c r="L144">
        <v>0.4</v>
      </c>
      <c r="M144">
        <v>0.16420000000000001</v>
      </c>
      <c r="N144">
        <v>2</v>
      </c>
      <c r="O144">
        <v>145</v>
      </c>
      <c r="P144">
        <v>147</v>
      </c>
    </row>
    <row r="145" spans="1:16">
      <c r="A145">
        <v>754</v>
      </c>
      <c r="B145" s="2">
        <v>40577</v>
      </c>
      <c r="C145">
        <v>1</v>
      </c>
      <c r="D145">
        <v>0</v>
      </c>
      <c r="E145">
        <v>2</v>
      </c>
      <c r="F145">
        <v>19</v>
      </c>
      <c r="G145" t="b">
        <v>0</v>
      </c>
      <c r="H145">
        <v>4</v>
      </c>
      <c r="I145">
        <v>1</v>
      </c>
      <c r="J145">
        <v>0.2</v>
      </c>
      <c r="K145">
        <v>0.2576</v>
      </c>
      <c r="L145">
        <v>0.4</v>
      </c>
      <c r="M145">
        <v>0</v>
      </c>
      <c r="N145">
        <v>4</v>
      </c>
      <c r="O145">
        <v>92</v>
      </c>
      <c r="P145">
        <v>96</v>
      </c>
    </row>
    <row r="146" spans="1:16">
      <c r="A146">
        <v>755</v>
      </c>
      <c r="B146" s="2">
        <v>40577</v>
      </c>
      <c r="C146">
        <v>1</v>
      </c>
      <c r="D146">
        <v>0</v>
      </c>
      <c r="E146">
        <v>2</v>
      </c>
      <c r="F146">
        <v>20</v>
      </c>
      <c r="G146" t="b">
        <v>0</v>
      </c>
      <c r="H146">
        <v>4</v>
      </c>
      <c r="I146">
        <v>1</v>
      </c>
      <c r="J146">
        <v>0.2</v>
      </c>
      <c r="K146">
        <v>0.2273</v>
      </c>
      <c r="L146">
        <v>0.47</v>
      </c>
      <c r="M146">
        <v>8.9599999999999999E-2</v>
      </c>
      <c r="N146">
        <v>1</v>
      </c>
      <c r="O146">
        <v>108</v>
      </c>
      <c r="P146">
        <v>109</v>
      </c>
    </row>
    <row r="147" spans="1:16">
      <c r="A147">
        <v>756</v>
      </c>
      <c r="B147" s="2">
        <v>40577</v>
      </c>
      <c r="C147">
        <v>1</v>
      </c>
      <c r="D147">
        <v>0</v>
      </c>
      <c r="E147">
        <v>2</v>
      </c>
      <c r="F147">
        <v>21</v>
      </c>
      <c r="G147" t="b">
        <v>0</v>
      </c>
      <c r="H147">
        <v>4</v>
      </c>
      <c r="I147">
        <v>1</v>
      </c>
      <c r="J147">
        <v>0.18</v>
      </c>
      <c r="K147">
        <v>0.21210000000000001</v>
      </c>
      <c r="L147">
        <v>0.55000000000000004</v>
      </c>
      <c r="M147">
        <v>0.1045</v>
      </c>
      <c r="N147">
        <v>1</v>
      </c>
      <c r="O147">
        <v>53</v>
      </c>
      <c r="P147">
        <v>54</v>
      </c>
    </row>
    <row r="148" spans="1:16">
      <c r="A148">
        <v>757</v>
      </c>
      <c r="B148" s="2">
        <v>40577</v>
      </c>
      <c r="C148">
        <v>1</v>
      </c>
      <c r="D148">
        <v>0</v>
      </c>
      <c r="E148">
        <v>2</v>
      </c>
      <c r="F148">
        <v>22</v>
      </c>
      <c r="G148" t="b">
        <v>0</v>
      </c>
      <c r="H148">
        <v>4</v>
      </c>
      <c r="I148">
        <v>1</v>
      </c>
      <c r="J148">
        <v>0.18</v>
      </c>
      <c r="K148">
        <v>0.21210000000000001</v>
      </c>
      <c r="L148">
        <v>0.51</v>
      </c>
      <c r="M148">
        <v>8.9599999999999999E-2</v>
      </c>
      <c r="N148">
        <v>2</v>
      </c>
      <c r="O148">
        <v>39</v>
      </c>
      <c r="P148">
        <v>41</v>
      </c>
    </row>
    <row r="149" spans="1:16">
      <c r="A149">
        <v>758</v>
      </c>
      <c r="B149" s="2">
        <v>40577</v>
      </c>
      <c r="C149">
        <v>1</v>
      </c>
      <c r="D149">
        <v>0</v>
      </c>
      <c r="E149">
        <v>2</v>
      </c>
      <c r="F149">
        <v>23</v>
      </c>
      <c r="G149" t="b">
        <v>0</v>
      </c>
      <c r="H149">
        <v>4</v>
      </c>
      <c r="I149">
        <v>1</v>
      </c>
      <c r="J149">
        <v>0.2</v>
      </c>
      <c r="K149">
        <v>0.2273</v>
      </c>
      <c r="L149">
        <v>0.47</v>
      </c>
      <c r="M149">
        <v>0.1045</v>
      </c>
      <c r="N149">
        <v>4</v>
      </c>
      <c r="O149">
        <v>34</v>
      </c>
      <c r="P149">
        <v>38</v>
      </c>
    </row>
    <row r="150" spans="1:16">
      <c r="A150">
        <v>759</v>
      </c>
      <c r="B150" s="2">
        <v>40578</v>
      </c>
      <c r="C150">
        <v>1</v>
      </c>
      <c r="D150">
        <v>0</v>
      </c>
      <c r="E150">
        <v>2</v>
      </c>
      <c r="F150">
        <v>0</v>
      </c>
      <c r="G150" t="b">
        <v>0</v>
      </c>
      <c r="H150">
        <v>5</v>
      </c>
      <c r="I150">
        <v>2</v>
      </c>
      <c r="J150">
        <v>0.2</v>
      </c>
      <c r="K150">
        <v>0.2576</v>
      </c>
      <c r="L150">
        <v>0.44</v>
      </c>
      <c r="M150">
        <v>0</v>
      </c>
      <c r="N150">
        <v>3</v>
      </c>
      <c r="O150">
        <v>10</v>
      </c>
      <c r="P150">
        <v>13</v>
      </c>
    </row>
    <row r="151" spans="1:16">
      <c r="A151">
        <v>760</v>
      </c>
      <c r="B151" s="2">
        <v>40578</v>
      </c>
      <c r="C151">
        <v>1</v>
      </c>
      <c r="D151">
        <v>0</v>
      </c>
      <c r="E151">
        <v>2</v>
      </c>
      <c r="F151">
        <v>1</v>
      </c>
      <c r="G151" t="b">
        <v>0</v>
      </c>
      <c r="H151">
        <v>5</v>
      </c>
      <c r="I151">
        <v>2</v>
      </c>
      <c r="J151">
        <v>0.16</v>
      </c>
      <c r="K151">
        <v>0.2273</v>
      </c>
      <c r="L151">
        <v>0.59</v>
      </c>
      <c r="M151">
        <v>0</v>
      </c>
      <c r="N151">
        <v>0</v>
      </c>
      <c r="O151">
        <v>7</v>
      </c>
      <c r="P151">
        <v>7</v>
      </c>
    </row>
    <row r="152" spans="1:16">
      <c r="A152">
        <v>761</v>
      </c>
      <c r="B152" s="2">
        <v>40578</v>
      </c>
      <c r="C152">
        <v>1</v>
      </c>
      <c r="D152">
        <v>0</v>
      </c>
      <c r="E152">
        <v>2</v>
      </c>
      <c r="F152">
        <v>2</v>
      </c>
      <c r="G152" t="b">
        <v>0</v>
      </c>
      <c r="H152">
        <v>5</v>
      </c>
      <c r="I152">
        <v>2</v>
      </c>
      <c r="J152">
        <v>0.14000000000000001</v>
      </c>
      <c r="K152">
        <v>0.16669999999999999</v>
      </c>
      <c r="L152">
        <v>0.63</v>
      </c>
      <c r="M152">
        <v>0.1045</v>
      </c>
      <c r="N152">
        <v>0</v>
      </c>
      <c r="O152">
        <v>1</v>
      </c>
      <c r="P152">
        <v>1</v>
      </c>
    </row>
    <row r="153" spans="1:16">
      <c r="A153">
        <v>762</v>
      </c>
      <c r="B153" s="2">
        <v>40578</v>
      </c>
      <c r="C153">
        <v>1</v>
      </c>
      <c r="D153">
        <v>0</v>
      </c>
      <c r="E153">
        <v>2</v>
      </c>
      <c r="F153">
        <v>3</v>
      </c>
      <c r="G153" t="b">
        <v>0</v>
      </c>
      <c r="H153">
        <v>5</v>
      </c>
      <c r="I153">
        <v>2</v>
      </c>
      <c r="J153">
        <v>0.14000000000000001</v>
      </c>
      <c r="K153">
        <v>0.16669999999999999</v>
      </c>
      <c r="L153">
        <v>0.63</v>
      </c>
      <c r="M153">
        <v>0.1045</v>
      </c>
      <c r="N153">
        <v>0</v>
      </c>
      <c r="O153">
        <v>1</v>
      </c>
      <c r="P153">
        <v>1</v>
      </c>
    </row>
    <row r="154" spans="1:16">
      <c r="A154">
        <v>763</v>
      </c>
      <c r="B154" s="2">
        <v>40578</v>
      </c>
      <c r="C154">
        <v>1</v>
      </c>
      <c r="D154">
        <v>0</v>
      </c>
      <c r="E154">
        <v>2</v>
      </c>
      <c r="F154">
        <v>5</v>
      </c>
      <c r="G154" t="b">
        <v>0</v>
      </c>
      <c r="H154">
        <v>5</v>
      </c>
      <c r="I154">
        <v>2</v>
      </c>
      <c r="J154">
        <v>0.14000000000000001</v>
      </c>
      <c r="K154">
        <v>0.1515</v>
      </c>
      <c r="L154">
        <v>0.63</v>
      </c>
      <c r="M154">
        <v>0.1343</v>
      </c>
      <c r="N154">
        <v>0</v>
      </c>
      <c r="O154">
        <v>7</v>
      </c>
      <c r="P154">
        <v>7</v>
      </c>
    </row>
    <row r="155" spans="1:16">
      <c r="A155">
        <v>764</v>
      </c>
      <c r="B155" s="2">
        <v>40578</v>
      </c>
      <c r="C155">
        <v>1</v>
      </c>
      <c r="D155">
        <v>0</v>
      </c>
      <c r="E155">
        <v>2</v>
      </c>
      <c r="F155">
        <v>6</v>
      </c>
      <c r="G155" t="b">
        <v>0</v>
      </c>
      <c r="H155">
        <v>5</v>
      </c>
      <c r="I155">
        <v>2</v>
      </c>
      <c r="J155">
        <v>0.16</v>
      </c>
      <c r="K155">
        <v>0.2273</v>
      </c>
      <c r="L155">
        <v>0.55000000000000004</v>
      </c>
      <c r="M155">
        <v>0</v>
      </c>
      <c r="N155">
        <v>2</v>
      </c>
      <c r="O155">
        <v>26</v>
      </c>
      <c r="P155">
        <v>28</v>
      </c>
    </row>
    <row r="156" spans="1:16">
      <c r="A156">
        <v>765</v>
      </c>
      <c r="B156" s="2">
        <v>40578</v>
      </c>
      <c r="C156">
        <v>1</v>
      </c>
      <c r="D156">
        <v>0</v>
      </c>
      <c r="E156">
        <v>2</v>
      </c>
      <c r="F156">
        <v>7</v>
      </c>
      <c r="G156" t="b">
        <v>0</v>
      </c>
      <c r="H156">
        <v>5</v>
      </c>
      <c r="I156">
        <v>1</v>
      </c>
      <c r="J156">
        <v>0.14000000000000001</v>
      </c>
      <c r="K156">
        <v>0.21210000000000001</v>
      </c>
      <c r="L156">
        <v>0.59</v>
      </c>
      <c r="M156">
        <v>0</v>
      </c>
      <c r="N156">
        <v>0</v>
      </c>
      <c r="O156">
        <v>87</v>
      </c>
      <c r="P156">
        <v>87</v>
      </c>
    </row>
    <row r="157" spans="1:16">
      <c r="A157">
        <v>766</v>
      </c>
      <c r="B157" s="2">
        <v>40578</v>
      </c>
      <c r="C157">
        <v>1</v>
      </c>
      <c r="D157">
        <v>0</v>
      </c>
      <c r="E157">
        <v>2</v>
      </c>
      <c r="F157">
        <v>8</v>
      </c>
      <c r="G157" t="b">
        <v>0</v>
      </c>
      <c r="H157">
        <v>5</v>
      </c>
      <c r="I157">
        <v>1</v>
      </c>
      <c r="J157">
        <v>0.14000000000000001</v>
      </c>
      <c r="K157">
        <v>0.1515</v>
      </c>
      <c r="L157">
        <v>0.74</v>
      </c>
      <c r="M157">
        <v>0.1343</v>
      </c>
      <c r="N157">
        <v>3</v>
      </c>
      <c r="O157">
        <v>217</v>
      </c>
      <c r="P157">
        <v>220</v>
      </c>
    </row>
    <row r="158" spans="1:16">
      <c r="A158">
        <v>767</v>
      </c>
      <c r="B158" s="2">
        <v>40578</v>
      </c>
      <c r="C158">
        <v>1</v>
      </c>
      <c r="D158">
        <v>0</v>
      </c>
      <c r="E158">
        <v>2</v>
      </c>
      <c r="F158">
        <v>9</v>
      </c>
      <c r="G158" t="b">
        <v>0</v>
      </c>
      <c r="H158">
        <v>5</v>
      </c>
      <c r="I158">
        <v>2</v>
      </c>
      <c r="J158">
        <v>0.16</v>
      </c>
      <c r="K158">
        <v>0.18179999999999999</v>
      </c>
      <c r="L158">
        <v>0.8</v>
      </c>
      <c r="M158">
        <v>0.1343</v>
      </c>
      <c r="N158">
        <v>3</v>
      </c>
      <c r="O158">
        <v>124</v>
      </c>
      <c r="P158">
        <v>127</v>
      </c>
    </row>
    <row r="159" spans="1:16">
      <c r="A159">
        <v>768</v>
      </c>
      <c r="B159" s="2">
        <v>40578</v>
      </c>
      <c r="C159">
        <v>1</v>
      </c>
      <c r="D159">
        <v>0</v>
      </c>
      <c r="E159">
        <v>2</v>
      </c>
      <c r="F159">
        <v>10</v>
      </c>
      <c r="G159" t="b">
        <v>0</v>
      </c>
      <c r="H159">
        <v>5</v>
      </c>
      <c r="I159">
        <v>2</v>
      </c>
      <c r="J159">
        <v>0.2</v>
      </c>
      <c r="K159">
        <v>0.21210000000000001</v>
      </c>
      <c r="L159">
        <v>0.51</v>
      </c>
      <c r="M159">
        <v>0.1343</v>
      </c>
      <c r="N159">
        <v>5</v>
      </c>
      <c r="O159">
        <v>46</v>
      </c>
      <c r="P159">
        <v>51</v>
      </c>
    </row>
    <row r="160" spans="1:16">
      <c r="A160">
        <v>769</v>
      </c>
      <c r="B160" s="2">
        <v>40578</v>
      </c>
      <c r="C160">
        <v>1</v>
      </c>
      <c r="D160">
        <v>0</v>
      </c>
      <c r="E160">
        <v>2</v>
      </c>
      <c r="F160">
        <v>11</v>
      </c>
      <c r="G160" t="b">
        <v>0</v>
      </c>
      <c r="H160">
        <v>5</v>
      </c>
      <c r="I160">
        <v>1</v>
      </c>
      <c r="J160">
        <v>0.22</v>
      </c>
      <c r="K160">
        <v>0.2273</v>
      </c>
      <c r="L160">
        <v>0.51</v>
      </c>
      <c r="M160">
        <v>0.16420000000000001</v>
      </c>
      <c r="N160">
        <v>3</v>
      </c>
      <c r="O160">
        <v>61</v>
      </c>
      <c r="P160">
        <v>64</v>
      </c>
    </row>
    <row r="161" spans="1:16">
      <c r="A161">
        <v>770</v>
      </c>
      <c r="B161" s="2">
        <v>40578</v>
      </c>
      <c r="C161">
        <v>1</v>
      </c>
      <c r="D161">
        <v>0</v>
      </c>
      <c r="E161">
        <v>2</v>
      </c>
      <c r="F161">
        <v>12</v>
      </c>
      <c r="G161" t="b">
        <v>0</v>
      </c>
      <c r="H161">
        <v>5</v>
      </c>
      <c r="I161">
        <v>2</v>
      </c>
      <c r="J161">
        <v>0.24</v>
      </c>
      <c r="K161">
        <v>0.2424</v>
      </c>
      <c r="L161">
        <v>0.48</v>
      </c>
      <c r="M161">
        <v>0.16420000000000001</v>
      </c>
      <c r="N161">
        <v>8</v>
      </c>
      <c r="O161">
        <v>78</v>
      </c>
      <c r="P161">
        <v>86</v>
      </c>
    </row>
    <row r="162" spans="1:16">
      <c r="A162">
        <v>771</v>
      </c>
      <c r="B162" s="2">
        <v>40578</v>
      </c>
      <c r="C162">
        <v>1</v>
      </c>
      <c r="D162">
        <v>0</v>
      </c>
      <c r="E162">
        <v>2</v>
      </c>
      <c r="F162">
        <v>13</v>
      </c>
      <c r="G162" t="b">
        <v>0</v>
      </c>
      <c r="H162">
        <v>5</v>
      </c>
      <c r="I162">
        <v>2</v>
      </c>
      <c r="J162">
        <v>0.26</v>
      </c>
      <c r="K162">
        <v>0.2576</v>
      </c>
      <c r="L162">
        <v>0.5</v>
      </c>
      <c r="M162">
        <v>0.22389999999999999</v>
      </c>
      <c r="N162">
        <v>9</v>
      </c>
      <c r="O162">
        <v>73</v>
      </c>
      <c r="P162">
        <v>82</v>
      </c>
    </row>
    <row r="163" spans="1:16">
      <c r="A163">
        <v>772</v>
      </c>
      <c r="B163" s="2">
        <v>40578</v>
      </c>
      <c r="C163">
        <v>1</v>
      </c>
      <c r="D163">
        <v>0</v>
      </c>
      <c r="E163">
        <v>2</v>
      </c>
      <c r="F163">
        <v>14</v>
      </c>
      <c r="G163" t="b">
        <v>0</v>
      </c>
      <c r="H163">
        <v>5</v>
      </c>
      <c r="I163">
        <v>2</v>
      </c>
      <c r="J163">
        <v>0.28000000000000003</v>
      </c>
      <c r="K163">
        <v>0.2727</v>
      </c>
      <c r="L163">
        <v>0.45</v>
      </c>
      <c r="M163">
        <v>0.16420000000000001</v>
      </c>
      <c r="N163">
        <v>15</v>
      </c>
      <c r="O163">
        <v>76</v>
      </c>
      <c r="P163">
        <v>91</v>
      </c>
    </row>
    <row r="164" spans="1:16">
      <c r="A164">
        <v>773</v>
      </c>
      <c r="B164" s="2">
        <v>40578</v>
      </c>
      <c r="C164">
        <v>1</v>
      </c>
      <c r="D164">
        <v>0</v>
      </c>
      <c r="E164">
        <v>2</v>
      </c>
      <c r="F164">
        <v>15</v>
      </c>
      <c r="G164" t="b">
        <v>0</v>
      </c>
      <c r="H164">
        <v>5</v>
      </c>
      <c r="I164">
        <v>2</v>
      </c>
      <c r="J164">
        <v>0.28000000000000003</v>
      </c>
      <c r="K164">
        <v>0.2727</v>
      </c>
      <c r="L164">
        <v>0.48</v>
      </c>
      <c r="M164">
        <v>0.25369999999999998</v>
      </c>
      <c r="N164">
        <v>9</v>
      </c>
      <c r="O164">
        <v>81</v>
      </c>
      <c r="P164">
        <v>90</v>
      </c>
    </row>
    <row r="165" spans="1:16">
      <c r="A165">
        <v>774</v>
      </c>
      <c r="B165" s="2">
        <v>40578</v>
      </c>
      <c r="C165">
        <v>1</v>
      </c>
      <c r="D165">
        <v>0</v>
      </c>
      <c r="E165">
        <v>2</v>
      </c>
      <c r="F165">
        <v>16</v>
      </c>
      <c r="G165" t="b">
        <v>0</v>
      </c>
      <c r="H165">
        <v>5</v>
      </c>
      <c r="I165">
        <v>2</v>
      </c>
      <c r="J165">
        <v>0.3</v>
      </c>
      <c r="K165">
        <v>0.28789999999999999</v>
      </c>
      <c r="L165">
        <v>0.42</v>
      </c>
      <c r="M165">
        <v>0.22389999999999999</v>
      </c>
      <c r="N165">
        <v>8</v>
      </c>
      <c r="O165">
        <v>91</v>
      </c>
      <c r="P165">
        <v>99</v>
      </c>
    </row>
    <row r="166" spans="1:16">
      <c r="A166">
        <v>775</v>
      </c>
      <c r="B166" s="2">
        <v>40578</v>
      </c>
      <c r="C166">
        <v>1</v>
      </c>
      <c r="D166">
        <v>0</v>
      </c>
      <c r="E166">
        <v>2</v>
      </c>
      <c r="F166">
        <v>17</v>
      </c>
      <c r="G166" t="b">
        <v>0</v>
      </c>
      <c r="H166">
        <v>5</v>
      </c>
      <c r="I166">
        <v>2</v>
      </c>
      <c r="J166">
        <v>0.26</v>
      </c>
      <c r="K166">
        <v>0.2727</v>
      </c>
      <c r="L166">
        <v>0.56000000000000005</v>
      </c>
      <c r="M166">
        <v>0.1343</v>
      </c>
      <c r="N166">
        <v>10</v>
      </c>
      <c r="O166">
        <v>195</v>
      </c>
      <c r="P166">
        <v>205</v>
      </c>
    </row>
    <row r="167" spans="1:16">
      <c r="A167">
        <v>776</v>
      </c>
      <c r="B167" s="2">
        <v>40578</v>
      </c>
      <c r="C167">
        <v>1</v>
      </c>
      <c r="D167">
        <v>0</v>
      </c>
      <c r="E167">
        <v>2</v>
      </c>
      <c r="F167">
        <v>18</v>
      </c>
      <c r="G167" t="b">
        <v>0</v>
      </c>
      <c r="H167">
        <v>5</v>
      </c>
      <c r="I167">
        <v>2</v>
      </c>
      <c r="J167">
        <v>0.24</v>
      </c>
      <c r="K167">
        <v>0.2576</v>
      </c>
      <c r="L167">
        <v>0.6</v>
      </c>
      <c r="M167">
        <v>0.1045</v>
      </c>
      <c r="N167">
        <v>3</v>
      </c>
      <c r="O167">
        <v>152</v>
      </c>
      <c r="P167">
        <v>155</v>
      </c>
    </row>
    <row r="168" spans="1:16">
      <c r="A168">
        <v>777</v>
      </c>
      <c r="B168" s="2">
        <v>40578</v>
      </c>
      <c r="C168">
        <v>1</v>
      </c>
      <c r="D168">
        <v>0</v>
      </c>
      <c r="E168">
        <v>2</v>
      </c>
      <c r="F168">
        <v>19</v>
      </c>
      <c r="G168" t="b">
        <v>0</v>
      </c>
      <c r="H168">
        <v>5</v>
      </c>
      <c r="I168">
        <v>2</v>
      </c>
      <c r="J168">
        <v>0.24</v>
      </c>
      <c r="K168">
        <v>0.2424</v>
      </c>
      <c r="L168">
        <v>0.65</v>
      </c>
      <c r="M168">
        <v>0.1343</v>
      </c>
      <c r="N168">
        <v>1</v>
      </c>
      <c r="O168">
        <v>102</v>
      </c>
      <c r="P168">
        <v>103</v>
      </c>
    </row>
    <row r="169" spans="1:16">
      <c r="A169">
        <v>778</v>
      </c>
      <c r="B169" s="2">
        <v>40578</v>
      </c>
      <c r="C169">
        <v>1</v>
      </c>
      <c r="D169">
        <v>0</v>
      </c>
      <c r="E169">
        <v>2</v>
      </c>
      <c r="F169">
        <v>20</v>
      </c>
      <c r="G169" t="b">
        <v>0</v>
      </c>
      <c r="H169">
        <v>5</v>
      </c>
      <c r="I169">
        <v>2</v>
      </c>
      <c r="J169">
        <v>0.24</v>
      </c>
      <c r="K169">
        <v>0.2424</v>
      </c>
      <c r="L169">
        <v>0.65</v>
      </c>
      <c r="M169">
        <v>0.16420000000000001</v>
      </c>
      <c r="N169">
        <v>2</v>
      </c>
      <c r="O169">
        <v>69</v>
      </c>
      <c r="P169">
        <v>71</v>
      </c>
    </row>
    <row r="170" spans="1:16">
      <c r="A170">
        <v>779</v>
      </c>
      <c r="B170" s="2">
        <v>40578</v>
      </c>
      <c r="C170">
        <v>1</v>
      </c>
      <c r="D170">
        <v>0</v>
      </c>
      <c r="E170">
        <v>2</v>
      </c>
      <c r="F170">
        <v>21</v>
      </c>
      <c r="G170" t="b">
        <v>0</v>
      </c>
      <c r="H170">
        <v>5</v>
      </c>
      <c r="I170">
        <v>2</v>
      </c>
      <c r="J170">
        <v>0.24</v>
      </c>
      <c r="K170">
        <v>0.2424</v>
      </c>
      <c r="L170">
        <v>0.7</v>
      </c>
      <c r="M170">
        <v>0.16420000000000001</v>
      </c>
      <c r="N170">
        <v>2</v>
      </c>
      <c r="O170">
        <v>41</v>
      </c>
      <c r="P170">
        <v>43</v>
      </c>
    </row>
    <row r="171" spans="1:16">
      <c r="A171">
        <v>780</v>
      </c>
      <c r="B171" s="2">
        <v>40578</v>
      </c>
      <c r="C171">
        <v>1</v>
      </c>
      <c r="D171">
        <v>0</v>
      </c>
      <c r="E171">
        <v>2</v>
      </c>
      <c r="F171">
        <v>22</v>
      </c>
      <c r="G171" t="b">
        <v>0</v>
      </c>
      <c r="H171">
        <v>5</v>
      </c>
      <c r="I171">
        <v>2</v>
      </c>
      <c r="J171">
        <v>0.24</v>
      </c>
      <c r="K171">
        <v>0.2424</v>
      </c>
      <c r="L171">
        <v>0.65</v>
      </c>
      <c r="M171">
        <v>0.16420000000000001</v>
      </c>
      <c r="N171">
        <v>1</v>
      </c>
      <c r="O171">
        <v>45</v>
      </c>
      <c r="P171">
        <v>46</v>
      </c>
    </row>
    <row r="172" spans="1:16">
      <c r="A172">
        <v>781</v>
      </c>
      <c r="B172" s="2">
        <v>40578</v>
      </c>
      <c r="C172">
        <v>1</v>
      </c>
      <c r="D172">
        <v>0</v>
      </c>
      <c r="E172">
        <v>2</v>
      </c>
      <c r="F172">
        <v>23</v>
      </c>
      <c r="G172" t="b">
        <v>0</v>
      </c>
      <c r="H172">
        <v>5</v>
      </c>
      <c r="I172">
        <v>2</v>
      </c>
      <c r="J172">
        <v>0.24</v>
      </c>
      <c r="K172">
        <v>0.2424</v>
      </c>
      <c r="L172">
        <v>0.7</v>
      </c>
      <c r="M172">
        <v>0.1343</v>
      </c>
      <c r="N172">
        <v>1</v>
      </c>
      <c r="O172">
        <v>30</v>
      </c>
      <c r="P172">
        <v>31</v>
      </c>
    </row>
    <row r="173" spans="1:16">
      <c r="A173">
        <v>782</v>
      </c>
      <c r="B173" s="2">
        <v>40579</v>
      </c>
      <c r="C173">
        <v>1</v>
      </c>
      <c r="D173">
        <v>0</v>
      </c>
      <c r="E173">
        <v>2</v>
      </c>
      <c r="F173">
        <v>0</v>
      </c>
      <c r="G173" t="b">
        <v>0</v>
      </c>
      <c r="H173">
        <v>6</v>
      </c>
      <c r="I173">
        <v>2</v>
      </c>
      <c r="J173">
        <v>0.24</v>
      </c>
      <c r="K173">
        <v>0.2424</v>
      </c>
      <c r="L173">
        <v>0.7</v>
      </c>
      <c r="M173">
        <v>0.16420000000000001</v>
      </c>
      <c r="N173">
        <v>3</v>
      </c>
      <c r="O173">
        <v>36</v>
      </c>
      <c r="P173">
        <v>39</v>
      </c>
    </row>
    <row r="174" spans="1:16">
      <c r="A174">
        <v>783</v>
      </c>
      <c r="B174" s="2">
        <v>40579</v>
      </c>
      <c r="C174">
        <v>1</v>
      </c>
      <c r="D174">
        <v>0</v>
      </c>
      <c r="E174">
        <v>2</v>
      </c>
      <c r="F174">
        <v>1</v>
      </c>
      <c r="G174" t="b">
        <v>0</v>
      </c>
      <c r="H174">
        <v>6</v>
      </c>
      <c r="I174">
        <v>2</v>
      </c>
      <c r="J174">
        <v>0.24</v>
      </c>
      <c r="K174">
        <v>0.2424</v>
      </c>
      <c r="L174">
        <v>0.65</v>
      </c>
      <c r="M174">
        <v>0.16420000000000001</v>
      </c>
      <c r="N174">
        <v>1</v>
      </c>
      <c r="O174">
        <v>17</v>
      </c>
      <c r="P174">
        <v>18</v>
      </c>
    </row>
    <row r="175" spans="1:16">
      <c r="A175">
        <v>784</v>
      </c>
      <c r="B175" s="2">
        <v>40579</v>
      </c>
      <c r="C175">
        <v>1</v>
      </c>
      <c r="D175">
        <v>0</v>
      </c>
      <c r="E175">
        <v>2</v>
      </c>
      <c r="F175">
        <v>2</v>
      </c>
      <c r="G175" t="b">
        <v>0</v>
      </c>
      <c r="H175">
        <v>6</v>
      </c>
      <c r="I175">
        <v>2</v>
      </c>
      <c r="J175">
        <v>0.24</v>
      </c>
      <c r="K175">
        <v>0.2424</v>
      </c>
      <c r="L175">
        <v>0.75</v>
      </c>
      <c r="M175">
        <v>0.16420000000000001</v>
      </c>
      <c r="N175">
        <v>5</v>
      </c>
      <c r="O175">
        <v>12</v>
      </c>
      <c r="P175">
        <v>17</v>
      </c>
    </row>
    <row r="176" spans="1:16">
      <c r="A176">
        <v>785</v>
      </c>
      <c r="B176" s="2">
        <v>40579</v>
      </c>
      <c r="C176">
        <v>1</v>
      </c>
      <c r="D176">
        <v>0</v>
      </c>
      <c r="E176">
        <v>2</v>
      </c>
      <c r="F176">
        <v>3</v>
      </c>
      <c r="G176" t="b">
        <v>0</v>
      </c>
      <c r="H176">
        <v>6</v>
      </c>
      <c r="I176">
        <v>2</v>
      </c>
      <c r="J176">
        <v>0.24</v>
      </c>
      <c r="K176">
        <v>0.2424</v>
      </c>
      <c r="L176">
        <v>0.75</v>
      </c>
      <c r="M176">
        <v>0.16420000000000001</v>
      </c>
      <c r="N176">
        <v>1</v>
      </c>
      <c r="O176">
        <v>10</v>
      </c>
      <c r="P176">
        <v>11</v>
      </c>
    </row>
    <row r="177" spans="1:16">
      <c r="A177">
        <v>786</v>
      </c>
      <c r="B177" s="2">
        <v>40579</v>
      </c>
      <c r="C177">
        <v>1</v>
      </c>
      <c r="D177">
        <v>0</v>
      </c>
      <c r="E177">
        <v>2</v>
      </c>
      <c r="F177">
        <v>4</v>
      </c>
      <c r="G177" t="b">
        <v>0</v>
      </c>
      <c r="H177">
        <v>6</v>
      </c>
      <c r="I177">
        <v>3</v>
      </c>
      <c r="J177">
        <v>0.22</v>
      </c>
      <c r="K177">
        <v>0.2273</v>
      </c>
      <c r="L177">
        <v>0.93</v>
      </c>
      <c r="M177">
        <v>0.1343</v>
      </c>
      <c r="N177">
        <v>0</v>
      </c>
      <c r="O177">
        <v>8</v>
      </c>
      <c r="P177">
        <v>8</v>
      </c>
    </row>
    <row r="178" spans="1:16">
      <c r="A178">
        <v>787</v>
      </c>
      <c r="B178" s="2">
        <v>40579</v>
      </c>
      <c r="C178">
        <v>1</v>
      </c>
      <c r="D178">
        <v>0</v>
      </c>
      <c r="E178">
        <v>2</v>
      </c>
      <c r="F178">
        <v>5</v>
      </c>
      <c r="G178" t="b">
        <v>0</v>
      </c>
      <c r="H178">
        <v>6</v>
      </c>
      <c r="I178">
        <v>3</v>
      </c>
      <c r="J178">
        <v>0.2</v>
      </c>
      <c r="K178">
        <v>0.2273</v>
      </c>
      <c r="L178">
        <v>1</v>
      </c>
      <c r="M178">
        <v>8.9599999999999999E-2</v>
      </c>
      <c r="N178">
        <v>0</v>
      </c>
      <c r="O178">
        <v>9</v>
      </c>
      <c r="P178">
        <v>9</v>
      </c>
    </row>
    <row r="179" spans="1:16">
      <c r="A179">
        <v>788</v>
      </c>
      <c r="B179" s="2">
        <v>40579</v>
      </c>
      <c r="C179">
        <v>1</v>
      </c>
      <c r="D179">
        <v>0</v>
      </c>
      <c r="E179">
        <v>2</v>
      </c>
      <c r="F179">
        <v>6</v>
      </c>
      <c r="G179" t="b">
        <v>0</v>
      </c>
      <c r="H179">
        <v>6</v>
      </c>
      <c r="I179">
        <v>3</v>
      </c>
      <c r="J179">
        <v>0.2</v>
      </c>
      <c r="K179">
        <v>0.2576</v>
      </c>
      <c r="L179">
        <v>1</v>
      </c>
      <c r="M179">
        <v>0</v>
      </c>
      <c r="N179">
        <v>0</v>
      </c>
      <c r="O179">
        <v>4</v>
      </c>
      <c r="P179">
        <v>4</v>
      </c>
    </row>
    <row r="180" spans="1:16">
      <c r="A180">
        <v>789</v>
      </c>
      <c r="B180" s="2">
        <v>40579</v>
      </c>
      <c r="C180">
        <v>1</v>
      </c>
      <c r="D180">
        <v>0</v>
      </c>
      <c r="E180">
        <v>2</v>
      </c>
      <c r="F180">
        <v>7</v>
      </c>
      <c r="G180" t="b">
        <v>0</v>
      </c>
      <c r="H180">
        <v>6</v>
      </c>
      <c r="I180">
        <v>3</v>
      </c>
      <c r="J180">
        <v>0.22</v>
      </c>
      <c r="K180">
        <v>0.2576</v>
      </c>
      <c r="L180">
        <v>0.93</v>
      </c>
      <c r="M180">
        <v>8.9599999999999999E-2</v>
      </c>
      <c r="N180">
        <v>0</v>
      </c>
      <c r="O180">
        <v>4</v>
      </c>
      <c r="P180">
        <v>4</v>
      </c>
    </row>
    <row r="181" spans="1:16">
      <c r="A181">
        <v>790</v>
      </c>
      <c r="B181" s="2">
        <v>40579</v>
      </c>
      <c r="C181">
        <v>1</v>
      </c>
      <c r="D181">
        <v>0</v>
      </c>
      <c r="E181">
        <v>2</v>
      </c>
      <c r="F181">
        <v>8</v>
      </c>
      <c r="G181" t="b">
        <v>0</v>
      </c>
      <c r="H181">
        <v>6</v>
      </c>
      <c r="I181">
        <v>3</v>
      </c>
      <c r="J181">
        <v>0.2</v>
      </c>
      <c r="K181">
        <v>0.2273</v>
      </c>
      <c r="L181">
        <v>1</v>
      </c>
      <c r="M181">
        <v>8.9599999999999999E-2</v>
      </c>
      <c r="N181">
        <v>0</v>
      </c>
      <c r="O181">
        <v>10</v>
      </c>
      <c r="P181">
        <v>10</v>
      </c>
    </row>
    <row r="182" spans="1:16">
      <c r="A182">
        <v>791</v>
      </c>
      <c r="B182" s="2">
        <v>40579</v>
      </c>
      <c r="C182">
        <v>1</v>
      </c>
      <c r="D182">
        <v>0</v>
      </c>
      <c r="E182">
        <v>2</v>
      </c>
      <c r="F182">
        <v>9</v>
      </c>
      <c r="G182" t="b">
        <v>0</v>
      </c>
      <c r="H182">
        <v>6</v>
      </c>
      <c r="I182">
        <v>3</v>
      </c>
      <c r="J182">
        <v>0.2</v>
      </c>
      <c r="K182">
        <v>0.2273</v>
      </c>
      <c r="L182">
        <v>1</v>
      </c>
      <c r="M182">
        <v>8.9599999999999999E-2</v>
      </c>
      <c r="N182">
        <v>3</v>
      </c>
      <c r="O182">
        <v>17</v>
      </c>
      <c r="P182">
        <v>20</v>
      </c>
    </row>
    <row r="183" spans="1:16">
      <c r="A183">
        <v>792</v>
      </c>
      <c r="B183" s="2">
        <v>40579</v>
      </c>
      <c r="C183">
        <v>1</v>
      </c>
      <c r="D183">
        <v>0</v>
      </c>
      <c r="E183">
        <v>2</v>
      </c>
      <c r="F183">
        <v>10</v>
      </c>
      <c r="G183" t="b">
        <v>0</v>
      </c>
      <c r="H183">
        <v>6</v>
      </c>
      <c r="I183">
        <v>3</v>
      </c>
      <c r="J183">
        <v>0.2</v>
      </c>
      <c r="K183">
        <v>0.21210000000000001</v>
      </c>
      <c r="L183">
        <v>1</v>
      </c>
      <c r="M183">
        <v>0.1343</v>
      </c>
      <c r="N183">
        <v>3</v>
      </c>
      <c r="O183">
        <v>31</v>
      </c>
      <c r="P183">
        <v>34</v>
      </c>
    </row>
    <row r="184" spans="1:16">
      <c r="A184">
        <v>793</v>
      </c>
      <c r="B184" s="2">
        <v>40579</v>
      </c>
      <c r="C184">
        <v>1</v>
      </c>
      <c r="D184">
        <v>0</v>
      </c>
      <c r="E184">
        <v>2</v>
      </c>
      <c r="F184">
        <v>11</v>
      </c>
      <c r="G184" t="b">
        <v>0</v>
      </c>
      <c r="H184">
        <v>6</v>
      </c>
      <c r="I184">
        <v>3</v>
      </c>
      <c r="J184">
        <v>0.22</v>
      </c>
      <c r="K184">
        <v>0.2273</v>
      </c>
      <c r="L184">
        <v>1</v>
      </c>
      <c r="M184">
        <v>0.1343</v>
      </c>
      <c r="N184">
        <v>1</v>
      </c>
      <c r="O184">
        <v>46</v>
      </c>
      <c r="P184">
        <v>47</v>
      </c>
    </row>
    <row r="185" spans="1:16">
      <c r="A185">
        <v>794</v>
      </c>
      <c r="B185" s="2">
        <v>40579</v>
      </c>
      <c r="C185">
        <v>1</v>
      </c>
      <c r="D185">
        <v>0</v>
      </c>
      <c r="E185">
        <v>2</v>
      </c>
      <c r="F185">
        <v>12</v>
      </c>
      <c r="G185" t="b">
        <v>0</v>
      </c>
      <c r="H185">
        <v>6</v>
      </c>
      <c r="I185">
        <v>3</v>
      </c>
      <c r="J185">
        <v>0.22</v>
      </c>
      <c r="K185">
        <v>0.2273</v>
      </c>
      <c r="L185">
        <v>1</v>
      </c>
      <c r="M185">
        <v>0.16420000000000001</v>
      </c>
      <c r="N185">
        <v>10</v>
      </c>
      <c r="O185">
        <v>42</v>
      </c>
      <c r="P185">
        <v>52</v>
      </c>
    </row>
    <row r="186" spans="1:16">
      <c r="A186">
        <v>795</v>
      </c>
      <c r="B186" s="2">
        <v>40579</v>
      </c>
      <c r="C186">
        <v>1</v>
      </c>
      <c r="D186">
        <v>0</v>
      </c>
      <c r="E186">
        <v>2</v>
      </c>
      <c r="F186">
        <v>13</v>
      </c>
      <c r="G186" t="b">
        <v>0</v>
      </c>
      <c r="H186">
        <v>6</v>
      </c>
      <c r="I186">
        <v>3</v>
      </c>
      <c r="J186">
        <v>0.22</v>
      </c>
      <c r="K186">
        <v>0.2273</v>
      </c>
      <c r="L186">
        <v>1</v>
      </c>
      <c r="M186">
        <v>0.16420000000000001</v>
      </c>
      <c r="N186">
        <v>10</v>
      </c>
      <c r="O186">
        <v>62</v>
      </c>
      <c r="P186">
        <v>72</v>
      </c>
    </row>
    <row r="187" spans="1:16">
      <c r="A187">
        <v>796</v>
      </c>
      <c r="B187" s="2">
        <v>40579</v>
      </c>
      <c r="C187">
        <v>1</v>
      </c>
      <c r="D187">
        <v>0</v>
      </c>
      <c r="E187">
        <v>2</v>
      </c>
      <c r="F187">
        <v>14</v>
      </c>
      <c r="G187" t="b">
        <v>0</v>
      </c>
      <c r="H187">
        <v>6</v>
      </c>
      <c r="I187">
        <v>3</v>
      </c>
      <c r="J187">
        <v>0.22</v>
      </c>
      <c r="K187">
        <v>0.2727</v>
      </c>
      <c r="L187">
        <v>1</v>
      </c>
      <c r="M187">
        <v>0</v>
      </c>
      <c r="N187">
        <v>5</v>
      </c>
      <c r="O187">
        <v>50</v>
      </c>
      <c r="P187">
        <v>55</v>
      </c>
    </row>
    <row r="188" spans="1:16">
      <c r="A188">
        <v>797</v>
      </c>
      <c r="B188" s="2">
        <v>40579</v>
      </c>
      <c r="C188">
        <v>1</v>
      </c>
      <c r="D188">
        <v>0</v>
      </c>
      <c r="E188">
        <v>2</v>
      </c>
      <c r="F188">
        <v>15</v>
      </c>
      <c r="G188" t="b">
        <v>0</v>
      </c>
      <c r="H188">
        <v>6</v>
      </c>
      <c r="I188">
        <v>3</v>
      </c>
      <c r="J188">
        <v>0.22</v>
      </c>
      <c r="K188">
        <v>0.2727</v>
      </c>
      <c r="L188">
        <v>1</v>
      </c>
      <c r="M188">
        <v>0</v>
      </c>
      <c r="N188">
        <v>11</v>
      </c>
      <c r="O188">
        <v>49</v>
      </c>
      <c r="P188">
        <v>60</v>
      </c>
    </row>
    <row r="189" spans="1:16">
      <c r="A189">
        <v>798</v>
      </c>
      <c r="B189" s="2">
        <v>40579</v>
      </c>
      <c r="C189">
        <v>1</v>
      </c>
      <c r="D189">
        <v>0</v>
      </c>
      <c r="E189">
        <v>2</v>
      </c>
      <c r="F189">
        <v>16</v>
      </c>
      <c r="G189" t="b">
        <v>0</v>
      </c>
      <c r="H189">
        <v>6</v>
      </c>
      <c r="I189">
        <v>3</v>
      </c>
      <c r="J189">
        <v>0.22</v>
      </c>
      <c r="K189">
        <v>0.2273</v>
      </c>
      <c r="L189">
        <v>1</v>
      </c>
      <c r="M189">
        <v>0.1343</v>
      </c>
      <c r="N189">
        <v>8</v>
      </c>
      <c r="O189">
        <v>63</v>
      </c>
      <c r="P189">
        <v>71</v>
      </c>
    </row>
    <row r="190" spans="1:16">
      <c r="A190">
        <v>799</v>
      </c>
      <c r="B190" s="2">
        <v>40579</v>
      </c>
      <c r="C190">
        <v>1</v>
      </c>
      <c r="D190">
        <v>0</v>
      </c>
      <c r="E190">
        <v>2</v>
      </c>
      <c r="F190">
        <v>17</v>
      </c>
      <c r="G190" t="b">
        <v>0</v>
      </c>
      <c r="H190">
        <v>6</v>
      </c>
      <c r="I190">
        <v>2</v>
      </c>
      <c r="J190">
        <v>0.24</v>
      </c>
      <c r="K190">
        <v>0.21210000000000001</v>
      </c>
      <c r="L190">
        <v>1</v>
      </c>
      <c r="M190">
        <v>0.28360000000000002</v>
      </c>
      <c r="N190">
        <v>14</v>
      </c>
      <c r="O190">
        <v>64</v>
      </c>
      <c r="P190">
        <v>78</v>
      </c>
    </row>
    <row r="191" spans="1:16">
      <c r="A191">
        <v>800</v>
      </c>
      <c r="B191" s="2">
        <v>40579</v>
      </c>
      <c r="C191">
        <v>1</v>
      </c>
      <c r="D191">
        <v>0</v>
      </c>
      <c r="E191">
        <v>2</v>
      </c>
      <c r="F191">
        <v>18</v>
      </c>
      <c r="G191" t="b">
        <v>0</v>
      </c>
      <c r="H191">
        <v>6</v>
      </c>
      <c r="I191">
        <v>2</v>
      </c>
      <c r="J191">
        <v>0.28000000000000003</v>
      </c>
      <c r="K191">
        <v>0.2424</v>
      </c>
      <c r="L191">
        <v>0.93</v>
      </c>
      <c r="M191">
        <v>0.44779999999999998</v>
      </c>
      <c r="N191">
        <v>2</v>
      </c>
      <c r="O191">
        <v>81</v>
      </c>
      <c r="P191">
        <v>83</v>
      </c>
    </row>
    <row r="192" spans="1:16">
      <c r="A192">
        <v>801</v>
      </c>
      <c r="B192" s="2">
        <v>40579</v>
      </c>
      <c r="C192">
        <v>1</v>
      </c>
      <c r="D192">
        <v>0</v>
      </c>
      <c r="E192">
        <v>2</v>
      </c>
      <c r="F192">
        <v>19</v>
      </c>
      <c r="G192" t="b">
        <v>0</v>
      </c>
      <c r="H192">
        <v>6</v>
      </c>
      <c r="I192">
        <v>2</v>
      </c>
      <c r="J192">
        <v>0.28000000000000003</v>
      </c>
      <c r="K192">
        <v>0.2424</v>
      </c>
      <c r="L192">
        <v>0.93</v>
      </c>
      <c r="M192">
        <v>0.44779999999999998</v>
      </c>
      <c r="N192">
        <v>6</v>
      </c>
      <c r="O192">
        <v>78</v>
      </c>
      <c r="P192">
        <v>84</v>
      </c>
    </row>
    <row r="193" spans="1:16">
      <c r="A193">
        <v>802</v>
      </c>
      <c r="B193" s="2">
        <v>40579</v>
      </c>
      <c r="C193">
        <v>1</v>
      </c>
      <c r="D193">
        <v>0</v>
      </c>
      <c r="E193">
        <v>2</v>
      </c>
      <c r="F193">
        <v>20</v>
      </c>
      <c r="G193" t="b">
        <v>0</v>
      </c>
      <c r="H193">
        <v>6</v>
      </c>
      <c r="I193">
        <v>1</v>
      </c>
      <c r="J193">
        <v>0.3</v>
      </c>
      <c r="K193">
        <v>0.28789999999999999</v>
      </c>
      <c r="L193">
        <v>0.87</v>
      </c>
      <c r="M193">
        <v>0.25369999999999998</v>
      </c>
      <c r="N193">
        <v>5</v>
      </c>
      <c r="O193">
        <v>64</v>
      </c>
      <c r="P193">
        <v>69</v>
      </c>
    </row>
    <row r="194" spans="1:16">
      <c r="A194">
        <v>803</v>
      </c>
      <c r="B194" s="2">
        <v>40579</v>
      </c>
      <c r="C194">
        <v>1</v>
      </c>
      <c r="D194">
        <v>0</v>
      </c>
      <c r="E194">
        <v>2</v>
      </c>
      <c r="F194">
        <v>21</v>
      </c>
      <c r="G194" t="b">
        <v>0</v>
      </c>
      <c r="H194">
        <v>6</v>
      </c>
      <c r="I194">
        <v>1</v>
      </c>
      <c r="J194">
        <v>0.26</v>
      </c>
      <c r="K194">
        <v>0.2576</v>
      </c>
      <c r="L194">
        <v>1</v>
      </c>
      <c r="M194">
        <v>0.19400000000000001</v>
      </c>
      <c r="N194">
        <v>3</v>
      </c>
      <c r="O194">
        <v>53</v>
      </c>
      <c r="P194">
        <v>56</v>
      </c>
    </row>
    <row r="195" spans="1:16">
      <c r="A195">
        <v>804</v>
      </c>
      <c r="B195" s="2">
        <v>40579</v>
      </c>
      <c r="C195">
        <v>1</v>
      </c>
      <c r="D195">
        <v>0</v>
      </c>
      <c r="E195">
        <v>2</v>
      </c>
      <c r="F195">
        <v>22</v>
      </c>
      <c r="G195" t="b">
        <v>0</v>
      </c>
      <c r="H195">
        <v>6</v>
      </c>
      <c r="I195">
        <v>1</v>
      </c>
      <c r="J195">
        <v>0.26</v>
      </c>
      <c r="K195">
        <v>0.2727</v>
      </c>
      <c r="L195">
        <v>0.93</v>
      </c>
      <c r="M195">
        <v>0.1343</v>
      </c>
      <c r="N195">
        <v>2</v>
      </c>
      <c r="O195">
        <v>43</v>
      </c>
      <c r="P195">
        <v>45</v>
      </c>
    </row>
    <row r="196" spans="1:16">
      <c r="A196">
        <v>805</v>
      </c>
      <c r="B196" s="2">
        <v>40579</v>
      </c>
      <c r="C196">
        <v>1</v>
      </c>
      <c r="D196">
        <v>0</v>
      </c>
      <c r="E196">
        <v>2</v>
      </c>
      <c r="F196">
        <v>23</v>
      </c>
      <c r="G196" t="b">
        <v>0</v>
      </c>
      <c r="H196">
        <v>6</v>
      </c>
      <c r="I196">
        <v>1</v>
      </c>
      <c r="J196">
        <v>0.26</v>
      </c>
      <c r="K196">
        <v>0.2576</v>
      </c>
      <c r="L196">
        <v>0.93</v>
      </c>
      <c r="M196">
        <v>0.22389999999999999</v>
      </c>
      <c r="N196">
        <v>7</v>
      </c>
      <c r="O196">
        <v>52</v>
      </c>
      <c r="P196">
        <v>59</v>
      </c>
    </row>
    <row r="197" spans="1:16">
      <c r="A197">
        <v>806</v>
      </c>
      <c r="B197" s="2">
        <v>40580</v>
      </c>
      <c r="C197">
        <v>1</v>
      </c>
      <c r="D197">
        <v>0</v>
      </c>
      <c r="E197">
        <v>2</v>
      </c>
      <c r="F197">
        <v>0</v>
      </c>
      <c r="G197" t="b">
        <v>0</v>
      </c>
      <c r="H197">
        <v>0</v>
      </c>
      <c r="I197">
        <v>1</v>
      </c>
      <c r="J197">
        <v>0.26</v>
      </c>
      <c r="K197">
        <v>0.2576</v>
      </c>
      <c r="L197">
        <v>0.7</v>
      </c>
      <c r="M197">
        <v>0.19400000000000001</v>
      </c>
      <c r="N197">
        <v>2</v>
      </c>
      <c r="O197">
        <v>37</v>
      </c>
      <c r="P197">
        <v>39</v>
      </c>
    </row>
    <row r="198" spans="1:16">
      <c r="A198">
        <v>807</v>
      </c>
      <c r="B198" s="2">
        <v>40580</v>
      </c>
      <c r="C198">
        <v>1</v>
      </c>
      <c r="D198">
        <v>0</v>
      </c>
      <c r="E198">
        <v>2</v>
      </c>
      <c r="F198">
        <v>1</v>
      </c>
      <c r="G198" t="b">
        <v>0</v>
      </c>
      <c r="H198">
        <v>0</v>
      </c>
      <c r="I198">
        <v>1</v>
      </c>
      <c r="J198">
        <v>0.26</v>
      </c>
      <c r="K198">
        <v>0.2273</v>
      </c>
      <c r="L198">
        <v>0.65</v>
      </c>
      <c r="M198">
        <v>0.41789999999999999</v>
      </c>
      <c r="N198">
        <v>4</v>
      </c>
      <c r="O198">
        <v>40</v>
      </c>
      <c r="P198">
        <v>44</v>
      </c>
    </row>
    <row r="199" spans="1:16">
      <c r="A199">
        <v>808</v>
      </c>
      <c r="B199" s="2">
        <v>40580</v>
      </c>
      <c r="C199">
        <v>1</v>
      </c>
      <c r="D199">
        <v>0</v>
      </c>
      <c r="E199">
        <v>2</v>
      </c>
      <c r="F199">
        <v>2</v>
      </c>
      <c r="G199" t="b">
        <v>0</v>
      </c>
      <c r="H199">
        <v>0</v>
      </c>
      <c r="I199">
        <v>1</v>
      </c>
      <c r="J199">
        <v>0.26</v>
      </c>
      <c r="K199">
        <v>0.2273</v>
      </c>
      <c r="L199">
        <v>0.6</v>
      </c>
      <c r="M199">
        <v>0.32840000000000003</v>
      </c>
      <c r="N199">
        <v>0</v>
      </c>
      <c r="O199">
        <v>20</v>
      </c>
      <c r="P199">
        <v>20</v>
      </c>
    </row>
    <row r="200" spans="1:16">
      <c r="A200">
        <v>809</v>
      </c>
      <c r="B200" s="2">
        <v>40580</v>
      </c>
      <c r="C200">
        <v>1</v>
      </c>
      <c r="D200">
        <v>0</v>
      </c>
      <c r="E200">
        <v>2</v>
      </c>
      <c r="F200">
        <v>3</v>
      </c>
      <c r="G200" t="b">
        <v>0</v>
      </c>
      <c r="H200">
        <v>0</v>
      </c>
      <c r="I200">
        <v>1</v>
      </c>
      <c r="J200">
        <v>0.26</v>
      </c>
      <c r="K200">
        <v>0.28789999999999999</v>
      </c>
      <c r="L200">
        <v>0.6</v>
      </c>
      <c r="M200">
        <v>8.9599999999999999E-2</v>
      </c>
      <c r="N200">
        <v>3</v>
      </c>
      <c r="O200">
        <v>10</v>
      </c>
      <c r="P200">
        <v>13</v>
      </c>
    </row>
    <row r="201" spans="1:16">
      <c r="A201">
        <v>810</v>
      </c>
      <c r="B201" s="2">
        <v>40580</v>
      </c>
      <c r="C201">
        <v>1</v>
      </c>
      <c r="D201">
        <v>0</v>
      </c>
      <c r="E201">
        <v>2</v>
      </c>
      <c r="F201">
        <v>4</v>
      </c>
      <c r="G201" t="b">
        <v>0</v>
      </c>
      <c r="H201">
        <v>0</v>
      </c>
      <c r="I201">
        <v>1</v>
      </c>
      <c r="J201">
        <v>0.26</v>
      </c>
      <c r="K201">
        <v>0.2273</v>
      </c>
      <c r="L201">
        <v>0.6</v>
      </c>
      <c r="M201">
        <v>0.35820000000000002</v>
      </c>
      <c r="N201">
        <v>0</v>
      </c>
      <c r="O201">
        <v>2</v>
      </c>
      <c r="P201">
        <v>2</v>
      </c>
    </row>
    <row r="202" spans="1:16">
      <c r="A202">
        <v>811</v>
      </c>
      <c r="B202" s="2">
        <v>40580</v>
      </c>
      <c r="C202">
        <v>1</v>
      </c>
      <c r="D202">
        <v>0</v>
      </c>
      <c r="E202">
        <v>2</v>
      </c>
      <c r="F202">
        <v>5</v>
      </c>
      <c r="G202" t="b">
        <v>0</v>
      </c>
      <c r="H202">
        <v>0</v>
      </c>
      <c r="I202">
        <v>1</v>
      </c>
      <c r="J202">
        <v>0.26</v>
      </c>
      <c r="K202">
        <v>0.2576</v>
      </c>
      <c r="L202">
        <v>0.6</v>
      </c>
      <c r="M202">
        <v>0.22389999999999999</v>
      </c>
      <c r="N202">
        <v>0</v>
      </c>
      <c r="O202">
        <v>1</v>
      </c>
      <c r="P202">
        <v>1</v>
      </c>
    </row>
    <row r="203" spans="1:16">
      <c r="A203">
        <v>812</v>
      </c>
      <c r="B203" s="2">
        <v>40580</v>
      </c>
      <c r="C203">
        <v>1</v>
      </c>
      <c r="D203">
        <v>0</v>
      </c>
      <c r="E203">
        <v>2</v>
      </c>
      <c r="F203">
        <v>6</v>
      </c>
      <c r="G203" t="b">
        <v>0</v>
      </c>
      <c r="H203">
        <v>0</v>
      </c>
      <c r="I203">
        <v>1</v>
      </c>
      <c r="J203">
        <v>0.26</v>
      </c>
      <c r="K203">
        <v>0.2576</v>
      </c>
      <c r="L203">
        <v>0.6</v>
      </c>
      <c r="M203">
        <v>0.22389999999999999</v>
      </c>
      <c r="N203">
        <v>0</v>
      </c>
      <c r="O203">
        <v>1</v>
      </c>
      <c r="P203">
        <v>1</v>
      </c>
    </row>
    <row r="204" spans="1:16">
      <c r="A204">
        <v>813</v>
      </c>
      <c r="B204" s="2">
        <v>40580</v>
      </c>
      <c r="C204">
        <v>1</v>
      </c>
      <c r="D204">
        <v>0</v>
      </c>
      <c r="E204">
        <v>2</v>
      </c>
      <c r="F204">
        <v>7</v>
      </c>
      <c r="G204" t="b">
        <v>0</v>
      </c>
      <c r="H204">
        <v>0</v>
      </c>
      <c r="I204">
        <v>1</v>
      </c>
      <c r="J204">
        <v>0.24</v>
      </c>
      <c r="K204">
        <v>0.2424</v>
      </c>
      <c r="L204">
        <v>0.65</v>
      </c>
      <c r="M204">
        <v>0.16420000000000001</v>
      </c>
      <c r="N204">
        <v>0</v>
      </c>
      <c r="O204">
        <v>8</v>
      </c>
      <c r="P204">
        <v>8</v>
      </c>
    </row>
    <row r="205" spans="1:16">
      <c r="A205">
        <v>814</v>
      </c>
      <c r="B205" s="2">
        <v>40580</v>
      </c>
      <c r="C205">
        <v>1</v>
      </c>
      <c r="D205">
        <v>0</v>
      </c>
      <c r="E205">
        <v>2</v>
      </c>
      <c r="F205">
        <v>8</v>
      </c>
      <c r="G205" t="b">
        <v>0</v>
      </c>
      <c r="H205">
        <v>0</v>
      </c>
      <c r="I205">
        <v>1</v>
      </c>
      <c r="J205">
        <v>0.24</v>
      </c>
      <c r="K205">
        <v>0.2576</v>
      </c>
      <c r="L205">
        <v>0.65</v>
      </c>
      <c r="M205">
        <v>0.1045</v>
      </c>
      <c r="N205">
        <v>2</v>
      </c>
      <c r="O205">
        <v>21</v>
      </c>
      <c r="P205">
        <v>23</v>
      </c>
    </row>
    <row r="206" spans="1:16">
      <c r="A206">
        <v>815</v>
      </c>
      <c r="B206" s="2">
        <v>40580</v>
      </c>
      <c r="C206">
        <v>1</v>
      </c>
      <c r="D206">
        <v>0</v>
      </c>
      <c r="E206">
        <v>2</v>
      </c>
      <c r="F206">
        <v>9</v>
      </c>
      <c r="G206" t="b">
        <v>0</v>
      </c>
      <c r="H206">
        <v>0</v>
      </c>
      <c r="I206">
        <v>1</v>
      </c>
      <c r="J206">
        <v>0.28000000000000003</v>
      </c>
      <c r="K206">
        <v>0.28789999999999999</v>
      </c>
      <c r="L206">
        <v>0.56000000000000005</v>
      </c>
      <c r="M206">
        <v>0.1045</v>
      </c>
      <c r="N206">
        <v>7</v>
      </c>
      <c r="O206">
        <v>38</v>
      </c>
      <c r="P206">
        <v>45</v>
      </c>
    </row>
    <row r="207" spans="1:16">
      <c r="A207">
        <v>816</v>
      </c>
      <c r="B207" s="2">
        <v>40580</v>
      </c>
      <c r="C207">
        <v>1</v>
      </c>
      <c r="D207">
        <v>0</v>
      </c>
      <c r="E207">
        <v>2</v>
      </c>
      <c r="F207">
        <v>10</v>
      </c>
      <c r="G207" t="b">
        <v>0</v>
      </c>
      <c r="H207">
        <v>0</v>
      </c>
      <c r="I207">
        <v>1</v>
      </c>
      <c r="J207">
        <v>0.3</v>
      </c>
      <c r="K207">
        <v>0.28789999999999999</v>
      </c>
      <c r="L207">
        <v>0.52</v>
      </c>
      <c r="M207">
        <v>0.25369999999999998</v>
      </c>
      <c r="N207">
        <v>15</v>
      </c>
      <c r="O207">
        <v>74</v>
      </c>
      <c r="P207">
        <v>89</v>
      </c>
    </row>
    <row r="208" spans="1:16">
      <c r="A208">
        <v>817</v>
      </c>
      <c r="B208" s="2">
        <v>40580</v>
      </c>
      <c r="C208">
        <v>1</v>
      </c>
      <c r="D208">
        <v>0</v>
      </c>
      <c r="E208">
        <v>2</v>
      </c>
      <c r="F208">
        <v>11</v>
      </c>
      <c r="G208" t="b">
        <v>0</v>
      </c>
      <c r="H208">
        <v>0</v>
      </c>
      <c r="I208">
        <v>1</v>
      </c>
      <c r="J208">
        <v>0.32</v>
      </c>
      <c r="K208">
        <v>0.30299999999999999</v>
      </c>
      <c r="L208">
        <v>0.49</v>
      </c>
      <c r="M208">
        <v>0.25369999999999998</v>
      </c>
      <c r="N208">
        <v>28</v>
      </c>
      <c r="O208">
        <v>89</v>
      </c>
      <c r="P208">
        <v>117</v>
      </c>
    </row>
    <row r="209" spans="1:16">
      <c r="A209">
        <v>818</v>
      </c>
      <c r="B209" s="2">
        <v>40580</v>
      </c>
      <c r="C209">
        <v>1</v>
      </c>
      <c r="D209">
        <v>0</v>
      </c>
      <c r="E209">
        <v>2</v>
      </c>
      <c r="F209">
        <v>12</v>
      </c>
      <c r="G209" t="b">
        <v>0</v>
      </c>
      <c r="H209">
        <v>0</v>
      </c>
      <c r="I209">
        <v>1</v>
      </c>
      <c r="J209">
        <v>0.34</v>
      </c>
      <c r="K209">
        <v>0.33329999999999999</v>
      </c>
      <c r="L209">
        <v>0.46</v>
      </c>
      <c r="M209">
        <v>0</v>
      </c>
      <c r="N209">
        <v>48</v>
      </c>
      <c r="O209">
        <v>126</v>
      </c>
      <c r="P209">
        <v>174</v>
      </c>
    </row>
    <row r="210" spans="1:16">
      <c r="A210">
        <v>819</v>
      </c>
      <c r="B210" s="2">
        <v>40580</v>
      </c>
      <c r="C210">
        <v>1</v>
      </c>
      <c r="D210">
        <v>0</v>
      </c>
      <c r="E210">
        <v>2</v>
      </c>
      <c r="F210">
        <v>13</v>
      </c>
      <c r="G210" t="b">
        <v>0</v>
      </c>
      <c r="H210">
        <v>0</v>
      </c>
      <c r="I210">
        <v>1</v>
      </c>
      <c r="J210">
        <v>0.34</v>
      </c>
      <c r="K210">
        <v>0.36359999999999998</v>
      </c>
      <c r="L210">
        <v>0.46</v>
      </c>
      <c r="M210">
        <v>0</v>
      </c>
      <c r="N210">
        <v>47</v>
      </c>
      <c r="O210">
        <v>135</v>
      </c>
      <c r="P210">
        <v>182</v>
      </c>
    </row>
    <row r="211" spans="1:16">
      <c r="A211">
        <v>820</v>
      </c>
      <c r="B211" s="2">
        <v>40580</v>
      </c>
      <c r="C211">
        <v>1</v>
      </c>
      <c r="D211">
        <v>0</v>
      </c>
      <c r="E211">
        <v>2</v>
      </c>
      <c r="F211">
        <v>14</v>
      </c>
      <c r="G211" t="b">
        <v>0</v>
      </c>
      <c r="H211">
        <v>0</v>
      </c>
      <c r="I211">
        <v>1</v>
      </c>
      <c r="J211">
        <v>0.34</v>
      </c>
      <c r="K211">
        <v>0.34849999999999998</v>
      </c>
      <c r="L211">
        <v>0.46</v>
      </c>
      <c r="M211">
        <v>8.9599999999999999E-2</v>
      </c>
      <c r="N211">
        <v>47</v>
      </c>
      <c r="O211">
        <v>114</v>
      </c>
      <c r="P211">
        <v>161</v>
      </c>
    </row>
    <row r="212" spans="1:16">
      <c r="A212">
        <v>821</v>
      </c>
      <c r="B212" s="2">
        <v>40580</v>
      </c>
      <c r="C212">
        <v>1</v>
      </c>
      <c r="D212">
        <v>0</v>
      </c>
      <c r="E212">
        <v>2</v>
      </c>
      <c r="F212">
        <v>15</v>
      </c>
      <c r="G212" t="b">
        <v>0</v>
      </c>
      <c r="H212">
        <v>0</v>
      </c>
      <c r="I212">
        <v>1</v>
      </c>
      <c r="J212">
        <v>0.34</v>
      </c>
      <c r="K212">
        <v>0.34849999999999998</v>
      </c>
      <c r="L212">
        <v>0.46</v>
      </c>
      <c r="M212">
        <v>8.9599999999999999E-2</v>
      </c>
      <c r="N212">
        <v>52</v>
      </c>
      <c r="O212">
        <v>130</v>
      </c>
      <c r="P212">
        <v>182</v>
      </c>
    </row>
    <row r="213" spans="1:16">
      <c r="A213">
        <v>822</v>
      </c>
      <c r="B213" s="2">
        <v>40580</v>
      </c>
      <c r="C213">
        <v>1</v>
      </c>
      <c r="D213">
        <v>0</v>
      </c>
      <c r="E213">
        <v>2</v>
      </c>
      <c r="F213">
        <v>16</v>
      </c>
      <c r="G213" t="b">
        <v>0</v>
      </c>
      <c r="H213">
        <v>0</v>
      </c>
      <c r="I213">
        <v>1</v>
      </c>
      <c r="J213">
        <v>0.34</v>
      </c>
      <c r="K213">
        <v>0.34849999999999998</v>
      </c>
      <c r="L213">
        <v>0.49</v>
      </c>
      <c r="M213">
        <v>0.1045</v>
      </c>
      <c r="N213">
        <v>42</v>
      </c>
      <c r="O213">
        <v>115</v>
      </c>
      <c r="P213">
        <v>157</v>
      </c>
    </row>
    <row r="214" spans="1:16">
      <c r="A214">
        <v>823</v>
      </c>
      <c r="B214" s="2">
        <v>40580</v>
      </c>
      <c r="C214">
        <v>1</v>
      </c>
      <c r="D214">
        <v>0</v>
      </c>
      <c r="E214">
        <v>2</v>
      </c>
      <c r="F214">
        <v>17</v>
      </c>
      <c r="G214" t="b">
        <v>0</v>
      </c>
      <c r="H214">
        <v>0</v>
      </c>
      <c r="I214">
        <v>1</v>
      </c>
      <c r="J214">
        <v>0.34</v>
      </c>
      <c r="K214">
        <v>0.36359999999999998</v>
      </c>
      <c r="L214">
        <v>0.46</v>
      </c>
      <c r="M214">
        <v>0</v>
      </c>
      <c r="N214">
        <v>24</v>
      </c>
      <c r="O214">
        <v>97</v>
      </c>
      <c r="P214">
        <v>121</v>
      </c>
    </row>
    <row r="215" spans="1:16">
      <c r="A215">
        <v>824</v>
      </c>
      <c r="B215" s="2">
        <v>40580</v>
      </c>
      <c r="C215">
        <v>1</v>
      </c>
      <c r="D215">
        <v>0</v>
      </c>
      <c r="E215">
        <v>2</v>
      </c>
      <c r="F215">
        <v>18</v>
      </c>
      <c r="G215" t="b">
        <v>0</v>
      </c>
      <c r="H215">
        <v>0</v>
      </c>
      <c r="I215">
        <v>1</v>
      </c>
      <c r="J215">
        <v>0.3</v>
      </c>
      <c r="K215">
        <v>0.30299999999999999</v>
      </c>
      <c r="L215">
        <v>0.56000000000000005</v>
      </c>
      <c r="M215">
        <v>0.16420000000000001</v>
      </c>
      <c r="N215">
        <v>13</v>
      </c>
      <c r="O215">
        <v>65</v>
      </c>
      <c r="P215">
        <v>78</v>
      </c>
    </row>
    <row r="216" spans="1:16">
      <c r="A216">
        <v>825</v>
      </c>
      <c r="B216" s="2">
        <v>40580</v>
      </c>
      <c r="C216">
        <v>1</v>
      </c>
      <c r="D216">
        <v>0</v>
      </c>
      <c r="E216">
        <v>2</v>
      </c>
      <c r="F216">
        <v>19</v>
      </c>
      <c r="G216" t="b">
        <v>0</v>
      </c>
      <c r="H216">
        <v>0</v>
      </c>
      <c r="I216">
        <v>1</v>
      </c>
      <c r="J216">
        <v>0.28000000000000003</v>
      </c>
      <c r="K216">
        <v>0.28789999999999999</v>
      </c>
      <c r="L216">
        <v>0.61</v>
      </c>
      <c r="M216">
        <v>0.1343</v>
      </c>
      <c r="N216">
        <v>1</v>
      </c>
      <c r="O216">
        <v>20</v>
      </c>
      <c r="P216">
        <v>21</v>
      </c>
    </row>
    <row r="217" spans="1:16">
      <c r="A217">
        <v>826</v>
      </c>
      <c r="B217" s="2">
        <v>40580</v>
      </c>
      <c r="C217">
        <v>1</v>
      </c>
      <c r="D217">
        <v>0</v>
      </c>
      <c r="E217">
        <v>2</v>
      </c>
      <c r="F217">
        <v>20</v>
      </c>
      <c r="G217" t="b">
        <v>0</v>
      </c>
      <c r="H217">
        <v>0</v>
      </c>
      <c r="I217">
        <v>1</v>
      </c>
      <c r="J217">
        <v>0.28000000000000003</v>
      </c>
      <c r="K217">
        <v>0.28789999999999999</v>
      </c>
      <c r="L217">
        <v>0.61</v>
      </c>
      <c r="M217">
        <v>0.1045</v>
      </c>
      <c r="N217">
        <v>5</v>
      </c>
      <c r="O217">
        <v>21</v>
      </c>
      <c r="P217">
        <v>26</v>
      </c>
    </row>
    <row r="218" spans="1:16">
      <c r="A218">
        <v>827</v>
      </c>
      <c r="B218" s="2">
        <v>40580</v>
      </c>
      <c r="C218">
        <v>1</v>
      </c>
      <c r="D218">
        <v>0</v>
      </c>
      <c r="E218">
        <v>2</v>
      </c>
      <c r="F218">
        <v>21</v>
      </c>
      <c r="G218" t="b">
        <v>0</v>
      </c>
      <c r="H218">
        <v>0</v>
      </c>
      <c r="I218">
        <v>1</v>
      </c>
      <c r="J218">
        <v>0.26</v>
      </c>
      <c r="K218">
        <v>0.30299999999999999</v>
      </c>
      <c r="L218">
        <v>0.6</v>
      </c>
      <c r="M218">
        <v>0</v>
      </c>
      <c r="N218">
        <v>5</v>
      </c>
      <c r="O218">
        <v>22</v>
      </c>
      <c r="P218">
        <v>27</v>
      </c>
    </row>
    <row r="219" spans="1:16">
      <c r="A219">
        <v>828</v>
      </c>
      <c r="B219" s="2">
        <v>40580</v>
      </c>
      <c r="C219">
        <v>1</v>
      </c>
      <c r="D219">
        <v>0</v>
      </c>
      <c r="E219">
        <v>2</v>
      </c>
      <c r="F219">
        <v>22</v>
      </c>
      <c r="G219" t="b">
        <v>0</v>
      </c>
      <c r="H219">
        <v>0</v>
      </c>
      <c r="I219">
        <v>1</v>
      </c>
      <c r="J219">
        <v>0.26</v>
      </c>
      <c r="K219">
        <v>0.30299999999999999</v>
      </c>
      <c r="L219">
        <v>0.6</v>
      </c>
      <c r="M219">
        <v>0</v>
      </c>
      <c r="N219">
        <v>5</v>
      </c>
      <c r="O219">
        <v>57</v>
      </c>
      <c r="P219">
        <v>62</v>
      </c>
    </row>
    <row r="220" spans="1:16">
      <c r="A220">
        <v>829</v>
      </c>
      <c r="B220" s="2">
        <v>40580</v>
      </c>
      <c r="C220">
        <v>1</v>
      </c>
      <c r="D220">
        <v>0</v>
      </c>
      <c r="E220">
        <v>2</v>
      </c>
      <c r="F220">
        <v>23</v>
      </c>
      <c r="G220" t="b">
        <v>0</v>
      </c>
      <c r="H220">
        <v>0</v>
      </c>
      <c r="I220">
        <v>1</v>
      </c>
      <c r="J220">
        <v>0.24</v>
      </c>
      <c r="K220">
        <v>0.28789999999999999</v>
      </c>
      <c r="L220">
        <v>0.65</v>
      </c>
      <c r="M220">
        <v>0</v>
      </c>
      <c r="N220">
        <v>4</v>
      </c>
      <c r="O220">
        <v>26</v>
      </c>
      <c r="P220">
        <v>30</v>
      </c>
    </row>
    <row r="221" spans="1:16">
      <c r="A221">
        <v>830</v>
      </c>
      <c r="B221" s="2">
        <v>40581</v>
      </c>
      <c r="C221">
        <v>1</v>
      </c>
      <c r="D221">
        <v>0</v>
      </c>
      <c r="E221">
        <v>2</v>
      </c>
      <c r="F221">
        <v>0</v>
      </c>
      <c r="G221" t="b">
        <v>0</v>
      </c>
      <c r="H221">
        <v>1</v>
      </c>
      <c r="I221">
        <v>1</v>
      </c>
      <c r="J221">
        <v>0.24</v>
      </c>
      <c r="K221">
        <v>0.28789999999999999</v>
      </c>
      <c r="L221">
        <v>0.65</v>
      </c>
      <c r="M221">
        <v>0</v>
      </c>
      <c r="N221">
        <v>1</v>
      </c>
      <c r="O221">
        <v>14</v>
      </c>
      <c r="P221">
        <v>15</v>
      </c>
    </row>
    <row r="222" spans="1:16">
      <c r="A222">
        <v>831</v>
      </c>
      <c r="B222" s="2">
        <v>40581</v>
      </c>
      <c r="C222">
        <v>1</v>
      </c>
      <c r="D222">
        <v>0</v>
      </c>
      <c r="E222">
        <v>2</v>
      </c>
      <c r="F222">
        <v>1</v>
      </c>
      <c r="G222" t="b">
        <v>0</v>
      </c>
      <c r="H222">
        <v>1</v>
      </c>
      <c r="I222">
        <v>1</v>
      </c>
      <c r="J222">
        <v>0.22</v>
      </c>
      <c r="K222">
        <v>0.2727</v>
      </c>
      <c r="L222">
        <v>0.75</v>
      </c>
      <c r="M222">
        <v>0</v>
      </c>
      <c r="N222">
        <v>1</v>
      </c>
      <c r="O222">
        <v>4</v>
      </c>
      <c r="P222">
        <v>5</v>
      </c>
    </row>
    <row r="223" spans="1:16">
      <c r="A223">
        <v>832</v>
      </c>
      <c r="B223" s="2">
        <v>40581</v>
      </c>
      <c r="C223">
        <v>1</v>
      </c>
      <c r="D223">
        <v>0</v>
      </c>
      <c r="E223">
        <v>2</v>
      </c>
      <c r="F223">
        <v>2</v>
      </c>
      <c r="G223" t="b">
        <v>0</v>
      </c>
      <c r="H223">
        <v>1</v>
      </c>
      <c r="I223">
        <v>1</v>
      </c>
      <c r="J223">
        <v>0.2</v>
      </c>
      <c r="K223">
        <v>0.2576</v>
      </c>
      <c r="L223">
        <v>0.8</v>
      </c>
      <c r="M223">
        <v>0</v>
      </c>
      <c r="N223">
        <v>0</v>
      </c>
      <c r="O223">
        <v>3</v>
      </c>
      <c r="P223">
        <v>3</v>
      </c>
    </row>
    <row r="224" spans="1:16">
      <c r="A224">
        <v>833</v>
      </c>
      <c r="B224" s="2">
        <v>40581</v>
      </c>
      <c r="C224">
        <v>1</v>
      </c>
      <c r="D224">
        <v>0</v>
      </c>
      <c r="E224">
        <v>2</v>
      </c>
      <c r="F224">
        <v>3</v>
      </c>
      <c r="G224" t="b">
        <v>0</v>
      </c>
      <c r="H224">
        <v>1</v>
      </c>
      <c r="I224">
        <v>1</v>
      </c>
      <c r="J224">
        <v>0.2</v>
      </c>
      <c r="K224">
        <v>0.2576</v>
      </c>
      <c r="L224">
        <v>0.86</v>
      </c>
      <c r="M224">
        <v>0</v>
      </c>
      <c r="N224">
        <v>0</v>
      </c>
      <c r="O224">
        <v>1</v>
      </c>
      <c r="P224">
        <v>1</v>
      </c>
    </row>
    <row r="225" spans="1:16">
      <c r="A225">
        <v>834</v>
      </c>
      <c r="B225" s="2">
        <v>40581</v>
      </c>
      <c r="C225">
        <v>1</v>
      </c>
      <c r="D225">
        <v>0</v>
      </c>
      <c r="E225">
        <v>2</v>
      </c>
      <c r="F225">
        <v>4</v>
      </c>
      <c r="G225" t="b">
        <v>0</v>
      </c>
      <c r="H225">
        <v>1</v>
      </c>
      <c r="I225">
        <v>1</v>
      </c>
      <c r="J225">
        <v>0.2</v>
      </c>
      <c r="K225">
        <v>0.2576</v>
      </c>
      <c r="L225">
        <v>0.86</v>
      </c>
      <c r="M225">
        <v>0</v>
      </c>
      <c r="N225">
        <v>1</v>
      </c>
      <c r="O225">
        <v>1</v>
      </c>
      <c r="P225">
        <v>2</v>
      </c>
    </row>
    <row r="226" spans="1:16">
      <c r="A226">
        <v>835</v>
      </c>
      <c r="B226" s="2">
        <v>40581</v>
      </c>
      <c r="C226">
        <v>1</v>
      </c>
      <c r="D226">
        <v>0</v>
      </c>
      <c r="E226">
        <v>2</v>
      </c>
      <c r="F226">
        <v>5</v>
      </c>
      <c r="G226" t="b">
        <v>0</v>
      </c>
      <c r="H226">
        <v>1</v>
      </c>
      <c r="I226">
        <v>1</v>
      </c>
      <c r="J226">
        <v>0.2</v>
      </c>
      <c r="K226">
        <v>0.2576</v>
      </c>
      <c r="L226">
        <v>0.86</v>
      </c>
      <c r="M226">
        <v>0</v>
      </c>
      <c r="N226">
        <v>1</v>
      </c>
      <c r="O226">
        <v>9</v>
      </c>
      <c r="P226">
        <v>10</v>
      </c>
    </row>
    <row r="227" spans="1:16">
      <c r="A227">
        <v>836</v>
      </c>
      <c r="B227" s="2">
        <v>40581</v>
      </c>
      <c r="C227">
        <v>1</v>
      </c>
      <c r="D227">
        <v>0</v>
      </c>
      <c r="E227">
        <v>2</v>
      </c>
      <c r="F227">
        <v>6</v>
      </c>
      <c r="G227" t="b">
        <v>0</v>
      </c>
      <c r="H227">
        <v>1</v>
      </c>
      <c r="I227">
        <v>1</v>
      </c>
      <c r="J227">
        <v>0.18</v>
      </c>
      <c r="K227">
        <v>0.2424</v>
      </c>
      <c r="L227">
        <v>0.93</v>
      </c>
      <c r="M227">
        <v>0</v>
      </c>
      <c r="N227">
        <v>1</v>
      </c>
      <c r="O227">
        <v>29</v>
      </c>
      <c r="P227">
        <v>30</v>
      </c>
    </row>
    <row r="228" spans="1:16">
      <c r="A228">
        <v>837</v>
      </c>
      <c r="B228" s="2">
        <v>40581</v>
      </c>
      <c r="C228">
        <v>1</v>
      </c>
      <c r="D228">
        <v>0</v>
      </c>
      <c r="E228">
        <v>2</v>
      </c>
      <c r="F228">
        <v>7</v>
      </c>
      <c r="G228" t="b">
        <v>0</v>
      </c>
      <c r="H228">
        <v>1</v>
      </c>
      <c r="I228">
        <v>1</v>
      </c>
      <c r="J228">
        <v>0.18</v>
      </c>
      <c r="K228">
        <v>0.2424</v>
      </c>
      <c r="L228">
        <v>0.86</v>
      </c>
      <c r="M228">
        <v>0</v>
      </c>
      <c r="N228">
        <v>6</v>
      </c>
      <c r="O228">
        <v>89</v>
      </c>
      <c r="P228">
        <v>95</v>
      </c>
    </row>
    <row r="229" spans="1:16">
      <c r="A229">
        <v>838</v>
      </c>
      <c r="B229" s="2">
        <v>40581</v>
      </c>
      <c r="C229">
        <v>1</v>
      </c>
      <c r="D229">
        <v>0</v>
      </c>
      <c r="E229">
        <v>2</v>
      </c>
      <c r="F229">
        <v>8</v>
      </c>
      <c r="G229" t="b">
        <v>0</v>
      </c>
      <c r="H229">
        <v>1</v>
      </c>
      <c r="I229">
        <v>2</v>
      </c>
      <c r="J229">
        <v>0.16</v>
      </c>
      <c r="K229">
        <v>0.2273</v>
      </c>
      <c r="L229">
        <v>1</v>
      </c>
      <c r="M229">
        <v>0</v>
      </c>
      <c r="N229">
        <v>7</v>
      </c>
      <c r="O229">
        <v>223</v>
      </c>
      <c r="P229">
        <v>230</v>
      </c>
    </row>
    <row r="230" spans="1:16">
      <c r="A230">
        <v>839</v>
      </c>
      <c r="B230" s="2">
        <v>40581</v>
      </c>
      <c r="C230">
        <v>1</v>
      </c>
      <c r="D230">
        <v>0</v>
      </c>
      <c r="E230">
        <v>2</v>
      </c>
      <c r="F230">
        <v>9</v>
      </c>
      <c r="G230" t="b">
        <v>0</v>
      </c>
      <c r="H230">
        <v>1</v>
      </c>
      <c r="I230">
        <v>1</v>
      </c>
      <c r="J230">
        <v>0.22</v>
      </c>
      <c r="K230">
        <v>0.2727</v>
      </c>
      <c r="L230">
        <v>0.8</v>
      </c>
      <c r="M230">
        <v>0</v>
      </c>
      <c r="N230">
        <v>3</v>
      </c>
      <c r="O230">
        <v>115</v>
      </c>
      <c r="P230">
        <v>118</v>
      </c>
    </row>
    <row r="231" spans="1:16">
      <c r="A231">
        <v>840</v>
      </c>
      <c r="B231" s="2">
        <v>40581</v>
      </c>
      <c r="C231">
        <v>1</v>
      </c>
      <c r="D231">
        <v>0</v>
      </c>
      <c r="E231">
        <v>2</v>
      </c>
      <c r="F231">
        <v>10</v>
      </c>
      <c r="G231" t="b">
        <v>0</v>
      </c>
      <c r="H231">
        <v>1</v>
      </c>
      <c r="I231">
        <v>1</v>
      </c>
      <c r="J231">
        <v>0.24</v>
      </c>
      <c r="K231">
        <v>0.2576</v>
      </c>
      <c r="L231">
        <v>0.75</v>
      </c>
      <c r="M231">
        <v>0.1045</v>
      </c>
      <c r="N231">
        <v>6</v>
      </c>
      <c r="O231">
        <v>49</v>
      </c>
      <c r="P231">
        <v>55</v>
      </c>
    </row>
    <row r="232" spans="1:16">
      <c r="A232">
        <v>841</v>
      </c>
      <c r="B232" s="2">
        <v>40581</v>
      </c>
      <c r="C232">
        <v>1</v>
      </c>
      <c r="D232">
        <v>0</v>
      </c>
      <c r="E232">
        <v>2</v>
      </c>
      <c r="F232">
        <v>11</v>
      </c>
      <c r="G232" t="b">
        <v>0</v>
      </c>
      <c r="H232">
        <v>1</v>
      </c>
      <c r="I232">
        <v>1</v>
      </c>
      <c r="J232">
        <v>0.3</v>
      </c>
      <c r="K232">
        <v>0.31819999999999998</v>
      </c>
      <c r="L232">
        <v>0.65</v>
      </c>
      <c r="M232">
        <v>8.9599999999999999E-2</v>
      </c>
      <c r="N232">
        <v>11</v>
      </c>
      <c r="O232">
        <v>36</v>
      </c>
      <c r="P232">
        <v>47</v>
      </c>
    </row>
    <row r="233" spans="1:16">
      <c r="A233">
        <v>842</v>
      </c>
      <c r="B233" s="2">
        <v>40581</v>
      </c>
      <c r="C233">
        <v>1</v>
      </c>
      <c r="D233">
        <v>0</v>
      </c>
      <c r="E233">
        <v>2</v>
      </c>
      <c r="F233">
        <v>12</v>
      </c>
      <c r="G233" t="b">
        <v>0</v>
      </c>
      <c r="H233">
        <v>1</v>
      </c>
      <c r="I233">
        <v>2</v>
      </c>
      <c r="J233">
        <v>0.32</v>
      </c>
      <c r="K233">
        <v>0.34849999999999998</v>
      </c>
      <c r="L233">
        <v>0.62</v>
      </c>
      <c r="M233">
        <v>0</v>
      </c>
      <c r="N233">
        <v>7</v>
      </c>
      <c r="O233">
        <v>59</v>
      </c>
      <c r="P233">
        <v>66</v>
      </c>
    </row>
    <row r="234" spans="1:16">
      <c r="A234">
        <v>843</v>
      </c>
      <c r="B234" s="2">
        <v>40581</v>
      </c>
      <c r="C234">
        <v>1</v>
      </c>
      <c r="D234">
        <v>0</v>
      </c>
      <c r="E234">
        <v>2</v>
      </c>
      <c r="F234">
        <v>13</v>
      </c>
      <c r="G234" t="b">
        <v>0</v>
      </c>
      <c r="H234">
        <v>1</v>
      </c>
      <c r="I234">
        <v>2</v>
      </c>
      <c r="J234">
        <v>0.36</v>
      </c>
      <c r="K234">
        <v>0.36359999999999998</v>
      </c>
      <c r="L234">
        <v>0.56999999999999995</v>
      </c>
      <c r="M234">
        <v>8.9599999999999999E-2</v>
      </c>
      <c r="N234">
        <v>10</v>
      </c>
      <c r="O234">
        <v>54</v>
      </c>
      <c r="P234">
        <v>64</v>
      </c>
    </row>
    <row r="235" spans="1:16">
      <c r="A235">
        <v>844</v>
      </c>
      <c r="B235" s="2">
        <v>40581</v>
      </c>
      <c r="C235">
        <v>1</v>
      </c>
      <c r="D235">
        <v>0</v>
      </c>
      <c r="E235">
        <v>2</v>
      </c>
      <c r="F235">
        <v>14</v>
      </c>
      <c r="G235" t="b">
        <v>0</v>
      </c>
      <c r="H235">
        <v>1</v>
      </c>
      <c r="I235">
        <v>2</v>
      </c>
      <c r="J235">
        <v>0.36</v>
      </c>
      <c r="K235">
        <v>0.36359999999999998</v>
      </c>
      <c r="L235">
        <v>0.56999999999999995</v>
      </c>
      <c r="M235">
        <v>8.9599999999999999E-2</v>
      </c>
      <c r="N235">
        <v>8</v>
      </c>
      <c r="O235">
        <v>52</v>
      </c>
      <c r="P235">
        <v>60</v>
      </c>
    </row>
    <row r="236" spans="1:16">
      <c r="A236">
        <v>845</v>
      </c>
      <c r="B236" s="2">
        <v>40581</v>
      </c>
      <c r="C236">
        <v>1</v>
      </c>
      <c r="D236">
        <v>0</v>
      </c>
      <c r="E236">
        <v>2</v>
      </c>
      <c r="F236">
        <v>15</v>
      </c>
      <c r="G236" t="b">
        <v>0</v>
      </c>
      <c r="H236">
        <v>1</v>
      </c>
      <c r="I236">
        <v>2</v>
      </c>
      <c r="J236">
        <v>0.38</v>
      </c>
      <c r="K236">
        <v>0.39389999999999997</v>
      </c>
      <c r="L236">
        <v>0.54</v>
      </c>
      <c r="M236">
        <v>8.9599999999999999E-2</v>
      </c>
      <c r="N236">
        <v>4</v>
      </c>
      <c r="O236">
        <v>46</v>
      </c>
      <c r="P236">
        <v>50</v>
      </c>
    </row>
    <row r="237" spans="1:16">
      <c r="A237">
        <v>846</v>
      </c>
      <c r="B237" s="2">
        <v>40581</v>
      </c>
      <c r="C237">
        <v>1</v>
      </c>
      <c r="D237">
        <v>0</v>
      </c>
      <c r="E237">
        <v>2</v>
      </c>
      <c r="F237">
        <v>16</v>
      </c>
      <c r="G237" t="b">
        <v>0</v>
      </c>
      <c r="H237">
        <v>1</v>
      </c>
      <c r="I237">
        <v>2</v>
      </c>
      <c r="J237">
        <v>0.36</v>
      </c>
      <c r="K237">
        <v>0.34849999999999998</v>
      </c>
      <c r="L237">
        <v>0.56999999999999995</v>
      </c>
      <c r="M237">
        <v>0.1343</v>
      </c>
      <c r="N237">
        <v>16</v>
      </c>
      <c r="O237">
        <v>98</v>
      </c>
      <c r="P237">
        <v>114</v>
      </c>
    </row>
    <row r="238" spans="1:16">
      <c r="A238">
        <v>847</v>
      </c>
      <c r="B238" s="2">
        <v>40581</v>
      </c>
      <c r="C238">
        <v>1</v>
      </c>
      <c r="D238">
        <v>0</v>
      </c>
      <c r="E238">
        <v>2</v>
      </c>
      <c r="F238">
        <v>17</v>
      </c>
      <c r="G238" t="b">
        <v>0</v>
      </c>
      <c r="H238">
        <v>1</v>
      </c>
      <c r="I238">
        <v>2</v>
      </c>
      <c r="J238">
        <v>0.32</v>
      </c>
      <c r="K238">
        <v>0.31819999999999998</v>
      </c>
      <c r="L238">
        <v>0.7</v>
      </c>
      <c r="M238">
        <v>0.16420000000000001</v>
      </c>
      <c r="N238">
        <v>9</v>
      </c>
      <c r="O238">
        <v>207</v>
      </c>
      <c r="P238">
        <v>216</v>
      </c>
    </row>
    <row r="239" spans="1:16">
      <c r="A239">
        <v>848</v>
      </c>
      <c r="B239" s="2">
        <v>40581</v>
      </c>
      <c r="C239">
        <v>1</v>
      </c>
      <c r="D239">
        <v>0</v>
      </c>
      <c r="E239">
        <v>2</v>
      </c>
      <c r="F239">
        <v>18</v>
      </c>
      <c r="G239" t="b">
        <v>0</v>
      </c>
      <c r="H239">
        <v>1</v>
      </c>
      <c r="I239">
        <v>2</v>
      </c>
      <c r="J239">
        <v>0.34</v>
      </c>
      <c r="K239">
        <v>0.33329999999999999</v>
      </c>
      <c r="L239">
        <v>0.66</v>
      </c>
      <c r="M239">
        <v>0.1343</v>
      </c>
      <c r="N239">
        <v>5</v>
      </c>
      <c r="O239">
        <v>170</v>
      </c>
      <c r="P239">
        <v>175</v>
      </c>
    </row>
    <row r="240" spans="1:16">
      <c r="A240">
        <v>849</v>
      </c>
      <c r="B240" s="2">
        <v>40581</v>
      </c>
      <c r="C240">
        <v>1</v>
      </c>
      <c r="D240">
        <v>0</v>
      </c>
      <c r="E240">
        <v>2</v>
      </c>
      <c r="F240">
        <v>19</v>
      </c>
      <c r="G240" t="b">
        <v>0</v>
      </c>
      <c r="H240">
        <v>1</v>
      </c>
      <c r="I240">
        <v>2</v>
      </c>
      <c r="J240">
        <v>0.32</v>
      </c>
      <c r="K240">
        <v>0.34849999999999998</v>
      </c>
      <c r="L240">
        <v>0.7</v>
      </c>
      <c r="M240">
        <v>0</v>
      </c>
      <c r="N240">
        <v>5</v>
      </c>
      <c r="O240">
        <v>123</v>
      </c>
      <c r="P240">
        <v>128</v>
      </c>
    </row>
    <row r="241" spans="1:16">
      <c r="A241">
        <v>850</v>
      </c>
      <c r="B241" s="2">
        <v>40581</v>
      </c>
      <c r="C241">
        <v>1</v>
      </c>
      <c r="D241">
        <v>0</v>
      </c>
      <c r="E241">
        <v>2</v>
      </c>
      <c r="F241">
        <v>20</v>
      </c>
      <c r="G241" t="b">
        <v>0</v>
      </c>
      <c r="H241">
        <v>1</v>
      </c>
      <c r="I241">
        <v>2</v>
      </c>
      <c r="J241">
        <v>0.32</v>
      </c>
      <c r="K241">
        <v>0.33329999999999999</v>
      </c>
      <c r="L241">
        <v>0.7</v>
      </c>
      <c r="M241">
        <v>0.1045</v>
      </c>
      <c r="N241">
        <v>6</v>
      </c>
      <c r="O241">
        <v>82</v>
      </c>
      <c r="P241">
        <v>88</v>
      </c>
    </row>
    <row r="242" spans="1:16">
      <c r="A242">
        <v>851</v>
      </c>
      <c r="B242" s="2">
        <v>40581</v>
      </c>
      <c r="C242">
        <v>1</v>
      </c>
      <c r="D242">
        <v>0</v>
      </c>
      <c r="E242">
        <v>2</v>
      </c>
      <c r="F242">
        <v>21</v>
      </c>
      <c r="G242" t="b">
        <v>0</v>
      </c>
      <c r="H242">
        <v>1</v>
      </c>
      <c r="I242">
        <v>1</v>
      </c>
      <c r="J242">
        <v>0.32</v>
      </c>
      <c r="K242">
        <v>0.34849999999999998</v>
      </c>
      <c r="L242">
        <v>0.7</v>
      </c>
      <c r="M242">
        <v>0</v>
      </c>
      <c r="N242">
        <v>3</v>
      </c>
      <c r="O242">
        <v>75</v>
      </c>
      <c r="P242">
        <v>78</v>
      </c>
    </row>
    <row r="243" spans="1:16">
      <c r="A243">
        <v>852</v>
      </c>
      <c r="B243" s="2">
        <v>40581</v>
      </c>
      <c r="C243">
        <v>1</v>
      </c>
      <c r="D243">
        <v>0</v>
      </c>
      <c r="E243">
        <v>2</v>
      </c>
      <c r="F243">
        <v>22</v>
      </c>
      <c r="G243" t="b">
        <v>0</v>
      </c>
      <c r="H243">
        <v>1</v>
      </c>
      <c r="I243">
        <v>1</v>
      </c>
      <c r="J243">
        <v>0.28000000000000003</v>
      </c>
      <c r="K243">
        <v>0.30299999999999999</v>
      </c>
      <c r="L243">
        <v>0.81</v>
      </c>
      <c r="M243">
        <v>8.9599999999999999E-2</v>
      </c>
      <c r="N243">
        <v>3</v>
      </c>
      <c r="O243">
        <v>34</v>
      </c>
      <c r="P243">
        <v>37</v>
      </c>
    </row>
    <row r="244" spans="1:16">
      <c r="A244">
        <v>853</v>
      </c>
      <c r="B244" s="2">
        <v>40581</v>
      </c>
      <c r="C244">
        <v>1</v>
      </c>
      <c r="D244">
        <v>0</v>
      </c>
      <c r="E244">
        <v>2</v>
      </c>
      <c r="F244">
        <v>23</v>
      </c>
      <c r="G244" t="b">
        <v>0</v>
      </c>
      <c r="H244">
        <v>1</v>
      </c>
      <c r="I244">
        <v>2</v>
      </c>
      <c r="J244">
        <v>0.3</v>
      </c>
      <c r="K244">
        <v>0.33329999999999999</v>
      </c>
      <c r="L244">
        <v>0.81</v>
      </c>
      <c r="M244">
        <v>0</v>
      </c>
      <c r="N244">
        <v>6</v>
      </c>
      <c r="O244">
        <v>19</v>
      </c>
      <c r="P244">
        <v>25</v>
      </c>
    </row>
    <row r="245" spans="1:16">
      <c r="A245">
        <v>854</v>
      </c>
      <c r="B245" s="2">
        <v>40582</v>
      </c>
      <c r="C245">
        <v>1</v>
      </c>
      <c r="D245">
        <v>0</v>
      </c>
      <c r="E245">
        <v>2</v>
      </c>
      <c r="F245">
        <v>0</v>
      </c>
      <c r="G245" t="b">
        <v>0</v>
      </c>
      <c r="H245">
        <v>2</v>
      </c>
      <c r="I245">
        <v>2</v>
      </c>
      <c r="J245">
        <v>0.28000000000000003</v>
      </c>
      <c r="K245">
        <v>0.31819999999999998</v>
      </c>
      <c r="L245">
        <v>0.87</v>
      </c>
      <c r="M245">
        <v>0</v>
      </c>
      <c r="N245">
        <v>4</v>
      </c>
      <c r="O245">
        <v>6</v>
      </c>
      <c r="P245">
        <v>10</v>
      </c>
    </row>
    <row r="246" spans="1:16">
      <c r="A246">
        <v>855</v>
      </c>
      <c r="B246" s="2">
        <v>40582</v>
      </c>
      <c r="C246">
        <v>1</v>
      </c>
      <c r="D246">
        <v>0</v>
      </c>
      <c r="E246">
        <v>2</v>
      </c>
      <c r="F246">
        <v>1</v>
      </c>
      <c r="G246" t="b">
        <v>0</v>
      </c>
      <c r="H246">
        <v>2</v>
      </c>
      <c r="I246">
        <v>2</v>
      </c>
      <c r="J246">
        <v>0.28000000000000003</v>
      </c>
      <c r="K246">
        <v>0.31819999999999998</v>
      </c>
      <c r="L246">
        <v>0.87</v>
      </c>
      <c r="M246">
        <v>0</v>
      </c>
      <c r="N246">
        <v>0</v>
      </c>
      <c r="O246">
        <v>4</v>
      </c>
      <c r="P246">
        <v>4</v>
      </c>
    </row>
    <row r="247" spans="1:16">
      <c r="A247">
        <v>856</v>
      </c>
      <c r="B247" s="2">
        <v>40582</v>
      </c>
      <c r="C247">
        <v>1</v>
      </c>
      <c r="D247">
        <v>0</v>
      </c>
      <c r="E247">
        <v>2</v>
      </c>
      <c r="F247">
        <v>2</v>
      </c>
      <c r="G247" t="b">
        <v>0</v>
      </c>
      <c r="H247">
        <v>2</v>
      </c>
      <c r="I247">
        <v>2</v>
      </c>
      <c r="J247">
        <v>0.26</v>
      </c>
      <c r="K247">
        <v>0.2727</v>
      </c>
      <c r="L247">
        <v>0.93</v>
      </c>
      <c r="M247">
        <v>0.1045</v>
      </c>
      <c r="N247">
        <v>1</v>
      </c>
      <c r="O247">
        <v>1</v>
      </c>
      <c r="P247">
        <v>2</v>
      </c>
    </row>
    <row r="248" spans="1:16">
      <c r="A248">
        <v>857</v>
      </c>
      <c r="B248" s="2">
        <v>40582</v>
      </c>
      <c r="C248">
        <v>1</v>
      </c>
      <c r="D248">
        <v>0</v>
      </c>
      <c r="E248">
        <v>2</v>
      </c>
      <c r="F248">
        <v>3</v>
      </c>
      <c r="G248" t="b">
        <v>0</v>
      </c>
      <c r="H248">
        <v>2</v>
      </c>
      <c r="I248">
        <v>3</v>
      </c>
      <c r="J248">
        <v>0.28000000000000003</v>
      </c>
      <c r="K248">
        <v>0.2727</v>
      </c>
      <c r="L248">
        <v>0.93</v>
      </c>
      <c r="M248">
        <v>0.16420000000000001</v>
      </c>
      <c r="N248">
        <v>0</v>
      </c>
      <c r="O248">
        <v>1</v>
      </c>
      <c r="P248">
        <v>1</v>
      </c>
    </row>
    <row r="249" spans="1:16">
      <c r="A249">
        <v>858</v>
      </c>
      <c r="B249" s="2">
        <v>40582</v>
      </c>
      <c r="C249">
        <v>1</v>
      </c>
      <c r="D249">
        <v>0</v>
      </c>
      <c r="E249">
        <v>2</v>
      </c>
      <c r="F249">
        <v>4</v>
      </c>
      <c r="G249" t="b">
        <v>0</v>
      </c>
      <c r="H249">
        <v>2</v>
      </c>
      <c r="I249">
        <v>1</v>
      </c>
      <c r="J249">
        <v>0.26</v>
      </c>
      <c r="K249">
        <v>0.2576</v>
      </c>
      <c r="L249">
        <v>0.93</v>
      </c>
      <c r="M249">
        <v>0.16420000000000001</v>
      </c>
      <c r="N249">
        <v>0</v>
      </c>
      <c r="O249">
        <v>3</v>
      </c>
      <c r="P249">
        <v>3</v>
      </c>
    </row>
    <row r="250" spans="1:16">
      <c r="A250">
        <v>859</v>
      </c>
      <c r="B250" s="2">
        <v>40582</v>
      </c>
      <c r="C250">
        <v>1</v>
      </c>
      <c r="D250">
        <v>0</v>
      </c>
      <c r="E250">
        <v>2</v>
      </c>
      <c r="F250">
        <v>5</v>
      </c>
      <c r="G250" t="b">
        <v>0</v>
      </c>
      <c r="H250">
        <v>2</v>
      </c>
      <c r="I250">
        <v>1</v>
      </c>
      <c r="J250">
        <v>0.26</v>
      </c>
      <c r="K250">
        <v>0.2273</v>
      </c>
      <c r="L250">
        <v>0.81</v>
      </c>
      <c r="M250">
        <v>0.32840000000000003</v>
      </c>
      <c r="N250">
        <v>0</v>
      </c>
      <c r="O250">
        <v>2</v>
      </c>
      <c r="P250">
        <v>2</v>
      </c>
    </row>
    <row r="251" spans="1:16">
      <c r="A251">
        <v>860</v>
      </c>
      <c r="B251" s="2">
        <v>40582</v>
      </c>
      <c r="C251">
        <v>1</v>
      </c>
      <c r="D251">
        <v>0</v>
      </c>
      <c r="E251">
        <v>2</v>
      </c>
      <c r="F251">
        <v>6</v>
      </c>
      <c r="G251" t="b">
        <v>0</v>
      </c>
      <c r="H251">
        <v>2</v>
      </c>
      <c r="I251">
        <v>1</v>
      </c>
      <c r="J251">
        <v>0.26</v>
      </c>
      <c r="K251">
        <v>0.2273</v>
      </c>
      <c r="L251">
        <v>0.7</v>
      </c>
      <c r="M251">
        <v>0.32840000000000003</v>
      </c>
      <c r="N251">
        <v>0</v>
      </c>
      <c r="O251">
        <v>39</v>
      </c>
      <c r="P251">
        <v>39</v>
      </c>
    </row>
    <row r="252" spans="1:16">
      <c r="A252">
        <v>861</v>
      </c>
      <c r="B252" s="2">
        <v>40582</v>
      </c>
      <c r="C252">
        <v>1</v>
      </c>
      <c r="D252">
        <v>0</v>
      </c>
      <c r="E252">
        <v>2</v>
      </c>
      <c r="F252">
        <v>7</v>
      </c>
      <c r="G252" t="b">
        <v>0</v>
      </c>
      <c r="H252">
        <v>2</v>
      </c>
      <c r="I252">
        <v>1</v>
      </c>
      <c r="J252">
        <v>0.24</v>
      </c>
      <c r="K252">
        <v>0.19700000000000001</v>
      </c>
      <c r="L252">
        <v>0.65</v>
      </c>
      <c r="M252">
        <v>0.41789999999999999</v>
      </c>
      <c r="N252">
        <v>3</v>
      </c>
      <c r="O252">
        <v>97</v>
      </c>
      <c r="P252">
        <v>100</v>
      </c>
    </row>
    <row r="253" spans="1:16">
      <c r="A253">
        <v>862</v>
      </c>
      <c r="B253" s="2">
        <v>40582</v>
      </c>
      <c r="C253">
        <v>1</v>
      </c>
      <c r="D253">
        <v>0</v>
      </c>
      <c r="E253">
        <v>2</v>
      </c>
      <c r="F253">
        <v>8</v>
      </c>
      <c r="G253" t="b">
        <v>0</v>
      </c>
      <c r="H253">
        <v>2</v>
      </c>
      <c r="I253">
        <v>1</v>
      </c>
      <c r="J253">
        <v>0.24</v>
      </c>
      <c r="K253">
        <v>0.19700000000000001</v>
      </c>
      <c r="L253">
        <v>0.56000000000000005</v>
      </c>
      <c r="M253">
        <v>0.49249999999999999</v>
      </c>
      <c r="N253">
        <v>7</v>
      </c>
      <c r="O253">
        <v>236</v>
      </c>
      <c r="P253">
        <v>243</v>
      </c>
    </row>
    <row r="254" spans="1:16">
      <c r="A254">
        <v>863</v>
      </c>
      <c r="B254" s="2">
        <v>40582</v>
      </c>
      <c r="C254">
        <v>1</v>
      </c>
      <c r="D254">
        <v>0</v>
      </c>
      <c r="E254">
        <v>2</v>
      </c>
      <c r="F254">
        <v>9</v>
      </c>
      <c r="G254" t="b">
        <v>0</v>
      </c>
      <c r="H254">
        <v>2</v>
      </c>
      <c r="I254">
        <v>1</v>
      </c>
      <c r="J254">
        <v>0.24</v>
      </c>
      <c r="K254">
        <v>0.19700000000000001</v>
      </c>
      <c r="L254">
        <v>0.52</v>
      </c>
      <c r="M254">
        <v>0.49249999999999999</v>
      </c>
      <c r="N254">
        <v>7</v>
      </c>
      <c r="O254">
        <v>128</v>
      </c>
      <c r="P254">
        <v>135</v>
      </c>
    </row>
    <row r="255" spans="1:16">
      <c r="A255">
        <v>864</v>
      </c>
      <c r="B255" s="2">
        <v>40582</v>
      </c>
      <c r="C255">
        <v>1</v>
      </c>
      <c r="D255">
        <v>0</v>
      </c>
      <c r="E255">
        <v>2</v>
      </c>
      <c r="F255">
        <v>10</v>
      </c>
      <c r="G255" t="b">
        <v>0</v>
      </c>
      <c r="H255">
        <v>2</v>
      </c>
      <c r="I255">
        <v>1</v>
      </c>
      <c r="J255">
        <v>0.22</v>
      </c>
      <c r="K255">
        <v>0.18179999999999999</v>
      </c>
      <c r="L255">
        <v>0.47</v>
      </c>
      <c r="M255">
        <v>0.55220000000000002</v>
      </c>
      <c r="N255">
        <v>4</v>
      </c>
      <c r="O255">
        <v>44</v>
      </c>
      <c r="P255">
        <v>48</v>
      </c>
    </row>
    <row r="256" spans="1:16">
      <c r="A256">
        <v>865</v>
      </c>
      <c r="B256" s="2">
        <v>40582</v>
      </c>
      <c r="C256">
        <v>1</v>
      </c>
      <c r="D256">
        <v>0</v>
      </c>
      <c r="E256">
        <v>2</v>
      </c>
      <c r="F256">
        <v>11</v>
      </c>
      <c r="G256" t="b">
        <v>0</v>
      </c>
      <c r="H256">
        <v>2</v>
      </c>
      <c r="I256">
        <v>1</v>
      </c>
      <c r="J256">
        <v>0.22</v>
      </c>
      <c r="K256">
        <v>0.18179999999999999</v>
      </c>
      <c r="L256">
        <v>0.47</v>
      </c>
      <c r="M256">
        <v>0.4627</v>
      </c>
      <c r="N256">
        <v>1</v>
      </c>
      <c r="O256">
        <v>49</v>
      </c>
      <c r="P256">
        <v>50</v>
      </c>
    </row>
    <row r="257" spans="1:16">
      <c r="A257">
        <v>866</v>
      </c>
      <c r="B257" s="2">
        <v>40582</v>
      </c>
      <c r="C257">
        <v>1</v>
      </c>
      <c r="D257">
        <v>0</v>
      </c>
      <c r="E257">
        <v>2</v>
      </c>
      <c r="F257">
        <v>12</v>
      </c>
      <c r="G257" t="b">
        <v>0</v>
      </c>
      <c r="H257">
        <v>2</v>
      </c>
      <c r="I257">
        <v>1</v>
      </c>
      <c r="J257">
        <v>0.24</v>
      </c>
      <c r="K257">
        <v>0.19700000000000001</v>
      </c>
      <c r="L257">
        <v>0.38</v>
      </c>
      <c r="M257">
        <v>0.49249999999999999</v>
      </c>
      <c r="N257">
        <v>2</v>
      </c>
      <c r="O257">
        <v>63</v>
      </c>
      <c r="P257">
        <v>65</v>
      </c>
    </row>
    <row r="258" spans="1:16">
      <c r="A258">
        <v>867</v>
      </c>
      <c r="B258" s="2">
        <v>40582</v>
      </c>
      <c r="C258">
        <v>1</v>
      </c>
      <c r="D258">
        <v>0</v>
      </c>
      <c r="E258">
        <v>2</v>
      </c>
      <c r="F258">
        <v>13</v>
      </c>
      <c r="G258" t="b">
        <v>0</v>
      </c>
      <c r="H258">
        <v>2</v>
      </c>
      <c r="I258">
        <v>2</v>
      </c>
      <c r="J258">
        <v>0.24</v>
      </c>
      <c r="K258">
        <v>0.19700000000000001</v>
      </c>
      <c r="L258">
        <v>0.32</v>
      </c>
      <c r="M258">
        <v>0.44779999999999998</v>
      </c>
      <c r="N258">
        <v>2</v>
      </c>
      <c r="O258">
        <v>48</v>
      </c>
      <c r="P258">
        <v>50</v>
      </c>
    </row>
    <row r="259" spans="1:16">
      <c r="A259">
        <v>868</v>
      </c>
      <c r="B259" s="2">
        <v>40582</v>
      </c>
      <c r="C259">
        <v>1</v>
      </c>
      <c r="D259">
        <v>0</v>
      </c>
      <c r="E259">
        <v>2</v>
      </c>
      <c r="F259">
        <v>14</v>
      </c>
      <c r="G259" t="b">
        <v>0</v>
      </c>
      <c r="H259">
        <v>2</v>
      </c>
      <c r="I259">
        <v>1</v>
      </c>
      <c r="J259">
        <v>0.22</v>
      </c>
      <c r="K259">
        <v>0.19700000000000001</v>
      </c>
      <c r="L259">
        <v>0.37</v>
      </c>
      <c r="M259">
        <v>0.41789999999999999</v>
      </c>
      <c r="N259">
        <v>3</v>
      </c>
      <c r="O259">
        <v>61</v>
      </c>
      <c r="P259">
        <v>64</v>
      </c>
    </row>
    <row r="260" spans="1:16">
      <c r="A260">
        <v>869</v>
      </c>
      <c r="B260" s="2">
        <v>40582</v>
      </c>
      <c r="C260">
        <v>1</v>
      </c>
      <c r="D260">
        <v>0</v>
      </c>
      <c r="E260">
        <v>2</v>
      </c>
      <c r="F260">
        <v>15</v>
      </c>
      <c r="G260" t="b">
        <v>0</v>
      </c>
      <c r="H260">
        <v>2</v>
      </c>
      <c r="I260">
        <v>1</v>
      </c>
      <c r="J260">
        <v>0.22</v>
      </c>
      <c r="K260">
        <v>0.19700000000000001</v>
      </c>
      <c r="L260">
        <v>0.35</v>
      </c>
      <c r="M260">
        <v>0.3881</v>
      </c>
      <c r="N260">
        <v>6</v>
      </c>
      <c r="O260">
        <v>45</v>
      </c>
      <c r="P260">
        <v>51</v>
      </c>
    </row>
    <row r="261" spans="1:16">
      <c r="A261">
        <v>870</v>
      </c>
      <c r="B261" s="2">
        <v>40582</v>
      </c>
      <c r="C261">
        <v>1</v>
      </c>
      <c r="D261">
        <v>0</v>
      </c>
      <c r="E261">
        <v>2</v>
      </c>
      <c r="F261">
        <v>16</v>
      </c>
      <c r="G261" t="b">
        <v>0</v>
      </c>
      <c r="H261">
        <v>2</v>
      </c>
      <c r="I261">
        <v>1</v>
      </c>
      <c r="J261">
        <v>0.22</v>
      </c>
      <c r="K261">
        <v>0.18179999999999999</v>
      </c>
      <c r="L261">
        <v>0.35</v>
      </c>
      <c r="M261">
        <v>0.52239999999999998</v>
      </c>
      <c r="N261">
        <v>4</v>
      </c>
      <c r="O261">
        <v>79</v>
      </c>
      <c r="P261">
        <v>83</v>
      </c>
    </row>
    <row r="262" spans="1:16">
      <c r="A262">
        <v>871</v>
      </c>
      <c r="B262" s="2">
        <v>40582</v>
      </c>
      <c r="C262">
        <v>1</v>
      </c>
      <c r="D262">
        <v>0</v>
      </c>
      <c r="E262">
        <v>2</v>
      </c>
      <c r="F262">
        <v>17</v>
      </c>
      <c r="G262" t="b">
        <v>0</v>
      </c>
      <c r="H262">
        <v>2</v>
      </c>
      <c r="I262">
        <v>1</v>
      </c>
      <c r="J262">
        <v>0.22</v>
      </c>
      <c r="K262">
        <v>0.18179999999999999</v>
      </c>
      <c r="L262">
        <v>0.32</v>
      </c>
      <c r="M262">
        <v>0.58209999999999995</v>
      </c>
      <c r="N262">
        <v>4</v>
      </c>
      <c r="O262">
        <v>172</v>
      </c>
      <c r="P262">
        <v>176</v>
      </c>
    </row>
    <row r="263" spans="1:16">
      <c r="A263">
        <v>872</v>
      </c>
      <c r="B263" s="2">
        <v>40582</v>
      </c>
      <c r="C263">
        <v>1</v>
      </c>
      <c r="D263">
        <v>0</v>
      </c>
      <c r="E263">
        <v>2</v>
      </c>
      <c r="F263">
        <v>18</v>
      </c>
      <c r="G263" t="b">
        <v>0</v>
      </c>
      <c r="H263">
        <v>2</v>
      </c>
      <c r="I263">
        <v>1</v>
      </c>
      <c r="J263">
        <v>0.2</v>
      </c>
      <c r="K263">
        <v>0.18179999999999999</v>
      </c>
      <c r="L263">
        <v>0.32</v>
      </c>
      <c r="M263">
        <v>0.3881</v>
      </c>
      <c r="N263">
        <v>1</v>
      </c>
      <c r="O263">
        <v>151</v>
      </c>
      <c r="P263">
        <v>152</v>
      </c>
    </row>
    <row r="264" spans="1:16">
      <c r="A264">
        <v>873</v>
      </c>
      <c r="B264" s="2">
        <v>40582</v>
      </c>
      <c r="C264">
        <v>1</v>
      </c>
      <c r="D264">
        <v>0</v>
      </c>
      <c r="E264">
        <v>2</v>
      </c>
      <c r="F264">
        <v>19</v>
      </c>
      <c r="G264" t="b">
        <v>0</v>
      </c>
      <c r="H264">
        <v>2</v>
      </c>
      <c r="I264">
        <v>1</v>
      </c>
      <c r="J264">
        <v>0.16</v>
      </c>
      <c r="K264">
        <v>0.1212</v>
      </c>
      <c r="L264">
        <v>0.4</v>
      </c>
      <c r="M264">
        <v>0.4627</v>
      </c>
      <c r="N264">
        <v>1</v>
      </c>
      <c r="O264">
        <v>100</v>
      </c>
      <c r="P264">
        <v>101</v>
      </c>
    </row>
    <row r="265" spans="1:16">
      <c r="A265">
        <v>874</v>
      </c>
      <c r="B265" s="2">
        <v>40582</v>
      </c>
      <c r="C265">
        <v>1</v>
      </c>
      <c r="D265">
        <v>0</v>
      </c>
      <c r="E265">
        <v>2</v>
      </c>
      <c r="F265">
        <v>20</v>
      </c>
      <c r="G265" t="b">
        <v>0</v>
      </c>
      <c r="H265">
        <v>2</v>
      </c>
      <c r="I265">
        <v>1</v>
      </c>
      <c r="J265">
        <v>0.16</v>
      </c>
      <c r="K265">
        <v>0.13639999999999999</v>
      </c>
      <c r="L265">
        <v>0.4</v>
      </c>
      <c r="M265">
        <v>0.32840000000000003</v>
      </c>
      <c r="N265">
        <v>3</v>
      </c>
      <c r="O265">
        <v>53</v>
      </c>
      <c r="P265">
        <v>56</v>
      </c>
    </row>
    <row r="266" spans="1:16">
      <c r="A266">
        <v>875</v>
      </c>
      <c r="B266" s="2">
        <v>40582</v>
      </c>
      <c r="C266">
        <v>1</v>
      </c>
      <c r="D266">
        <v>0</v>
      </c>
      <c r="E266">
        <v>2</v>
      </c>
      <c r="F266">
        <v>21</v>
      </c>
      <c r="G266" t="b">
        <v>0</v>
      </c>
      <c r="H266">
        <v>2</v>
      </c>
      <c r="I266">
        <v>1</v>
      </c>
      <c r="J266">
        <v>0.14000000000000001</v>
      </c>
      <c r="K266">
        <v>0.1061</v>
      </c>
      <c r="L266">
        <v>0.33</v>
      </c>
      <c r="M266">
        <v>0.4627</v>
      </c>
      <c r="N266">
        <v>8</v>
      </c>
      <c r="O266">
        <v>46</v>
      </c>
      <c r="P266">
        <v>54</v>
      </c>
    </row>
    <row r="267" spans="1:16">
      <c r="A267">
        <v>876</v>
      </c>
      <c r="B267" s="2">
        <v>40582</v>
      </c>
      <c r="C267">
        <v>1</v>
      </c>
      <c r="D267">
        <v>0</v>
      </c>
      <c r="E267">
        <v>2</v>
      </c>
      <c r="F267">
        <v>22</v>
      </c>
      <c r="G267" t="b">
        <v>0</v>
      </c>
      <c r="H267">
        <v>2</v>
      </c>
      <c r="I267">
        <v>1</v>
      </c>
      <c r="J267">
        <v>0.12</v>
      </c>
      <c r="K267">
        <v>0.1061</v>
      </c>
      <c r="L267">
        <v>0.33</v>
      </c>
      <c r="M267">
        <v>0.35820000000000002</v>
      </c>
      <c r="N267">
        <v>0</v>
      </c>
      <c r="O267">
        <v>29</v>
      </c>
      <c r="P267">
        <v>29</v>
      </c>
    </row>
    <row r="268" spans="1:16">
      <c r="A268">
        <v>877</v>
      </c>
      <c r="B268" s="2">
        <v>40582</v>
      </c>
      <c r="C268">
        <v>1</v>
      </c>
      <c r="D268">
        <v>0</v>
      </c>
      <c r="E268">
        <v>2</v>
      </c>
      <c r="F268">
        <v>23</v>
      </c>
      <c r="G268" t="b">
        <v>0</v>
      </c>
      <c r="H268">
        <v>2</v>
      </c>
      <c r="I268">
        <v>1</v>
      </c>
      <c r="J268">
        <v>0.12</v>
      </c>
      <c r="K268">
        <v>0.1061</v>
      </c>
      <c r="L268">
        <v>0.33</v>
      </c>
      <c r="M268">
        <v>0.32840000000000003</v>
      </c>
      <c r="N268">
        <v>3</v>
      </c>
      <c r="O268">
        <v>9</v>
      </c>
      <c r="P268">
        <v>12</v>
      </c>
    </row>
    <row r="269" spans="1:16">
      <c r="A269">
        <v>878</v>
      </c>
      <c r="B269" s="2">
        <v>40583</v>
      </c>
      <c r="C269">
        <v>1</v>
      </c>
      <c r="D269">
        <v>0</v>
      </c>
      <c r="E269">
        <v>2</v>
      </c>
      <c r="F269">
        <v>0</v>
      </c>
      <c r="G269" t="b">
        <v>0</v>
      </c>
      <c r="H269">
        <v>3</v>
      </c>
      <c r="I269">
        <v>1</v>
      </c>
      <c r="J269">
        <v>0.1</v>
      </c>
      <c r="K269">
        <v>7.5800000000000006E-2</v>
      </c>
      <c r="L269">
        <v>0.36</v>
      </c>
      <c r="M269">
        <v>0.35820000000000002</v>
      </c>
      <c r="N269">
        <v>0</v>
      </c>
      <c r="O269">
        <v>17</v>
      </c>
      <c r="P269">
        <v>17</v>
      </c>
    </row>
    <row r="270" spans="1:16">
      <c r="A270">
        <v>879</v>
      </c>
      <c r="B270" s="2">
        <v>40583</v>
      </c>
      <c r="C270">
        <v>1</v>
      </c>
      <c r="D270">
        <v>0</v>
      </c>
      <c r="E270">
        <v>2</v>
      </c>
      <c r="F270">
        <v>1</v>
      </c>
      <c r="G270" t="b">
        <v>0</v>
      </c>
      <c r="H270">
        <v>3</v>
      </c>
      <c r="I270">
        <v>1</v>
      </c>
      <c r="J270">
        <v>0.1</v>
      </c>
      <c r="K270">
        <v>0.1061</v>
      </c>
      <c r="L270">
        <v>0.36</v>
      </c>
      <c r="M270">
        <v>0.22389999999999999</v>
      </c>
      <c r="N270">
        <v>0</v>
      </c>
      <c r="O270">
        <v>7</v>
      </c>
      <c r="P270">
        <v>7</v>
      </c>
    </row>
    <row r="271" spans="1:16">
      <c r="A271">
        <v>880</v>
      </c>
      <c r="B271" s="2">
        <v>40583</v>
      </c>
      <c r="C271">
        <v>1</v>
      </c>
      <c r="D271">
        <v>0</v>
      </c>
      <c r="E271">
        <v>2</v>
      </c>
      <c r="F271">
        <v>2</v>
      </c>
      <c r="G271" t="b">
        <v>0</v>
      </c>
      <c r="H271">
        <v>3</v>
      </c>
      <c r="I271">
        <v>1</v>
      </c>
      <c r="J271">
        <v>0.08</v>
      </c>
      <c r="K271">
        <v>7.5800000000000006E-2</v>
      </c>
      <c r="L271">
        <v>0.38</v>
      </c>
      <c r="M271">
        <v>0.28360000000000002</v>
      </c>
      <c r="N271">
        <v>1</v>
      </c>
      <c r="O271">
        <v>2</v>
      </c>
      <c r="P271">
        <v>3</v>
      </c>
    </row>
    <row r="272" spans="1:16">
      <c r="A272">
        <v>881</v>
      </c>
      <c r="B272" s="2">
        <v>40583</v>
      </c>
      <c r="C272">
        <v>1</v>
      </c>
      <c r="D272">
        <v>0</v>
      </c>
      <c r="E272">
        <v>2</v>
      </c>
      <c r="F272">
        <v>3</v>
      </c>
      <c r="G272" t="b">
        <v>0</v>
      </c>
      <c r="H272">
        <v>3</v>
      </c>
      <c r="I272">
        <v>1</v>
      </c>
      <c r="J272">
        <v>0.06</v>
      </c>
      <c r="K272">
        <v>7.5800000000000006E-2</v>
      </c>
      <c r="L272">
        <v>0.45</v>
      </c>
      <c r="M272">
        <v>0.1343</v>
      </c>
      <c r="N272">
        <v>0</v>
      </c>
      <c r="O272">
        <v>2</v>
      </c>
      <c r="P272">
        <v>2</v>
      </c>
    </row>
    <row r="273" spans="1:16">
      <c r="A273">
        <v>882</v>
      </c>
      <c r="B273" s="2">
        <v>40583</v>
      </c>
      <c r="C273">
        <v>1</v>
      </c>
      <c r="D273">
        <v>0</v>
      </c>
      <c r="E273">
        <v>2</v>
      </c>
      <c r="F273">
        <v>5</v>
      </c>
      <c r="G273" t="b">
        <v>0</v>
      </c>
      <c r="H273">
        <v>3</v>
      </c>
      <c r="I273">
        <v>1</v>
      </c>
      <c r="J273">
        <v>0.06</v>
      </c>
      <c r="K273">
        <v>0.1061</v>
      </c>
      <c r="L273">
        <v>0.45</v>
      </c>
      <c r="M273">
        <v>0.1045</v>
      </c>
      <c r="N273">
        <v>0</v>
      </c>
      <c r="O273">
        <v>7</v>
      </c>
      <c r="P273">
        <v>7</v>
      </c>
    </row>
    <row r="274" spans="1:16">
      <c r="A274">
        <v>883</v>
      </c>
      <c r="B274" s="2">
        <v>40583</v>
      </c>
      <c r="C274">
        <v>1</v>
      </c>
      <c r="D274">
        <v>0</v>
      </c>
      <c r="E274">
        <v>2</v>
      </c>
      <c r="F274">
        <v>6</v>
      </c>
      <c r="G274" t="b">
        <v>0</v>
      </c>
      <c r="H274">
        <v>3</v>
      </c>
      <c r="I274">
        <v>1</v>
      </c>
      <c r="J274">
        <v>0.06</v>
      </c>
      <c r="K274">
        <v>0.1515</v>
      </c>
      <c r="L274">
        <v>0.45</v>
      </c>
      <c r="M274">
        <v>0</v>
      </c>
      <c r="N274">
        <v>0</v>
      </c>
      <c r="O274">
        <v>43</v>
      </c>
      <c r="P274">
        <v>43</v>
      </c>
    </row>
    <row r="275" spans="1:16">
      <c r="A275">
        <v>884</v>
      </c>
      <c r="B275" s="2">
        <v>40583</v>
      </c>
      <c r="C275">
        <v>1</v>
      </c>
      <c r="D275">
        <v>0</v>
      </c>
      <c r="E275">
        <v>2</v>
      </c>
      <c r="F275">
        <v>7</v>
      </c>
      <c r="G275" t="b">
        <v>0</v>
      </c>
      <c r="H275">
        <v>3</v>
      </c>
      <c r="I275">
        <v>1</v>
      </c>
      <c r="J275">
        <v>0.06</v>
      </c>
      <c r="K275">
        <v>0.1061</v>
      </c>
      <c r="L275">
        <v>0.49</v>
      </c>
      <c r="M275">
        <v>0.1045</v>
      </c>
      <c r="N275">
        <v>4</v>
      </c>
      <c r="O275">
        <v>95</v>
      </c>
      <c r="P275">
        <v>99</v>
      </c>
    </row>
    <row r="276" spans="1:16">
      <c r="A276">
        <v>885</v>
      </c>
      <c r="B276" s="2">
        <v>40583</v>
      </c>
      <c r="C276">
        <v>1</v>
      </c>
      <c r="D276">
        <v>0</v>
      </c>
      <c r="E276">
        <v>2</v>
      </c>
      <c r="F276">
        <v>8</v>
      </c>
      <c r="G276" t="b">
        <v>0</v>
      </c>
      <c r="H276">
        <v>3</v>
      </c>
      <c r="I276">
        <v>1</v>
      </c>
      <c r="J276">
        <v>0.1</v>
      </c>
      <c r="K276">
        <v>0.13639999999999999</v>
      </c>
      <c r="L276">
        <v>0.42</v>
      </c>
      <c r="M276">
        <v>0</v>
      </c>
      <c r="N276">
        <v>1</v>
      </c>
      <c r="O276">
        <v>198</v>
      </c>
      <c r="P276">
        <v>199</v>
      </c>
    </row>
    <row r="277" spans="1:16">
      <c r="A277">
        <v>886</v>
      </c>
      <c r="B277" s="2">
        <v>40583</v>
      </c>
      <c r="C277">
        <v>1</v>
      </c>
      <c r="D277">
        <v>0</v>
      </c>
      <c r="E277">
        <v>2</v>
      </c>
      <c r="F277">
        <v>9</v>
      </c>
      <c r="G277" t="b">
        <v>0</v>
      </c>
      <c r="H277">
        <v>3</v>
      </c>
      <c r="I277">
        <v>1</v>
      </c>
      <c r="J277">
        <v>0.12</v>
      </c>
      <c r="K277">
        <v>0.13639999999999999</v>
      </c>
      <c r="L277">
        <v>0.39</v>
      </c>
      <c r="M277">
        <v>0.16420000000000001</v>
      </c>
      <c r="N277">
        <v>4</v>
      </c>
      <c r="O277">
        <v>119</v>
      </c>
      <c r="P277">
        <v>123</v>
      </c>
    </row>
    <row r="278" spans="1:16">
      <c r="A278">
        <v>887</v>
      </c>
      <c r="B278" s="2">
        <v>40583</v>
      </c>
      <c r="C278">
        <v>1</v>
      </c>
      <c r="D278">
        <v>0</v>
      </c>
      <c r="E278">
        <v>2</v>
      </c>
      <c r="F278">
        <v>10</v>
      </c>
      <c r="G278" t="b">
        <v>0</v>
      </c>
      <c r="H278">
        <v>3</v>
      </c>
      <c r="I278">
        <v>1</v>
      </c>
      <c r="J278">
        <v>0.14000000000000001</v>
      </c>
      <c r="K278">
        <v>0.18179999999999999</v>
      </c>
      <c r="L278">
        <v>0.36</v>
      </c>
      <c r="M278">
        <v>0</v>
      </c>
      <c r="N278">
        <v>8</v>
      </c>
      <c r="O278">
        <v>51</v>
      </c>
      <c r="P278">
        <v>59</v>
      </c>
    </row>
    <row r="279" spans="1:16">
      <c r="A279">
        <v>888</v>
      </c>
      <c r="B279" s="2">
        <v>40583</v>
      </c>
      <c r="C279">
        <v>1</v>
      </c>
      <c r="D279">
        <v>0</v>
      </c>
      <c r="E279">
        <v>2</v>
      </c>
      <c r="F279">
        <v>11</v>
      </c>
      <c r="G279" t="b">
        <v>0</v>
      </c>
      <c r="H279">
        <v>3</v>
      </c>
      <c r="I279">
        <v>2</v>
      </c>
      <c r="J279">
        <v>0.14000000000000001</v>
      </c>
      <c r="K279">
        <v>0.1515</v>
      </c>
      <c r="L279">
        <v>0.43</v>
      </c>
      <c r="M279">
        <v>0.16420000000000001</v>
      </c>
      <c r="N279">
        <v>1</v>
      </c>
      <c r="O279">
        <v>40</v>
      </c>
      <c r="P279">
        <v>41</v>
      </c>
    </row>
    <row r="280" spans="1:16">
      <c r="A280">
        <v>889</v>
      </c>
      <c r="B280" s="2">
        <v>40583</v>
      </c>
      <c r="C280">
        <v>1</v>
      </c>
      <c r="D280">
        <v>0</v>
      </c>
      <c r="E280">
        <v>2</v>
      </c>
      <c r="F280">
        <v>12</v>
      </c>
      <c r="G280" t="b">
        <v>0</v>
      </c>
      <c r="H280">
        <v>3</v>
      </c>
      <c r="I280">
        <v>2</v>
      </c>
      <c r="J280">
        <v>0.18</v>
      </c>
      <c r="K280">
        <v>0.18179999999999999</v>
      </c>
      <c r="L280">
        <v>0.4</v>
      </c>
      <c r="M280">
        <v>0.22389999999999999</v>
      </c>
      <c r="N280">
        <v>4</v>
      </c>
      <c r="O280">
        <v>57</v>
      </c>
      <c r="P280">
        <v>61</v>
      </c>
    </row>
    <row r="281" spans="1:16">
      <c r="A281">
        <v>890</v>
      </c>
      <c r="B281" s="2">
        <v>40583</v>
      </c>
      <c r="C281">
        <v>1</v>
      </c>
      <c r="D281">
        <v>0</v>
      </c>
      <c r="E281">
        <v>2</v>
      </c>
      <c r="F281">
        <v>13</v>
      </c>
      <c r="G281" t="b">
        <v>0</v>
      </c>
      <c r="H281">
        <v>3</v>
      </c>
      <c r="I281">
        <v>1</v>
      </c>
      <c r="J281">
        <v>0.18</v>
      </c>
      <c r="K281">
        <v>0.16669999999999999</v>
      </c>
      <c r="L281">
        <v>0.4</v>
      </c>
      <c r="M281">
        <v>0.25369999999999998</v>
      </c>
      <c r="N281">
        <v>2</v>
      </c>
      <c r="O281">
        <v>67</v>
      </c>
      <c r="P281">
        <v>69</v>
      </c>
    </row>
    <row r="282" spans="1:16">
      <c r="A282">
        <v>891</v>
      </c>
      <c r="B282" s="2">
        <v>40583</v>
      </c>
      <c r="C282">
        <v>1</v>
      </c>
      <c r="D282">
        <v>0</v>
      </c>
      <c r="E282">
        <v>2</v>
      </c>
      <c r="F282">
        <v>14</v>
      </c>
      <c r="G282" t="b">
        <v>0</v>
      </c>
      <c r="H282">
        <v>3</v>
      </c>
      <c r="I282">
        <v>1</v>
      </c>
      <c r="J282">
        <v>0.2</v>
      </c>
      <c r="K282">
        <v>0.18179999999999999</v>
      </c>
      <c r="L282">
        <v>0.34</v>
      </c>
      <c r="M282">
        <v>0.29849999999999999</v>
      </c>
      <c r="N282">
        <v>2</v>
      </c>
      <c r="O282">
        <v>56</v>
      </c>
      <c r="P282">
        <v>58</v>
      </c>
    </row>
    <row r="283" spans="1:16">
      <c r="A283">
        <v>892</v>
      </c>
      <c r="B283" s="2">
        <v>40583</v>
      </c>
      <c r="C283">
        <v>1</v>
      </c>
      <c r="D283">
        <v>0</v>
      </c>
      <c r="E283">
        <v>2</v>
      </c>
      <c r="F283">
        <v>15</v>
      </c>
      <c r="G283" t="b">
        <v>0</v>
      </c>
      <c r="H283">
        <v>3</v>
      </c>
      <c r="I283">
        <v>2</v>
      </c>
      <c r="J283">
        <v>0.2</v>
      </c>
      <c r="K283">
        <v>0.18179999999999999</v>
      </c>
      <c r="L283">
        <v>0.34</v>
      </c>
      <c r="M283">
        <v>0.28360000000000002</v>
      </c>
      <c r="N283">
        <v>3</v>
      </c>
      <c r="O283">
        <v>61</v>
      </c>
      <c r="P283">
        <v>64</v>
      </c>
    </row>
    <row r="284" spans="1:16">
      <c r="A284">
        <v>893</v>
      </c>
      <c r="B284" s="2">
        <v>40583</v>
      </c>
      <c r="C284">
        <v>1</v>
      </c>
      <c r="D284">
        <v>0</v>
      </c>
      <c r="E284">
        <v>2</v>
      </c>
      <c r="F284">
        <v>16</v>
      </c>
      <c r="G284" t="b">
        <v>0</v>
      </c>
      <c r="H284">
        <v>3</v>
      </c>
      <c r="I284">
        <v>2</v>
      </c>
      <c r="J284">
        <v>0.2</v>
      </c>
      <c r="K284">
        <v>0.19700000000000001</v>
      </c>
      <c r="L284">
        <v>0.37</v>
      </c>
      <c r="M284">
        <v>0.25369999999999998</v>
      </c>
      <c r="N284">
        <v>7</v>
      </c>
      <c r="O284">
        <v>72</v>
      </c>
      <c r="P284">
        <v>79</v>
      </c>
    </row>
    <row r="285" spans="1:16">
      <c r="A285">
        <v>894</v>
      </c>
      <c r="B285" s="2">
        <v>40583</v>
      </c>
      <c r="C285">
        <v>1</v>
      </c>
      <c r="D285">
        <v>0</v>
      </c>
      <c r="E285">
        <v>2</v>
      </c>
      <c r="F285">
        <v>17</v>
      </c>
      <c r="G285" t="b">
        <v>0</v>
      </c>
      <c r="H285">
        <v>3</v>
      </c>
      <c r="I285">
        <v>2</v>
      </c>
      <c r="J285">
        <v>0.2</v>
      </c>
      <c r="K285">
        <v>0.19700000000000001</v>
      </c>
      <c r="L285">
        <v>0.34</v>
      </c>
      <c r="M285">
        <v>0.25369999999999998</v>
      </c>
      <c r="N285">
        <v>9</v>
      </c>
      <c r="O285">
        <v>157</v>
      </c>
      <c r="P285">
        <v>166</v>
      </c>
    </row>
    <row r="286" spans="1:16">
      <c r="A286">
        <v>895</v>
      </c>
      <c r="B286" s="2">
        <v>40583</v>
      </c>
      <c r="C286">
        <v>1</v>
      </c>
      <c r="D286">
        <v>0</v>
      </c>
      <c r="E286">
        <v>2</v>
      </c>
      <c r="F286">
        <v>18</v>
      </c>
      <c r="G286" t="b">
        <v>0</v>
      </c>
      <c r="H286">
        <v>3</v>
      </c>
      <c r="I286">
        <v>2</v>
      </c>
      <c r="J286">
        <v>0.18</v>
      </c>
      <c r="K286">
        <v>0.16669999999999999</v>
      </c>
      <c r="L286">
        <v>0.47</v>
      </c>
      <c r="M286">
        <v>0.29849999999999999</v>
      </c>
      <c r="N286">
        <v>2</v>
      </c>
      <c r="O286">
        <v>168</v>
      </c>
      <c r="P286">
        <v>170</v>
      </c>
    </row>
    <row r="287" spans="1:16">
      <c r="A287">
        <v>896</v>
      </c>
      <c r="B287" s="2">
        <v>40583</v>
      </c>
      <c r="C287">
        <v>1</v>
      </c>
      <c r="D287">
        <v>0</v>
      </c>
      <c r="E287">
        <v>2</v>
      </c>
      <c r="F287">
        <v>19</v>
      </c>
      <c r="G287" t="b">
        <v>0</v>
      </c>
      <c r="H287">
        <v>3</v>
      </c>
      <c r="I287">
        <v>3</v>
      </c>
      <c r="J287">
        <v>0.14000000000000001</v>
      </c>
      <c r="K287">
        <v>0.1212</v>
      </c>
      <c r="L287">
        <v>0.86</v>
      </c>
      <c r="M287">
        <v>0.25369999999999998</v>
      </c>
      <c r="N287">
        <v>1</v>
      </c>
      <c r="O287">
        <v>87</v>
      </c>
      <c r="P287">
        <v>88</v>
      </c>
    </row>
    <row r="288" spans="1:16">
      <c r="A288">
        <v>897</v>
      </c>
      <c r="B288" s="2">
        <v>40583</v>
      </c>
      <c r="C288">
        <v>1</v>
      </c>
      <c r="D288">
        <v>0</v>
      </c>
      <c r="E288">
        <v>2</v>
      </c>
      <c r="F288">
        <v>20</v>
      </c>
      <c r="G288" t="b">
        <v>0</v>
      </c>
      <c r="H288">
        <v>3</v>
      </c>
      <c r="I288">
        <v>3</v>
      </c>
      <c r="J288">
        <v>0.14000000000000001</v>
      </c>
      <c r="K288">
        <v>0.1515</v>
      </c>
      <c r="L288">
        <v>0.86</v>
      </c>
      <c r="M288">
        <v>0.16420000000000001</v>
      </c>
      <c r="N288">
        <v>0</v>
      </c>
      <c r="O288">
        <v>84</v>
      </c>
      <c r="P288">
        <v>84</v>
      </c>
    </row>
    <row r="289" spans="1:16">
      <c r="A289">
        <v>898</v>
      </c>
      <c r="B289" s="2">
        <v>40583</v>
      </c>
      <c r="C289">
        <v>1</v>
      </c>
      <c r="D289">
        <v>0</v>
      </c>
      <c r="E289">
        <v>2</v>
      </c>
      <c r="F289">
        <v>21</v>
      </c>
      <c r="G289" t="b">
        <v>0</v>
      </c>
      <c r="H289">
        <v>3</v>
      </c>
      <c r="I289">
        <v>2</v>
      </c>
      <c r="J289">
        <v>0.14000000000000001</v>
      </c>
      <c r="K289">
        <v>0.1515</v>
      </c>
      <c r="L289">
        <v>0.86</v>
      </c>
      <c r="M289">
        <v>0.16420000000000001</v>
      </c>
      <c r="N289">
        <v>0</v>
      </c>
      <c r="O289">
        <v>83</v>
      </c>
      <c r="P289">
        <v>83</v>
      </c>
    </row>
    <row r="290" spans="1:16">
      <c r="A290">
        <v>899</v>
      </c>
      <c r="B290" s="2">
        <v>40583</v>
      </c>
      <c r="C290">
        <v>1</v>
      </c>
      <c r="D290">
        <v>0</v>
      </c>
      <c r="E290">
        <v>2</v>
      </c>
      <c r="F290">
        <v>22</v>
      </c>
      <c r="G290" t="b">
        <v>0</v>
      </c>
      <c r="H290">
        <v>3</v>
      </c>
      <c r="I290">
        <v>3</v>
      </c>
      <c r="J290">
        <v>0.16</v>
      </c>
      <c r="K290">
        <v>0.16669999999999999</v>
      </c>
      <c r="L290">
        <v>0.8</v>
      </c>
      <c r="M290">
        <v>0.16420000000000001</v>
      </c>
      <c r="N290">
        <v>4</v>
      </c>
      <c r="O290">
        <v>42</v>
      </c>
      <c r="P290">
        <v>46</v>
      </c>
    </row>
    <row r="291" spans="1:16">
      <c r="A291">
        <v>900</v>
      </c>
      <c r="B291" s="2">
        <v>40583</v>
      </c>
      <c r="C291">
        <v>1</v>
      </c>
      <c r="D291">
        <v>0</v>
      </c>
      <c r="E291">
        <v>2</v>
      </c>
      <c r="F291">
        <v>23</v>
      </c>
      <c r="G291" t="b">
        <v>0</v>
      </c>
      <c r="H291">
        <v>3</v>
      </c>
      <c r="I291">
        <v>3</v>
      </c>
      <c r="J291">
        <v>0.16</v>
      </c>
      <c r="K291">
        <v>0.1515</v>
      </c>
      <c r="L291">
        <v>0.8</v>
      </c>
      <c r="M291">
        <v>0.19400000000000001</v>
      </c>
      <c r="N291">
        <v>0</v>
      </c>
      <c r="O291">
        <v>37</v>
      </c>
      <c r="P291">
        <v>37</v>
      </c>
    </row>
    <row r="292" spans="1:16">
      <c r="A292">
        <v>901</v>
      </c>
      <c r="B292" s="2">
        <v>40584</v>
      </c>
      <c r="C292">
        <v>1</v>
      </c>
      <c r="D292">
        <v>0</v>
      </c>
      <c r="E292">
        <v>2</v>
      </c>
      <c r="F292">
        <v>0</v>
      </c>
      <c r="G292" t="b">
        <v>0</v>
      </c>
      <c r="H292">
        <v>4</v>
      </c>
      <c r="I292">
        <v>3</v>
      </c>
      <c r="J292">
        <v>0.14000000000000001</v>
      </c>
      <c r="K292">
        <v>0.13639999999999999</v>
      </c>
      <c r="L292">
        <v>0.86</v>
      </c>
      <c r="M292">
        <v>0.19400000000000001</v>
      </c>
      <c r="N292">
        <v>0</v>
      </c>
      <c r="O292">
        <v>16</v>
      </c>
      <c r="P292">
        <v>16</v>
      </c>
    </row>
    <row r="293" spans="1:16">
      <c r="A293">
        <v>902</v>
      </c>
      <c r="B293" s="2">
        <v>40584</v>
      </c>
      <c r="C293">
        <v>1</v>
      </c>
      <c r="D293">
        <v>0</v>
      </c>
      <c r="E293">
        <v>2</v>
      </c>
      <c r="F293">
        <v>1</v>
      </c>
      <c r="G293" t="b">
        <v>0</v>
      </c>
      <c r="H293">
        <v>4</v>
      </c>
      <c r="I293">
        <v>3</v>
      </c>
      <c r="J293">
        <v>0.14000000000000001</v>
      </c>
      <c r="K293">
        <v>0.1515</v>
      </c>
      <c r="L293">
        <v>0.8</v>
      </c>
      <c r="M293">
        <v>0.1343</v>
      </c>
      <c r="N293">
        <v>0</v>
      </c>
      <c r="O293">
        <v>7</v>
      </c>
      <c r="P293">
        <v>7</v>
      </c>
    </row>
    <row r="294" spans="1:16">
      <c r="A294">
        <v>903</v>
      </c>
      <c r="B294" s="2">
        <v>40584</v>
      </c>
      <c r="C294">
        <v>1</v>
      </c>
      <c r="D294">
        <v>0</v>
      </c>
      <c r="E294">
        <v>2</v>
      </c>
      <c r="F294">
        <v>2</v>
      </c>
      <c r="G294" t="b">
        <v>0</v>
      </c>
      <c r="H294">
        <v>4</v>
      </c>
      <c r="I294">
        <v>3</v>
      </c>
      <c r="J294">
        <v>0.14000000000000001</v>
      </c>
      <c r="K294">
        <v>0.1515</v>
      </c>
      <c r="L294">
        <v>0.8</v>
      </c>
      <c r="M294">
        <v>0.1343</v>
      </c>
      <c r="N294">
        <v>0</v>
      </c>
      <c r="O294">
        <v>3</v>
      </c>
      <c r="P294">
        <v>3</v>
      </c>
    </row>
    <row r="295" spans="1:16">
      <c r="A295">
        <v>904</v>
      </c>
      <c r="B295" s="2">
        <v>40584</v>
      </c>
      <c r="C295">
        <v>1</v>
      </c>
      <c r="D295">
        <v>0</v>
      </c>
      <c r="E295">
        <v>2</v>
      </c>
      <c r="F295">
        <v>4</v>
      </c>
      <c r="G295" t="b">
        <v>0</v>
      </c>
      <c r="H295">
        <v>4</v>
      </c>
      <c r="I295">
        <v>2</v>
      </c>
      <c r="J295">
        <v>0.14000000000000001</v>
      </c>
      <c r="K295">
        <v>0.13639999999999999</v>
      </c>
      <c r="L295">
        <v>0.59</v>
      </c>
      <c r="M295">
        <v>0.22389999999999999</v>
      </c>
      <c r="N295">
        <v>0</v>
      </c>
      <c r="O295">
        <v>1</v>
      </c>
      <c r="P295">
        <v>1</v>
      </c>
    </row>
    <row r="296" spans="1:16">
      <c r="A296">
        <v>905</v>
      </c>
      <c r="B296" s="2">
        <v>40584</v>
      </c>
      <c r="C296">
        <v>1</v>
      </c>
      <c r="D296">
        <v>0</v>
      </c>
      <c r="E296">
        <v>2</v>
      </c>
      <c r="F296">
        <v>5</v>
      </c>
      <c r="G296" t="b">
        <v>0</v>
      </c>
      <c r="H296">
        <v>4</v>
      </c>
      <c r="I296">
        <v>2</v>
      </c>
      <c r="J296">
        <v>0.12</v>
      </c>
      <c r="K296">
        <v>0.1212</v>
      </c>
      <c r="L296">
        <v>0.5</v>
      </c>
      <c r="M296">
        <v>0.22389999999999999</v>
      </c>
      <c r="N296">
        <v>0</v>
      </c>
      <c r="O296">
        <v>6</v>
      </c>
      <c r="P296">
        <v>6</v>
      </c>
    </row>
    <row r="297" spans="1:16">
      <c r="A297">
        <v>906</v>
      </c>
      <c r="B297" s="2">
        <v>40584</v>
      </c>
      <c r="C297">
        <v>1</v>
      </c>
      <c r="D297">
        <v>0</v>
      </c>
      <c r="E297">
        <v>2</v>
      </c>
      <c r="F297">
        <v>6</v>
      </c>
      <c r="G297" t="b">
        <v>0</v>
      </c>
      <c r="H297">
        <v>4</v>
      </c>
      <c r="I297">
        <v>2</v>
      </c>
      <c r="J297">
        <v>0.12</v>
      </c>
      <c r="K297">
        <v>0.1212</v>
      </c>
      <c r="L297">
        <v>0.54</v>
      </c>
      <c r="M297">
        <v>0.28360000000000002</v>
      </c>
      <c r="N297">
        <v>0</v>
      </c>
      <c r="O297">
        <v>26</v>
      </c>
      <c r="P297">
        <v>26</v>
      </c>
    </row>
    <row r="298" spans="1:16">
      <c r="A298">
        <v>907</v>
      </c>
      <c r="B298" s="2">
        <v>40584</v>
      </c>
      <c r="C298">
        <v>1</v>
      </c>
      <c r="D298">
        <v>0</v>
      </c>
      <c r="E298">
        <v>2</v>
      </c>
      <c r="F298">
        <v>7</v>
      </c>
      <c r="G298" t="b">
        <v>0</v>
      </c>
      <c r="H298">
        <v>4</v>
      </c>
      <c r="I298">
        <v>1</v>
      </c>
      <c r="J298">
        <v>0.1</v>
      </c>
      <c r="K298">
        <v>7.5800000000000006E-2</v>
      </c>
      <c r="L298">
        <v>0.5</v>
      </c>
      <c r="M298">
        <v>0.41789999999999999</v>
      </c>
      <c r="N298">
        <v>0</v>
      </c>
      <c r="O298">
        <v>99</v>
      </c>
      <c r="P298">
        <v>99</v>
      </c>
    </row>
    <row r="299" spans="1:16">
      <c r="A299">
        <v>908</v>
      </c>
      <c r="B299" s="2">
        <v>40584</v>
      </c>
      <c r="C299">
        <v>1</v>
      </c>
      <c r="D299">
        <v>0</v>
      </c>
      <c r="E299">
        <v>2</v>
      </c>
      <c r="F299">
        <v>8</v>
      </c>
      <c r="G299" t="b">
        <v>0</v>
      </c>
      <c r="H299">
        <v>4</v>
      </c>
      <c r="I299">
        <v>1</v>
      </c>
      <c r="J299">
        <v>0.1</v>
      </c>
      <c r="K299">
        <v>7.5800000000000006E-2</v>
      </c>
      <c r="L299">
        <v>0.49</v>
      </c>
      <c r="M299">
        <v>0.32840000000000003</v>
      </c>
      <c r="N299">
        <v>5</v>
      </c>
      <c r="O299">
        <v>173</v>
      </c>
      <c r="P299">
        <v>178</v>
      </c>
    </row>
    <row r="300" spans="1:16">
      <c r="A300">
        <v>909</v>
      </c>
      <c r="B300" s="2">
        <v>40584</v>
      </c>
      <c r="C300">
        <v>1</v>
      </c>
      <c r="D300">
        <v>0</v>
      </c>
      <c r="E300">
        <v>2</v>
      </c>
      <c r="F300">
        <v>9</v>
      </c>
      <c r="G300" t="b">
        <v>0</v>
      </c>
      <c r="H300">
        <v>4</v>
      </c>
      <c r="I300">
        <v>1</v>
      </c>
      <c r="J300">
        <v>0.12</v>
      </c>
      <c r="K300">
        <v>0.1061</v>
      </c>
      <c r="L300">
        <v>0.42</v>
      </c>
      <c r="M300">
        <v>0.35820000000000002</v>
      </c>
      <c r="N300">
        <v>1</v>
      </c>
      <c r="O300">
        <v>121</v>
      </c>
      <c r="P300">
        <v>122</v>
      </c>
    </row>
    <row r="301" spans="1:16">
      <c r="A301">
        <v>910</v>
      </c>
      <c r="B301" s="2">
        <v>40584</v>
      </c>
      <c r="C301">
        <v>1</v>
      </c>
      <c r="D301">
        <v>0</v>
      </c>
      <c r="E301">
        <v>2</v>
      </c>
      <c r="F301">
        <v>10</v>
      </c>
      <c r="G301" t="b">
        <v>0</v>
      </c>
      <c r="H301">
        <v>4</v>
      </c>
      <c r="I301">
        <v>1</v>
      </c>
      <c r="J301">
        <v>0.12</v>
      </c>
      <c r="K301">
        <v>0.1061</v>
      </c>
      <c r="L301">
        <v>0.42</v>
      </c>
      <c r="M301">
        <v>0.29849999999999999</v>
      </c>
      <c r="N301">
        <v>1</v>
      </c>
      <c r="O301">
        <v>34</v>
      </c>
      <c r="P301">
        <v>35</v>
      </c>
    </row>
    <row r="302" spans="1:16">
      <c r="A302">
        <v>911</v>
      </c>
      <c r="B302" s="2">
        <v>40584</v>
      </c>
      <c r="C302">
        <v>1</v>
      </c>
      <c r="D302">
        <v>0</v>
      </c>
      <c r="E302">
        <v>2</v>
      </c>
      <c r="F302">
        <v>11</v>
      </c>
      <c r="G302" t="b">
        <v>0</v>
      </c>
      <c r="H302">
        <v>4</v>
      </c>
      <c r="I302">
        <v>1</v>
      </c>
      <c r="J302">
        <v>0.14000000000000001</v>
      </c>
      <c r="K302">
        <v>0.1212</v>
      </c>
      <c r="L302">
        <v>0.39</v>
      </c>
      <c r="M302">
        <v>0.35820000000000002</v>
      </c>
      <c r="N302">
        <v>1</v>
      </c>
      <c r="O302">
        <v>44</v>
      </c>
      <c r="P302">
        <v>45</v>
      </c>
    </row>
    <row r="303" spans="1:16">
      <c r="A303">
        <v>912</v>
      </c>
      <c r="B303" s="2">
        <v>40584</v>
      </c>
      <c r="C303">
        <v>1</v>
      </c>
      <c r="D303">
        <v>0</v>
      </c>
      <c r="E303">
        <v>2</v>
      </c>
      <c r="F303">
        <v>12</v>
      </c>
      <c r="G303" t="b">
        <v>0</v>
      </c>
      <c r="H303">
        <v>4</v>
      </c>
      <c r="I303">
        <v>1</v>
      </c>
      <c r="J303">
        <v>0.16</v>
      </c>
      <c r="K303">
        <v>0.13639999999999999</v>
      </c>
      <c r="L303">
        <v>0.34</v>
      </c>
      <c r="M303">
        <v>0.3881</v>
      </c>
      <c r="N303">
        <v>4</v>
      </c>
      <c r="O303">
        <v>65</v>
      </c>
      <c r="P303">
        <v>69</v>
      </c>
    </row>
    <row r="304" spans="1:16">
      <c r="A304">
        <v>913</v>
      </c>
      <c r="B304" s="2">
        <v>40584</v>
      </c>
      <c r="C304">
        <v>1</v>
      </c>
      <c r="D304">
        <v>0</v>
      </c>
      <c r="E304">
        <v>2</v>
      </c>
      <c r="F304">
        <v>13</v>
      </c>
      <c r="G304" t="b">
        <v>0</v>
      </c>
      <c r="H304">
        <v>4</v>
      </c>
      <c r="I304">
        <v>1</v>
      </c>
      <c r="J304">
        <v>0.18</v>
      </c>
      <c r="K304">
        <v>0.16669999999999999</v>
      </c>
      <c r="L304">
        <v>0.28999999999999998</v>
      </c>
      <c r="M304">
        <v>0.29849999999999999</v>
      </c>
      <c r="N304">
        <v>3</v>
      </c>
      <c r="O304">
        <v>59</v>
      </c>
      <c r="P304">
        <v>62</v>
      </c>
    </row>
    <row r="305" spans="1:16">
      <c r="A305">
        <v>914</v>
      </c>
      <c r="B305" s="2">
        <v>40584</v>
      </c>
      <c r="C305">
        <v>1</v>
      </c>
      <c r="D305">
        <v>0</v>
      </c>
      <c r="E305">
        <v>2</v>
      </c>
      <c r="F305">
        <v>14</v>
      </c>
      <c r="G305" t="b">
        <v>0</v>
      </c>
      <c r="H305">
        <v>4</v>
      </c>
      <c r="I305">
        <v>1</v>
      </c>
      <c r="J305">
        <v>0.2</v>
      </c>
      <c r="K305">
        <v>0.18179999999999999</v>
      </c>
      <c r="L305">
        <v>0.27</v>
      </c>
      <c r="M305">
        <v>0.28360000000000002</v>
      </c>
      <c r="N305">
        <v>6</v>
      </c>
      <c r="O305">
        <v>42</v>
      </c>
      <c r="P305">
        <v>48</v>
      </c>
    </row>
    <row r="306" spans="1:16">
      <c r="A306">
        <v>915</v>
      </c>
      <c r="B306" s="2">
        <v>40584</v>
      </c>
      <c r="C306">
        <v>1</v>
      </c>
      <c r="D306">
        <v>0</v>
      </c>
      <c r="E306">
        <v>2</v>
      </c>
      <c r="F306">
        <v>15</v>
      </c>
      <c r="G306" t="b">
        <v>0</v>
      </c>
      <c r="H306">
        <v>4</v>
      </c>
      <c r="I306">
        <v>1</v>
      </c>
      <c r="J306">
        <v>0.2</v>
      </c>
      <c r="K306">
        <v>0.19700000000000001</v>
      </c>
      <c r="L306">
        <v>0.25</v>
      </c>
      <c r="M306">
        <v>0.25369999999999998</v>
      </c>
      <c r="N306">
        <v>0</v>
      </c>
      <c r="O306">
        <v>50</v>
      </c>
      <c r="P306">
        <v>50</v>
      </c>
    </row>
    <row r="307" spans="1:16">
      <c r="A307">
        <v>916</v>
      </c>
      <c r="B307" s="2">
        <v>40584</v>
      </c>
      <c r="C307">
        <v>1</v>
      </c>
      <c r="D307">
        <v>0</v>
      </c>
      <c r="E307">
        <v>2</v>
      </c>
      <c r="F307">
        <v>16</v>
      </c>
      <c r="G307" t="b">
        <v>0</v>
      </c>
      <c r="H307">
        <v>4</v>
      </c>
      <c r="I307">
        <v>1</v>
      </c>
      <c r="J307">
        <v>0.2</v>
      </c>
      <c r="K307">
        <v>0.18179999999999999</v>
      </c>
      <c r="L307">
        <v>0.27</v>
      </c>
      <c r="M307">
        <v>0.29849999999999999</v>
      </c>
      <c r="N307">
        <v>4</v>
      </c>
      <c r="O307">
        <v>76</v>
      </c>
      <c r="P307">
        <v>80</v>
      </c>
    </row>
    <row r="308" spans="1:16">
      <c r="A308">
        <v>917</v>
      </c>
      <c r="B308" s="2">
        <v>40584</v>
      </c>
      <c r="C308">
        <v>1</v>
      </c>
      <c r="D308">
        <v>0</v>
      </c>
      <c r="E308">
        <v>2</v>
      </c>
      <c r="F308">
        <v>17</v>
      </c>
      <c r="G308" t="b">
        <v>0</v>
      </c>
      <c r="H308">
        <v>4</v>
      </c>
      <c r="I308">
        <v>1</v>
      </c>
      <c r="J308">
        <v>0.18</v>
      </c>
      <c r="K308">
        <v>0.18179999999999999</v>
      </c>
      <c r="L308">
        <v>0.26</v>
      </c>
      <c r="M308">
        <v>0.19400000000000001</v>
      </c>
      <c r="N308">
        <v>6</v>
      </c>
      <c r="O308">
        <v>159</v>
      </c>
      <c r="P308">
        <v>165</v>
      </c>
    </row>
    <row r="309" spans="1:16">
      <c r="A309">
        <v>918</v>
      </c>
      <c r="B309" s="2">
        <v>40584</v>
      </c>
      <c r="C309">
        <v>1</v>
      </c>
      <c r="D309">
        <v>0</v>
      </c>
      <c r="E309">
        <v>2</v>
      </c>
      <c r="F309">
        <v>18</v>
      </c>
      <c r="G309" t="b">
        <v>0</v>
      </c>
      <c r="H309">
        <v>4</v>
      </c>
      <c r="I309">
        <v>1</v>
      </c>
      <c r="J309">
        <v>0.16</v>
      </c>
      <c r="K309">
        <v>0.18179999999999999</v>
      </c>
      <c r="L309">
        <v>0.28000000000000003</v>
      </c>
      <c r="M309">
        <v>0.1343</v>
      </c>
      <c r="N309">
        <v>3</v>
      </c>
      <c r="O309">
        <v>157</v>
      </c>
      <c r="P309">
        <v>160</v>
      </c>
    </row>
    <row r="310" spans="1:16">
      <c r="A310">
        <v>919</v>
      </c>
      <c r="B310" s="2">
        <v>40584</v>
      </c>
      <c r="C310">
        <v>1</v>
      </c>
      <c r="D310">
        <v>0</v>
      </c>
      <c r="E310">
        <v>2</v>
      </c>
      <c r="F310">
        <v>19</v>
      </c>
      <c r="G310" t="b">
        <v>0</v>
      </c>
      <c r="H310">
        <v>4</v>
      </c>
      <c r="I310">
        <v>1</v>
      </c>
      <c r="J310">
        <v>0.14000000000000001</v>
      </c>
      <c r="K310">
        <v>0.16669999999999999</v>
      </c>
      <c r="L310">
        <v>0.28000000000000003</v>
      </c>
      <c r="M310">
        <v>0.1045</v>
      </c>
      <c r="N310">
        <v>2</v>
      </c>
      <c r="O310">
        <v>110</v>
      </c>
      <c r="P310">
        <v>112</v>
      </c>
    </row>
    <row r="311" spans="1:16">
      <c r="A311">
        <v>920</v>
      </c>
      <c r="B311" s="2">
        <v>40584</v>
      </c>
      <c r="C311">
        <v>1</v>
      </c>
      <c r="D311">
        <v>0</v>
      </c>
      <c r="E311">
        <v>2</v>
      </c>
      <c r="F311">
        <v>20</v>
      </c>
      <c r="G311" t="b">
        <v>0</v>
      </c>
      <c r="H311">
        <v>4</v>
      </c>
      <c r="I311">
        <v>1</v>
      </c>
      <c r="J311">
        <v>0.14000000000000001</v>
      </c>
      <c r="K311">
        <v>0.18179999999999999</v>
      </c>
      <c r="L311">
        <v>0.31</v>
      </c>
      <c r="M311">
        <v>8.9599999999999999E-2</v>
      </c>
      <c r="N311">
        <v>4</v>
      </c>
      <c r="O311">
        <v>93</v>
      </c>
      <c r="P311">
        <v>97</v>
      </c>
    </row>
    <row r="312" spans="1:16">
      <c r="A312">
        <v>921</v>
      </c>
      <c r="B312" s="2">
        <v>40584</v>
      </c>
      <c r="C312">
        <v>1</v>
      </c>
      <c r="D312">
        <v>0</v>
      </c>
      <c r="E312">
        <v>2</v>
      </c>
      <c r="F312">
        <v>21</v>
      </c>
      <c r="G312" t="b">
        <v>0</v>
      </c>
      <c r="H312">
        <v>4</v>
      </c>
      <c r="I312">
        <v>1</v>
      </c>
      <c r="J312">
        <v>0.14000000000000001</v>
      </c>
      <c r="K312">
        <v>0.21210000000000001</v>
      </c>
      <c r="L312">
        <v>0.39</v>
      </c>
      <c r="M312">
        <v>0</v>
      </c>
      <c r="N312">
        <v>2</v>
      </c>
      <c r="O312">
        <v>70</v>
      </c>
      <c r="P312">
        <v>72</v>
      </c>
    </row>
    <row r="313" spans="1:16">
      <c r="A313">
        <v>922</v>
      </c>
      <c r="B313" s="2">
        <v>40584</v>
      </c>
      <c r="C313">
        <v>1</v>
      </c>
      <c r="D313">
        <v>0</v>
      </c>
      <c r="E313">
        <v>2</v>
      </c>
      <c r="F313">
        <v>22</v>
      </c>
      <c r="G313" t="b">
        <v>0</v>
      </c>
      <c r="H313">
        <v>4</v>
      </c>
      <c r="I313">
        <v>1</v>
      </c>
      <c r="J313">
        <v>0.12</v>
      </c>
      <c r="K313">
        <v>0.19700000000000001</v>
      </c>
      <c r="L313">
        <v>0.39</v>
      </c>
      <c r="M313">
        <v>0</v>
      </c>
      <c r="N313">
        <v>4</v>
      </c>
      <c r="O313">
        <v>47</v>
      </c>
      <c r="P313">
        <v>51</v>
      </c>
    </row>
    <row r="314" spans="1:16">
      <c r="A314">
        <v>923</v>
      </c>
      <c r="B314" s="2">
        <v>40584</v>
      </c>
      <c r="C314">
        <v>1</v>
      </c>
      <c r="D314">
        <v>0</v>
      </c>
      <c r="E314">
        <v>2</v>
      </c>
      <c r="F314">
        <v>23</v>
      </c>
      <c r="G314" t="b">
        <v>0</v>
      </c>
      <c r="H314">
        <v>4</v>
      </c>
      <c r="I314">
        <v>1</v>
      </c>
      <c r="J314">
        <v>0.12</v>
      </c>
      <c r="K314">
        <v>0.1515</v>
      </c>
      <c r="L314">
        <v>0.42</v>
      </c>
      <c r="M314">
        <v>0.1045</v>
      </c>
      <c r="N314">
        <v>1</v>
      </c>
      <c r="O314">
        <v>33</v>
      </c>
      <c r="P314">
        <v>34</v>
      </c>
    </row>
    <row r="315" spans="1:16">
      <c r="A315">
        <v>924</v>
      </c>
      <c r="B315" s="2">
        <v>40585</v>
      </c>
      <c r="C315">
        <v>1</v>
      </c>
      <c r="D315">
        <v>0</v>
      </c>
      <c r="E315">
        <v>2</v>
      </c>
      <c r="F315">
        <v>0</v>
      </c>
      <c r="G315" t="b">
        <v>0</v>
      </c>
      <c r="H315">
        <v>5</v>
      </c>
      <c r="I315">
        <v>1</v>
      </c>
      <c r="J315">
        <v>0.1</v>
      </c>
      <c r="K315">
        <v>0.13639999999999999</v>
      </c>
      <c r="L315">
        <v>0.49</v>
      </c>
      <c r="M315">
        <v>0.1045</v>
      </c>
      <c r="N315">
        <v>2</v>
      </c>
      <c r="O315">
        <v>12</v>
      </c>
      <c r="P315">
        <v>14</v>
      </c>
    </row>
    <row r="316" spans="1:16">
      <c r="A316">
        <v>925</v>
      </c>
      <c r="B316" s="2">
        <v>40585</v>
      </c>
      <c r="C316">
        <v>1</v>
      </c>
      <c r="D316">
        <v>0</v>
      </c>
      <c r="E316">
        <v>2</v>
      </c>
      <c r="F316">
        <v>1</v>
      </c>
      <c r="G316" t="b">
        <v>0</v>
      </c>
      <c r="H316">
        <v>5</v>
      </c>
      <c r="I316">
        <v>1</v>
      </c>
      <c r="J316">
        <v>0.1</v>
      </c>
      <c r="K316">
        <v>0.13639999999999999</v>
      </c>
      <c r="L316">
        <v>0.54</v>
      </c>
      <c r="M316">
        <v>8.9599999999999999E-2</v>
      </c>
      <c r="N316">
        <v>1</v>
      </c>
      <c r="O316">
        <v>6</v>
      </c>
      <c r="P316">
        <v>7</v>
      </c>
    </row>
    <row r="317" spans="1:16">
      <c r="A317">
        <v>926</v>
      </c>
      <c r="B317" s="2">
        <v>40585</v>
      </c>
      <c r="C317">
        <v>1</v>
      </c>
      <c r="D317">
        <v>0</v>
      </c>
      <c r="E317">
        <v>2</v>
      </c>
      <c r="F317">
        <v>2</v>
      </c>
      <c r="G317" t="b">
        <v>0</v>
      </c>
      <c r="H317">
        <v>5</v>
      </c>
      <c r="I317">
        <v>1</v>
      </c>
      <c r="J317">
        <v>0.1</v>
      </c>
      <c r="K317">
        <v>0.13639999999999999</v>
      </c>
      <c r="L317">
        <v>0.54</v>
      </c>
      <c r="M317">
        <v>8.9599999999999999E-2</v>
      </c>
      <c r="N317">
        <v>0</v>
      </c>
      <c r="O317">
        <v>3</v>
      </c>
      <c r="P317">
        <v>3</v>
      </c>
    </row>
    <row r="318" spans="1:16">
      <c r="A318">
        <v>927</v>
      </c>
      <c r="B318" s="2">
        <v>40585</v>
      </c>
      <c r="C318">
        <v>1</v>
      </c>
      <c r="D318">
        <v>0</v>
      </c>
      <c r="E318">
        <v>2</v>
      </c>
      <c r="F318">
        <v>5</v>
      </c>
      <c r="G318" t="b">
        <v>0</v>
      </c>
      <c r="H318">
        <v>5</v>
      </c>
      <c r="I318">
        <v>1</v>
      </c>
      <c r="J318">
        <v>0.08</v>
      </c>
      <c r="K318">
        <v>0.1212</v>
      </c>
      <c r="L318">
        <v>0.63</v>
      </c>
      <c r="M318">
        <v>8.9599999999999999E-2</v>
      </c>
      <c r="N318">
        <v>0</v>
      </c>
      <c r="O318">
        <v>4</v>
      </c>
      <c r="P318">
        <v>4</v>
      </c>
    </row>
    <row r="319" spans="1:16">
      <c r="A319">
        <v>928</v>
      </c>
      <c r="B319" s="2">
        <v>40585</v>
      </c>
      <c r="C319">
        <v>1</v>
      </c>
      <c r="D319">
        <v>0</v>
      </c>
      <c r="E319">
        <v>2</v>
      </c>
      <c r="F319">
        <v>6</v>
      </c>
      <c r="G319" t="b">
        <v>0</v>
      </c>
      <c r="H319">
        <v>5</v>
      </c>
      <c r="I319">
        <v>1</v>
      </c>
      <c r="J319">
        <v>0.1</v>
      </c>
      <c r="K319">
        <v>0.18179999999999999</v>
      </c>
      <c r="L319">
        <v>0.68</v>
      </c>
      <c r="M319">
        <v>0</v>
      </c>
      <c r="N319">
        <v>1</v>
      </c>
      <c r="O319">
        <v>23</v>
      </c>
      <c r="P319">
        <v>24</v>
      </c>
    </row>
    <row r="320" spans="1:16">
      <c r="A320">
        <v>929</v>
      </c>
      <c r="B320" s="2">
        <v>40585</v>
      </c>
      <c r="C320">
        <v>1</v>
      </c>
      <c r="D320">
        <v>0</v>
      </c>
      <c r="E320">
        <v>2</v>
      </c>
      <c r="F320">
        <v>7</v>
      </c>
      <c r="G320" t="b">
        <v>0</v>
      </c>
      <c r="H320">
        <v>5</v>
      </c>
      <c r="I320">
        <v>1</v>
      </c>
      <c r="J320">
        <v>0.08</v>
      </c>
      <c r="K320">
        <v>0.16669999999999999</v>
      </c>
      <c r="L320">
        <v>0.73</v>
      </c>
      <c r="M320">
        <v>0</v>
      </c>
      <c r="N320">
        <v>1</v>
      </c>
      <c r="O320">
        <v>73</v>
      </c>
      <c r="P320">
        <v>74</v>
      </c>
    </row>
    <row r="321" spans="1:16">
      <c r="A321">
        <v>930</v>
      </c>
      <c r="B321" s="2">
        <v>40585</v>
      </c>
      <c r="C321">
        <v>1</v>
      </c>
      <c r="D321">
        <v>0</v>
      </c>
      <c r="E321">
        <v>2</v>
      </c>
      <c r="F321">
        <v>8</v>
      </c>
      <c r="G321" t="b">
        <v>0</v>
      </c>
      <c r="H321">
        <v>5</v>
      </c>
      <c r="I321">
        <v>1</v>
      </c>
      <c r="J321">
        <v>0.1</v>
      </c>
      <c r="K321">
        <v>0.1212</v>
      </c>
      <c r="L321">
        <v>0.74</v>
      </c>
      <c r="M321">
        <v>0.16420000000000001</v>
      </c>
      <c r="N321">
        <v>4</v>
      </c>
      <c r="O321">
        <v>212</v>
      </c>
      <c r="P321">
        <v>216</v>
      </c>
    </row>
    <row r="322" spans="1:16">
      <c r="A322">
        <v>931</v>
      </c>
      <c r="B322" s="2">
        <v>40585</v>
      </c>
      <c r="C322">
        <v>1</v>
      </c>
      <c r="D322">
        <v>0</v>
      </c>
      <c r="E322">
        <v>2</v>
      </c>
      <c r="F322">
        <v>9</v>
      </c>
      <c r="G322" t="b">
        <v>0</v>
      </c>
      <c r="H322">
        <v>5</v>
      </c>
      <c r="I322">
        <v>1</v>
      </c>
      <c r="J322">
        <v>0.12</v>
      </c>
      <c r="K322">
        <v>0.1212</v>
      </c>
      <c r="L322">
        <v>0.74</v>
      </c>
      <c r="M322">
        <v>0.22389999999999999</v>
      </c>
      <c r="N322">
        <v>8</v>
      </c>
      <c r="O322">
        <v>132</v>
      </c>
      <c r="P322">
        <v>140</v>
      </c>
    </row>
    <row r="323" spans="1:16">
      <c r="A323">
        <v>932</v>
      </c>
      <c r="B323" s="2">
        <v>40585</v>
      </c>
      <c r="C323">
        <v>1</v>
      </c>
      <c r="D323">
        <v>0</v>
      </c>
      <c r="E323">
        <v>2</v>
      </c>
      <c r="F323">
        <v>10</v>
      </c>
      <c r="G323" t="b">
        <v>0</v>
      </c>
      <c r="H323">
        <v>5</v>
      </c>
      <c r="I323">
        <v>1</v>
      </c>
      <c r="J323">
        <v>0.14000000000000001</v>
      </c>
      <c r="K323">
        <v>0.13639999999999999</v>
      </c>
      <c r="L323">
        <v>0.69</v>
      </c>
      <c r="M323">
        <v>0.19400000000000001</v>
      </c>
      <c r="N323">
        <v>5</v>
      </c>
      <c r="O323">
        <v>39</v>
      </c>
      <c r="P323">
        <v>44</v>
      </c>
    </row>
    <row r="324" spans="1:16">
      <c r="A324">
        <v>933</v>
      </c>
      <c r="B324" s="2">
        <v>40585</v>
      </c>
      <c r="C324">
        <v>1</v>
      </c>
      <c r="D324">
        <v>0</v>
      </c>
      <c r="E324">
        <v>2</v>
      </c>
      <c r="F324">
        <v>11</v>
      </c>
      <c r="G324" t="b">
        <v>0</v>
      </c>
      <c r="H324">
        <v>5</v>
      </c>
      <c r="I324">
        <v>1</v>
      </c>
      <c r="J324">
        <v>0.22</v>
      </c>
      <c r="K324">
        <v>0.2273</v>
      </c>
      <c r="L324">
        <v>0.47</v>
      </c>
      <c r="M324">
        <v>0.1343</v>
      </c>
      <c r="N324">
        <v>12</v>
      </c>
      <c r="O324">
        <v>52</v>
      </c>
      <c r="P324">
        <v>64</v>
      </c>
    </row>
    <row r="325" spans="1:16">
      <c r="A325">
        <v>934</v>
      </c>
      <c r="B325" s="2">
        <v>40585</v>
      </c>
      <c r="C325">
        <v>1</v>
      </c>
      <c r="D325">
        <v>0</v>
      </c>
      <c r="E325">
        <v>2</v>
      </c>
      <c r="F325">
        <v>12</v>
      </c>
      <c r="G325" t="b">
        <v>0</v>
      </c>
      <c r="H325">
        <v>5</v>
      </c>
      <c r="I325">
        <v>1</v>
      </c>
      <c r="J325">
        <v>0.22</v>
      </c>
      <c r="K325">
        <v>0.2273</v>
      </c>
      <c r="L325">
        <v>0.47</v>
      </c>
      <c r="M325">
        <v>0.1343</v>
      </c>
      <c r="N325">
        <v>7</v>
      </c>
      <c r="O325">
        <v>64</v>
      </c>
      <c r="P325">
        <v>71</v>
      </c>
    </row>
    <row r="326" spans="1:16">
      <c r="A326">
        <v>935</v>
      </c>
      <c r="B326" s="2">
        <v>40585</v>
      </c>
      <c r="C326">
        <v>1</v>
      </c>
      <c r="D326">
        <v>0</v>
      </c>
      <c r="E326">
        <v>2</v>
      </c>
      <c r="F326">
        <v>13</v>
      </c>
      <c r="G326" t="b">
        <v>0</v>
      </c>
      <c r="H326">
        <v>5</v>
      </c>
      <c r="I326">
        <v>1</v>
      </c>
      <c r="J326">
        <v>0.24</v>
      </c>
      <c r="K326">
        <v>0.2273</v>
      </c>
      <c r="L326">
        <v>0.35</v>
      </c>
      <c r="M326">
        <v>0.19400000000000001</v>
      </c>
      <c r="N326">
        <v>21</v>
      </c>
      <c r="O326">
        <v>89</v>
      </c>
      <c r="P326">
        <v>110</v>
      </c>
    </row>
    <row r="327" spans="1:16">
      <c r="A327">
        <v>936</v>
      </c>
      <c r="B327" s="2">
        <v>40585</v>
      </c>
      <c r="C327">
        <v>1</v>
      </c>
      <c r="D327">
        <v>0</v>
      </c>
      <c r="E327">
        <v>2</v>
      </c>
      <c r="F327">
        <v>14</v>
      </c>
      <c r="G327" t="b">
        <v>0</v>
      </c>
      <c r="H327">
        <v>5</v>
      </c>
      <c r="I327">
        <v>1</v>
      </c>
      <c r="J327">
        <v>0.3</v>
      </c>
      <c r="K327">
        <v>0.28789999999999999</v>
      </c>
      <c r="L327">
        <v>0.26</v>
      </c>
      <c r="M327">
        <v>0.25369999999999998</v>
      </c>
      <c r="N327">
        <v>17</v>
      </c>
      <c r="O327">
        <v>67</v>
      </c>
      <c r="P327">
        <v>84</v>
      </c>
    </row>
    <row r="328" spans="1:16">
      <c r="A328">
        <v>937</v>
      </c>
      <c r="B328" s="2">
        <v>40585</v>
      </c>
      <c r="C328">
        <v>1</v>
      </c>
      <c r="D328">
        <v>0</v>
      </c>
      <c r="E328">
        <v>2</v>
      </c>
      <c r="F328">
        <v>15</v>
      </c>
      <c r="G328" t="b">
        <v>0</v>
      </c>
      <c r="H328">
        <v>5</v>
      </c>
      <c r="I328">
        <v>1</v>
      </c>
      <c r="J328">
        <v>0.32</v>
      </c>
      <c r="K328">
        <v>0.31819999999999998</v>
      </c>
      <c r="L328">
        <v>0.21</v>
      </c>
      <c r="M328">
        <v>0.16420000000000001</v>
      </c>
      <c r="N328">
        <v>12</v>
      </c>
      <c r="O328">
        <v>62</v>
      </c>
      <c r="P328">
        <v>74</v>
      </c>
    </row>
    <row r="329" spans="1:16">
      <c r="A329">
        <v>938</v>
      </c>
      <c r="B329" s="2">
        <v>40585</v>
      </c>
      <c r="C329">
        <v>1</v>
      </c>
      <c r="D329">
        <v>0</v>
      </c>
      <c r="E329">
        <v>2</v>
      </c>
      <c r="F329">
        <v>16</v>
      </c>
      <c r="G329" t="b">
        <v>0</v>
      </c>
      <c r="H329">
        <v>5</v>
      </c>
      <c r="I329">
        <v>1</v>
      </c>
      <c r="J329">
        <v>0.3</v>
      </c>
      <c r="K329">
        <v>0.28789999999999999</v>
      </c>
      <c r="L329">
        <v>0.28000000000000003</v>
      </c>
      <c r="M329">
        <v>0.19400000000000001</v>
      </c>
      <c r="N329">
        <v>14</v>
      </c>
      <c r="O329">
        <v>111</v>
      </c>
      <c r="P329">
        <v>125</v>
      </c>
    </row>
    <row r="330" spans="1:16">
      <c r="A330">
        <v>939</v>
      </c>
      <c r="B330" s="2">
        <v>40585</v>
      </c>
      <c r="C330">
        <v>1</v>
      </c>
      <c r="D330">
        <v>0</v>
      </c>
      <c r="E330">
        <v>2</v>
      </c>
      <c r="F330">
        <v>17</v>
      </c>
      <c r="G330" t="b">
        <v>0</v>
      </c>
      <c r="H330">
        <v>5</v>
      </c>
      <c r="I330">
        <v>1</v>
      </c>
      <c r="J330">
        <v>0.3</v>
      </c>
      <c r="K330">
        <v>0.33329999999999999</v>
      </c>
      <c r="L330">
        <v>0.24</v>
      </c>
      <c r="M330">
        <v>0</v>
      </c>
      <c r="N330">
        <v>18</v>
      </c>
      <c r="O330">
        <v>193</v>
      </c>
      <c r="P330">
        <v>211</v>
      </c>
    </row>
    <row r="331" spans="1:16">
      <c r="A331">
        <v>940</v>
      </c>
      <c r="B331" s="2">
        <v>40585</v>
      </c>
      <c r="C331">
        <v>1</v>
      </c>
      <c r="D331">
        <v>0</v>
      </c>
      <c r="E331">
        <v>2</v>
      </c>
      <c r="F331">
        <v>18</v>
      </c>
      <c r="G331" t="b">
        <v>0</v>
      </c>
      <c r="H331">
        <v>5</v>
      </c>
      <c r="I331">
        <v>1</v>
      </c>
      <c r="J331">
        <v>0.28000000000000003</v>
      </c>
      <c r="K331">
        <v>0.31819999999999998</v>
      </c>
      <c r="L331">
        <v>0.28000000000000003</v>
      </c>
      <c r="M331">
        <v>0</v>
      </c>
      <c r="N331">
        <v>9</v>
      </c>
      <c r="O331">
        <v>165</v>
      </c>
      <c r="P331">
        <v>174</v>
      </c>
    </row>
    <row r="332" spans="1:16">
      <c r="A332">
        <v>941</v>
      </c>
      <c r="B332" s="2">
        <v>40585</v>
      </c>
      <c r="C332">
        <v>1</v>
      </c>
      <c r="D332">
        <v>0</v>
      </c>
      <c r="E332">
        <v>2</v>
      </c>
      <c r="F332">
        <v>19</v>
      </c>
      <c r="G332" t="b">
        <v>0</v>
      </c>
      <c r="H332">
        <v>5</v>
      </c>
      <c r="I332">
        <v>1</v>
      </c>
      <c r="J332">
        <v>0.26</v>
      </c>
      <c r="K332">
        <v>0.30299999999999999</v>
      </c>
      <c r="L332">
        <v>0.33</v>
      </c>
      <c r="M332">
        <v>0</v>
      </c>
      <c r="N332">
        <v>7</v>
      </c>
      <c r="O332">
        <v>94</v>
      </c>
      <c r="P332">
        <v>101</v>
      </c>
    </row>
    <row r="333" spans="1:16">
      <c r="A333">
        <v>942</v>
      </c>
      <c r="B333" s="2">
        <v>40585</v>
      </c>
      <c r="C333">
        <v>1</v>
      </c>
      <c r="D333">
        <v>0</v>
      </c>
      <c r="E333">
        <v>2</v>
      </c>
      <c r="F333">
        <v>20</v>
      </c>
      <c r="G333" t="b">
        <v>0</v>
      </c>
      <c r="H333">
        <v>5</v>
      </c>
      <c r="I333">
        <v>1</v>
      </c>
      <c r="J333">
        <v>0.22</v>
      </c>
      <c r="K333">
        <v>0.2273</v>
      </c>
      <c r="L333">
        <v>0.55000000000000004</v>
      </c>
      <c r="M333">
        <v>0.1343</v>
      </c>
      <c r="N333">
        <v>2</v>
      </c>
      <c r="O333">
        <v>61</v>
      </c>
      <c r="P333">
        <v>63</v>
      </c>
    </row>
    <row r="334" spans="1:16">
      <c r="A334">
        <v>943</v>
      </c>
      <c r="B334" s="2">
        <v>40585</v>
      </c>
      <c r="C334">
        <v>1</v>
      </c>
      <c r="D334">
        <v>0</v>
      </c>
      <c r="E334">
        <v>2</v>
      </c>
      <c r="F334">
        <v>21</v>
      </c>
      <c r="G334" t="b">
        <v>0</v>
      </c>
      <c r="H334">
        <v>5</v>
      </c>
      <c r="I334">
        <v>1</v>
      </c>
      <c r="J334">
        <v>0.2</v>
      </c>
      <c r="K334">
        <v>0.21210000000000001</v>
      </c>
      <c r="L334">
        <v>0.59</v>
      </c>
      <c r="M334">
        <v>0.1343</v>
      </c>
      <c r="N334">
        <v>1</v>
      </c>
      <c r="O334">
        <v>46</v>
      </c>
      <c r="P334">
        <v>47</v>
      </c>
    </row>
    <row r="335" spans="1:16">
      <c r="A335">
        <v>944</v>
      </c>
      <c r="B335" s="2">
        <v>40585</v>
      </c>
      <c r="C335">
        <v>1</v>
      </c>
      <c r="D335">
        <v>0</v>
      </c>
      <c r="E335">
        <v>2</v>
      </c>
      <c r="F335">
        <v>22</v>
      </c>
      <c r="G335" t="b">
        <v>0</v>
      </c>
      <c r="H335">
        <v>5</v>
      </c>
      <c r="I335">
        <v>1</v>
      </c>
      <c r="J335">
        <v>0.2</v>
      </c>
      <c r="K335">
        <v>0.2273</v>
      </c>
      <c r="L335">
        <v>0.64</v>
      </c>
      <c r="M335">
        <v>8.9599999999999999E-2</v>
      </c>
      <c r="N335">
        <v>2</v>
      </c>
      <c r="O335">
        <v>41</v>
      </c>
      <c r="P335">
        <v>43</v>
      </c>
    </row>
    <row r="336" spans="1:16">
      <c r="A336">
        <v>945</v>
      </c>
      <c r="B336" s="2">
        <v>40585</v>
      </c>
      <c r="C336">
        <v>1</v>
      </c>
      <c r="D336">
        <v>0</v>
      </c>
      <c r="E336">
        <v>2</v>
      </c>
      <c r="F336">
        <v>23</v>
      </c>
      <c r="G336" t="b">
        <v>0</v>
      </c>
      <c r="H336">
        <v>5</v>
      </c>
      <c r="I336">
        <v>1</v>
      </c>
      <c r="J336">
        <v>0.18</v>
      </c>
      <c r="K336">
        <v>0.2424</v>
      </c>
      <c r="L336">
        <v>0.69</v>
      </c>
      <c r="M336">
        <v>0</v>
      </c>
      <c r="N336">
        <v>5</v>
      </c>
      <c r="O336">
        <v>48</v>
      </c>
      <c r="P336">
        <v>53</v>
      </c>
    </row>
    <row r="337" spans="1:16">
      <c r="A337">
        <v>946</v>
      </c>
      <c r="B337" s="2">
        <v>40586</v>
      </c>
      <c r="C337">
        <v>1</v>
      </c>
      <c r="D337">
        <v>0</v>
      </c>
      <c r="E337">
        <v>2</v>
      </c>
      <c r="F337">
        <v>0</v>
      </c>
      <c r="G337" t="b">
        <v>0</v>
      </c>
      <c r="H337">
        <v>6</v>
      </c>
      <c r="I337">
        <v>1</v>
      </c>
      <c r="J337">
        <v>0.16</v>
      </c>
      <c r="K337">
        <v>0.19700000000000001</v>
      </c>
      <c r="L337">
        <v>0.69</v>
      </c>
      <c r="M337">
        <v>8.9599999999999999E-2</v>
      </c>
      <c r="N337">
        <v>3</v>
      </c>
      <c r="O337">
        <v>27</v>
      </c>
      <c r="P337">
        <v>30</v>
      </c>
    </row>
    <row r="338" spans="1:16">
      <c r="A338">
        <v>947</v>
      </c>
      <c r="B338" s="2">
        <v>40586</v>
      </c>
      <c r="C338">
        <v>1</v>
      </c>
      <c r="D338">
        <v>0</v>
      </c>
      <c r="E338">
        <v>2</v>
      </c>
      <c r="F338">
        <v>1</v>
      </c>
      <c r="G338" t="b">
        <v>0</v>
      </c>
      <c r="H338">
        <v>6</v>
      </c>
      <c r="I338">
        <v>1</v>
      </c>
      <c r="J338">
        <v>0.14000000000000001</v>
      </c>
      <c r="K338">
        <v>0.21210000000000001</v>
      </c>
      <c r="L338">
        <v>0.86</v>
      </c>
      <c r="M338">
        <v>0</v>
      </c>
      <c r="N338">
        <v>2</v>
      </c>
      <c r="O338">
        <v>22</v>
      </c>
      <c r="P338">
        <v>24</v>
      </c>
    </row>
    <row r="339" spans="1:16">
      <c r="A339">
        <v>948</v>
      </c>
      <c r="B339" s="2">
        <v>40586</v>
      </c>
      <c r="C339">
        <v>1</v>
      </c>
      <c r="D339">
        <v>0</v>
      </c>
      <c r="E339">
        <v>2</v>
      </c>
      <c r="F339">
        <v>2</v>
      </c>
      <c r="G339" t="b">
        <v>0</v>
      </c>
      <c r="H339">
        <v>6</v>
      </c>
      <c r="I339">
        <v>1</v>
      </c>
      <c r="J339">
        <v>0.14000000000000001</v>
      </c>
      <c r="K339">
        <v>0.21210000000000001</v>
      </c>
      <c r="L339">
        <v>0.8</v>
      </c>
      <c r="M339">
        <v>0</v>
      </c>
      <c r="N339">
        <v>2</v>
      </c>
      <c r="O339">
        <v>13</v>
      </c>
      <c r="P339">
        <v>15</v>
      </c>
    </row>
    <row r="340" spans="1:16">
      <c r="A340">
        <v>949</v>
      </c>
      <c r="B340" s="2">
        <v>40586</v>
      </c>
      <c r="C340">
        <v>1</v>
      </c>
      <c r="D340">
        <v>0</v>
      </c>
      <c r="E340">
        <v>2</v>
      </c>
      <c r="F340">
        <v>3</v>
      </c>
      <c r="G340" t="b">
        <v>0</v>
      </c>
      <c r="H340">
        <v>6</v>
      </c>
      <c r="I340">
        <v>1</v>
      </c>
      <c r="J340">
        <v>0.12</v>
      </c>
      <c r="K340">
        <v>0.19700000000000001</v>
      </c>
      <c r="L340">
        <v>0.8</v>
      </c>
      <c r="M340">
        <v>0</v>
      </c>
      <c r="N340">
        <v>3</v>
      </c>
      <c r="O340">
        <v>7</v>
      </c>
      <c r="P340">
        <v>10</v>
      </c>
    </row>
    <row r="341" spans="1:16">
      <c r="A341">
        <v>950</v>
      </c>
      <c r="B341" s="2">
        <v>40586</v>
      </c>
      <c r="C341">
        <v>1</v>
      </c>
      <c r="D341">
        <v>0</v>
      </c>
      <c r="E341">
        <v>2</v>
      </c>
      <c r="F341">
        <v>4</v>
      </c>
      <c r="G341" t="b">
        <v>0</v>
      </c>
      <c r="H341">
        <v>6</v>
      </c>
      <c r="I341">
        <v>1</v>
      </c>
      <c r="J341">
        <v>0.12</v>
      </c>
      <c r="K341">
        <v>0.16669999999999999</v>
      </c>
      <c r="L341">
        <v>0.74</v>
      </c>
      <c r="M341">
        <v>8.9599999999999999E-2</v>
      </c>
      <c r="N341">
        <v>0</v>
      </c>
      <c r="O341">
        <v>4</v>
      </c>
      <c r="P341">
        <v>4</v>
      </c>
    </row>
    <row r="342" spans="1:16">
      <c r="A342">
        <v>951</v>
      </c>
      <c r="B342" s="2">
        <v>40586</v>
      </c>
      <c r="C342">
        <v>1</v>
      </c>
      <c r="D342">
        <v>0</v>
      </c>
      <c r="E342">
        <v>2</v>
      </c>
      <c r="F342">
        <v>5</v>
      </c>
      <c r="G342" t="b">
        <v>0</v>
      </c>
      <c r="H342">
        <v>6</v>
      </c>
      <c r="I342">
        <v>1</v>
      </c>
      <c r="J342">
        <v>0.12</v>
      </c>
      <c r="K342">
        <v>0.16669999999999999</v>
      </c>
      <c r="L342">
        <v>0.74</v>
      </c>
      <c r="M342">
        <v>8.9599999999999999E-2</v>
      </c>
      <c r="N342">
        <v>0</v>
      </c>
      <c r="O342">
        <v>1</v>
      </c>
      <c r="P342">
        <v>1</v>
      </c>
    </row>
    <row r="343" spans="1:16">
      <c r="A343">
        <v>952</v>
      </c>
      <c r="B343" s="2">
        <v>40586</v>
      </c>
      <c r="C343">
        <v>1</v>
      </c>
      <c r="D343">
        <v>0</v>
      </c>
      <c r="E343">
        <v>2</v>
      </c>
      <c r="F343">
        <v>6</v>
      </c>
      <c r="G343" t="b">
        <v>0</v>
      </c>
      <c r="H343">
        <v>6</v>
      </c>
      <c r="I343">
        <v>1</v>
      </c>
      <c r="J343">
        <v>0.12</v>
      </c>
      <c r="K343">
        <v>0.13639999999999999</v>
      </c>
      <c r="L343">
        <v>0.93</v>
      </c>
      <c r="M343">
        <v>0.19400000000000001</v>
      </c>
      <c r="N343">
        <v>1</v>
      </c>
      <c r="O343">
        <v>1</v>
      </c>
      <c r="P343">
        <v>2</v>
      </c>
    </row>
    <row r="344" spans="1:16">
      <c r="A344">
        <v>953</v>
      </c>
      <c r="B344" s="2">
        <v>40586</v>
      </c>
      <c r="C344">
        <v>1</v>
      </c>
      <c r="D344">
        <v>0</v>
      </c>
      <c r="E344">
        <v>2</v>
      </c>
      <c r="F344">
        <v>7</v>
      </c>
      <c r="G344" t="b">
        <v>0</v>
      </c>
      <c r="H344">
        <v>6</v>
      </c>
      <c r="I344">
        <v>1</v>
      </c>
      <c r="J344">
        <v>0.12</v>
      </c>
      <c r="K344">
        <v>0.1515</v>
      </c>
      <c r="L344">
        <v>0.8</v>
      </c>
      <c r="M344">
        <v>0.1045</v>
      </c>
      <c r="N344">
        <v>2</v>
      </c>
      <c r="O344">
        <v>9</v>
      </c>
      <c r="P344">
        <v>11</v>
      </c>
    </row>
    <row r="345" spans="1:16">
      <c r="A345">
        <v>954</v>
      </c>
      <c r="B345" s="2">
        <v>40586</v>
      </c>
      <c r="C345">
        <v>1</v>
      </c>
      <c r="D345">
        <v>0</v>
      </c>
      <c r="E345">
        <v>2</v>
      </c>
      <c r="F345">
        <v>8</v>
      </c>
      <c r="G345" t="b">
        <v>0</v>
      </c>
      <c r="H345">
        <v>6</v>
      </c>
      <c r="I345">
        <v>1</v>
      </c>
      <c r="J345">
        <v>0.14000000000000001</v>
      </c>
      <c r="K345">
        <v>0.1515</v>
      </c>
      <c r="L345">
        <v>0.86</v>
      </c>
      <c r="M345">
        <v>0.1343</v>
      </c>
      <c r="N345">
        <v>2</v>
      </c>
      <c r="O345">
        <v>28</v>
      </c>
      <c r="P345">
        <v>30</v>
      </c>
    </row>
    <row r="346" spans="1:16">
      <c r="A346">
        <v>955</v>
      </c>
      <c r="B346" s="2">
        <v>40586</v>
      </c>
      <c r="C346">
        <v>1</v>
      </c>
      <c r="D346">
        <v>0</v>
      </c>
      <c r="E346">
        <v>2</v>
      </c>
      <c r="F346">
        <v>9</v>
      </c>
      <c r="G346" t="b">
        <v>0</v>
      </c>
      <c r="H346">
        <v>6</v>
      </c>
      <c r="I346">
        <v>1</v>
      </c>
      <c r="J346">
        <v>0.16</v>
      </c>
      <c r="K346">
        <v>0.18179999999999999</v>
      </c>
      <c r="L346">
        <v>0.64</v>
      </c>
      <c r="M346">
        <v>0.1343</v>
      </c>
      <c r="N346">
        <v>5</v>
      </c>
      <c r="O346">
        <v>38</v>
      </c>
      <c r="P346">
        <v>43</v>
      </c>
    </row>
    <row r="347" spans="1:16">
      <c r="A347">
        <v>956</v>
      </c>
      <c r="B347" s="2">
        <v>40586</v>
      </c>
      <c r="C347">
        <v>1</v>
      </c>
      <c r="D347">
        <v>0</v>
      </c>
      <c r="E347">
        <v>2</v>
      </c>
      <c r="F347">
        <v>10</v>
      </c>
      <c r="G347" t="b">
        <v>0</v>
      </c>
      <c r="H347">
        <v>6</v>
      </c>
      <c r="I347">
        <v>1</v>
      </c>
      <c r="J347">
        <v>0.22</v>
      </c>
      <c r="K347">
        <v>0.21210000000000001</v>
      </c>
      <c r="L347">
        <v>0.41</v>
      </c>
      <c r="M347">
        <v>0.25369999999999998</v>
      </c>
      <c r="N347">
        <v>13</v>
      </c>
      <c r="O347">
        <v>71</v>
      </c>
      <c r="P347">
        <v>84</v>
      </c>
    </row>
    <row r="348" spans="1:16">
      <c r="A348">
        <v>957</v>
      </c>
      <c r="B348" s="2">
        <v>40586</v>
      </c>
      <c r="C348">
        <v>1</v>
      </c>
      <c r="D348">
        <v>0</v>
      </c>
      <c r="E348">
        <v>2</v>
      </c>
      <c r="F348">
        <v>11</v>
      </c>
      <c r="G348" t="b">
        <v>0</v>
      </c>
      <c r="H348">
        <v>6</v>
      </c>
      <c r="I348">
        <v>1</v>
      </c>
      <c r="J348">
        <v>0.3</v>
      </c>
      <c r="K348">
        <v>0.2727</v>
      </c>
      <c r="L348">
        <v>0.28000000000000003</v>
      </c>
      <c r="M348">
        <v>0.32840000000000003</v>
      </c>
      <c r="N348">
        <v>30</v>
      </c>
      <c r="O348">
        <v>84</v>
      </c>
      <c r="P348">
        <v>114</v>
      </c>
    </row>
    <row r="349" spans="1:16">
      <c r="A349">
        <v>958</v>
      </c>
      <c r="B349" s="2">
        <v>40586</v>
      </c>
      <c r="C349">
        <v>1</v>
      </c>
      <c r="D349">
        <v>0</v>
      </c>
      <c r="E349">
        <v>2</v>
      </c>
      <c r="F349">
        <v>12</v>
      </c>
      <c r="G349" t="b">
        <v>0</v>
      </c>
      <c r="H349">
        <v>6</v>
      </c>
      <c r="I349">
        <v>1</v>
      </c>
      <c r="J349">
        <v>0.3</v>
      </c>
      <c r="K349">
        <v>0.2727</v>
      </c>
      <c r="L349">
        <v>0.39</v>
      </c>
      <c r="M349">
        <v>0.4627</v>
      </c>
      <c r="N349">
        <v>27</v>
      </c>
      <c r="O349">
        <v>93</v>
      </c>
      <c r="P349">
        <v>120</v>
      </c>
    </row>
    <row r="350" spans="1:16">
      <c r="A350">
        <v>959</v>
      </c>
      <c r="B350" s="2">
        <v>40586</v>
      </c>
      <c r="C350">
        <v>1</v>
      </c>
      <c r="D350">
        <v>0</v>
      </c>
      <c r="E350">
        <v>2</v>
      </c>
      <c r="F350">
        <v>13</v>
      </c>
      <c r="G350" t="b">
        <v>0</v>
      </c>
      <c r="H350">
        <v>6</v>
      </c>
      <c r="I350">
        <v>1</v>
      </c>
      <c r="J350">
        <v>0.3</v>
      </c>
      <c r="K350">
        <v>0.2727</v>
      </c>
      <c r="L350">
        <v>0.39</v>
      </c>
      <c r="M350">
        <v>0.41789999999999999</v>
      </c>
      <c r="N350">
        <v>32</v>
      </c>
      <c r="O350">
        <v>103</v>
      </c>
      <c r="P350">
        <v>135</v>
      </c>
    </row>
    <row r="351" spans="1:16">
      <c r="A351">
        <v>960</v>
      </c>
      <c r="B351" s="2">
        <v>40586</v>
      </c>
      <c r="C351">
        <v>1</v>
      </c>
      <c r="D351">
        <v>0</v>
      </c>
      <c r="E351">
        <v>2</v>
      </c>
      <c r="F351">
        <v>14</v>
      </c>
      <c r="G351" t="b">
        <v>0</v>
      </c>
      <c r="H351">
        <v>6</v>
      </c>
      <c r="I351">
        <v>1</v>
      </c>
      <c r="J351">
        <v>0.34</v>
      </c>
      <c r="K351">
        <v>0.31819999999999998</v>
      </c>
      <c r="L351">
        <v>0.31</v>
      </c>
      <c r="M351">
        <v>0.28360000000000002</v>
      </c>
      <c r="N351">
        <v>30</v>
      </c>
      <c r="O351">
        <v>90</v>
      </c>
      <c r="P351">
        <v>120</v>
      </c>
    </row>
    <row r="352" spans="1:16">
      <c r="A352">
        <v>961</v>
      </c>
      <c r="B352" s="2">
        <v>40586</v>
      </c>
      <c r="C352">
        <v>1</v>
      </c>
      <c r="D352">
        <v>0</v>
      </c>
      <c r="E352">
        <v>2</v>
      </c>
      <c r="F352">
        <v>15</v>
      </c>
      <c r="G352" t="b">
        <v>0</v>
      </c>
      <c r="H352">
        <v>6</v>
      </c>
      <c r="I352">
        <v>1</v>
      </c>
      <c r="J352">
        <v>0.34</v>
      </c>
      <c r="K352">
        <v>0.30299999999999999</v>
      </c>
      <c r="L352">
        <v>0.28999999999999998</v>
      </c>
      <c r="M352">
        <v>0.41789999999999999</v>
      </c>
      <c r="N352">
        <v>47</v>
      </c>
      <c r="O352">
        <v>127</v>
      </c>
      <c r="P352">
        <v>174</v>
      </c>
    </row>
    <row r="353" spans="1:16">
      <c r="A353">
        <v>962</v>
      </c>
      <c r="B353" s="2">
        <v>40586</v>
      </c>
      <c r="C353">
        <v>1</v>
      </c>
      <c r="D353">
        <v>0</v>
      </c>
      <c r="E353">
        <v>2</v>
      </c>
      <c r="F353">
        <v>16</v>
      </c>
      <c r="G353" t="b">
        <v>0</v>
      </c>
      <c r="H353">
        <v>6</v>
      </c>
      <c r="I353">
        <v>1</v>
      </c>
      <c r="J353">
        <v>0.34</v>
      </c>
      <c r="K353">
        <v>0.30299999999999999</v>
      </c>
      <c r="L353">
        <v>0.28999999999999998</v>
      </c>
      <c r="M353">
        <v>0.41789999999999999</v>
      </c>
      <c r="N353">
        <v>42</v>
      </c>
      <c r="O353">
        <v>103</v>
      </c>
      <c r="P353">
        <v>145</v>
      </c>
    </row>
    <row r="354" spans="1:16">
      <c r="A354">
        <v>963</v>
      </c>
      <c r="B354" s="2">
        <v>40586</v>
      </c>
      <c r="C354">
        <v>1</v>
      </c>
      <c r="D354">
        <v>0</v>
      </c>
      <c r="E354">
        <v>2</v>
      </c>
      <c r="F354">
        <v>17</v>
      </c>
      <c r="G354" t="b">
        <v>0</v>
      </c>
      <c r="H354">
        <v>6</v>
      </c>
      <c r="I354">
        <v>1</v>
      </c>
      <c r="J354">
        <v>0.32</v>
      </c>
      <c r="K354">
        <v>0.28789999999999999</v>
      </c>
      <c r="L354">
        <v>0.31</v>
      </c>
      <c r="M354">
        <v>0.52239999999999998</v>
      </c>
      <c r="N354">
        <v>24</v>
      </c>
      <c r="O354">
        <v>113</v>
      </c>
      <c r="P354">
        <v>137</v>
      </c>
    </row>
    <row r="355" spans="1:16">
      <c r="A355">
        <v>964</v>
      </c>
      <c r="B355" s="2">
        <v>40586</v>
      </c>
      <c r="C355">
        <v>1</v>
      </c>
      <c r="D355">
        <v>0</v>
      </c>
      <c r="E355">
        <v>2</v>
      </c>
      <c r="F355">
        <v>18</v>
      </c>
      <c r="G355" t="b">
        <v>0</v>
      </c>
      <c r="H355">
        <v>6</v>
      </c>
      <c r="I355">
        <v>1</v>
      </c>
      <c r="J355">
        <v>0.28000000000000003</v>
      </c>
      <c r="K355">
        <v>0.2576</v>
      </c>
      <c r="L355">
        <v>0.38</v>
      </c>
      <c r="M355">
        <v>0.32840000000000003</v>
      </c>
      <c r="N355">
        <v>4</v>
      </c>
      <c r="O355">
        <v>60</v>
      </c>
      <c r="P355">
        <v>64</v>
      </c>
    </row>
    <row r="356" spans="1:16">
      <c r="A356">
        <v>965</v>
      </c>
      <c r="B356" s="2">
        <v>40586</v>
      </c>
      <c r="C356">
        <v>1</v>
      </c>
      <c r="D356">
        <v>0</v>
      </c>
      <c r="E356">
        <v>2</v>
      </c>
      <c r="F356">
        <v>19</v>
      </c>
      <c r="G356" t="b">
        <v>0</v>
      </c>
      <c r="H356">
        <v>6</v>
      </c>
      <c r="I356">
        <v>1</v>
      </c>
      <c r="J356">
        <v>0.28000000000000003</v>
      </c>
      <c r="K356">
        <v>0.2727</v>
      </c>
      <c r="L356">
        <v>0.38</v>
      </c>
      <c r="M356">
        <v>0.16420000000000001</v>
      </c>
      <c r="N356">
        <v>2</v>
      </c>
      <c r="O356">
        <v>39</v>
      </c>
      <c r="P356">
        <v>41</v>
      </c>
    </row>
    <row r="357" spans="1:16">
      <c r="A357">
        <v>966</v>
      </c>
      <c r="B357" s="2">
        <v>40586</v>
      </c>
      <c r="C357">
        <v>1</v>
      </c>
      <c r="D357">
        <v>0</v>
      </c>
      <c r="E357">
        <v>2</v>
      </c>
      <c r="F357">
        <v>20</v>
      </c>
      <c r="G357" t="b">
        <v>0</v>
      </c>
      <c r="H357">
        <v>6</v>
      </c>
      <c r="I357">
        <v>1</v>
      </c>
      <c r="J357">
        <v>0.26</v>
      </c>
      <c r="K357">
        <v>0.2576</v>
      </c>
      <c r="L357">
        <v>0.41</v>
      </c>
      <c r="M357">
        <v>0.22389999999999999</v>
      </c>
      <c r="N357">
        <v>1</v>
      </c>
      <c r="O357">
        <v>39</v>
      </c>
      <c r="P357">
        <v>40</v>
      </c>
    </row>
    <row r="358" spans="1:16">
      <c r="A358">
        <v>967</v>
      </c>
      <c r="B358" s="2">
        <v>40586</v>
      </c>
      <c r="C358">
        <v>1</v>
      </c>
      <c r="D358">
        <v>0</v>
      </c>
      <c r="E358">
        <v>2</v>
      </c>
      <c r="F358">
        <v>21</v>
      </c>
      <c r="G358" t="b">
        <v>0</v>
      </c>
      <c r="H358">
        <v>6</v>
      </c>
      <c r="I358">
        <v>1</v>
      </c>
      <c r="J358">
        <v>0.26</v>
      </c>
      <c r="K358">
        <v>0.30299999999999999</v>
      </c>
      <c r="L358">
        <v>0.41</v>
      </c>
      <c r="M358">
        <v>0</v>
      </c>
      <c r="N358">
        <v>9</v>
      </c>
      <c r="O358">
        <v>42</v>
      </c>
      <c r="P358">
        <v>51</v>
      </c>
    </row>
    <row r="359" spans="1:16">
      <c r="A359">
        <v>968</v>
      </c>
      <c r="B359" s="2">
        <v>40586</v>
      </c>
      <c r="C359">
        <v>1</v>
      </c>
      <c r="D359">
        <v>0</v>
      </c>
      <c r="E359">
        <v>2</v>
      </c>
      <c r="F359">
        <v>22</v>
      </c>
      <c r="G359" t="b">
        <v>0</v>
      </c>
      <c r="H359">
        <v>6</v>
      </c>
      <c r="I359">
        <v>1</v>
      </c>
      <c r="J359">
        <v>0.24</v>
      </c>
      <c r="K359">
        <v>0.2576</v>
      </c>
      <c r="L359">
        <v>0.44</v>
      </c>
      <c r="M359">
        <v>8.9599999999999999E-2</v>
      </c>
      <c r="N359">
        <v>6</v>
      </c>
      <c r="O359">
        <v>39</v>
      </c>
      <c r="P359">
        <v>45</v>
      </c>
    </row>
    <row r="360" spans="1:16">
      <c r="A360">
        <v>969</v>
      </c>
      <c r="B360" s="2">
        <v>40586</v>
      </c>
      <c r="C360">
        <v>1</v>
      </c>
      <c r="D360">
        <v>0</v>
      </c>
      <c r="E360">
        <v>2</v>
      </c>
      <c r="F360">
        <v>23</v>
      </c>
      <c r="G360" t="b">
        <v>0</v>
      </c>
      <c r="H360">
        <v>6</v>
      </c>
      <c r="I360">
        <v>1</v>
      </c>
      <c r="J360">
        <v>0.22</v>
      </c>
      <c r="K360">
        <v>0.2273</v>
      </c>
      <c r="L360">
        <v>0.51</v>
      </c>
      <c r="M360">
        <v>0.1343</v>
      </c>
      <c r="N360">
        <v>1</v>
      </c>
      <c r="O360">
        <v>31</v>
      </c>
      <c r="P360">
        <v>32</v>
      </c>
    </row>
    <row r="361" spans="1:16">
      <c r="A361">
        <v>970</v>
      </c>
      <c r="B361" s="2">
        <v>40587</v>
      </c>
      <c r="C361">
        <v>1</v>
      </c>
      <c r="D361">
        <v>0</v>
      </c>
      <c r="E361">
        <v>2</v>
      </c>
      <c r="F361">
        <v>0</v>
      </c>
      <c r="G361" t="b">
        <v>0</v>
      </c>
      <c r="H361">
        <v>0</v>
      </c>
      <c r="I361">
        <v>1</v>
      </c>
      <c r="J361">
        <v>0.2</v>
      </c>
      <c r="K361">
        <v>0.2273</v>
      </c>
      <c r="L361">
        <v>0.64</v>
      </c>
      <c r="M361">
        <v>0.1045</v>
      </c>
      <c r="N361">
        <v>5</v>
      </c>
      <c r="O361">
        <v>34</v>
      </c>
      <c r="P361">
        <v>39</v>
      </c>
    </row>
    <row r="362" spans="1:16">
      <c r="A362">
        <v>971</v>
      </c>
      <c r="B362" s="2">
        <v>40587</v>
      </c>
      <c r="C362">
        <v>1</v>
      </c>
      <c r="D362">
        <v>0</v>
      </c>
      <c r="E362">
        <v>2</v>
      </c>
      <c r="F362">
        <v>1</v>
      </c>
      <c r="G362" t="b">
        <v>0</v>
      </c>
      <c r="H362">
        <v>0</v>
      </c>
      <c r="I362">
        <v>1</v>
      </c>
      <c r="J362">
        <v>0.2</v>
      </c>
      <c r="K362">
        <v>0.2273</v>
      </c>
      <c r="L362">
        <v>0.59</v>
      </c>
      <c r="M362">
        <v>8.9599999999999999E-2</v>
      </c>
      <c r="N362">
        <v>1</v>
      </c>
      <c r="O362">
        <v>23</v>
      </c>
      <c r="P362">
        <v>24</v>
      </c>
    </row>
    <row r="363" spans="1:16">
      <c r="A363">
        <v>972</v>
      </c>
      <c r="B363" s="2">
        <v>40587</v>
      </c>
      <c r="C363">
        <v>1</v>
      </c>
      <c r="D363">
        <v>0</v>
      </c>
      <c r="E363">
        <v>2</v>
      </c>
      <c r="F363">
        <v>2</v>
      </c>
      <c r="G363" t="b">
        <v>0</v>
      </c>
      <c r="H363">
        <v>0</v>
      </c>
      <c r="I363">
        <v>2</v>
      </c>
      <c r="J363">
        <v>0.2</v>
      </c>
      <c r="K363">
        <v>0.2273</v>
      </c>
      <c r="L363">
        <v>0.75</v>
      </c>
      <c r="M363">
        <v>8.9599999999999999E-2</v>
      </c>
      <c r="N363">
        <v>1</v>
      </c>
      <c r="O363">
        <v>19</v>
      </c>
      <c r="P363">
        <v>20</v>
      </c>
    </row>
    <row r="364" spans="1:16">
      <c r="A364">
        <v>973</v>
      </c>
      <c r="B364" s="2">
        <v>40587</v>
      </c>
      <c r="C364">
        <v>1</v>
      </c>
      <c r="D364">
        <v>0</v>
      </c>
      <c r="E364">
        <v>2</v>
      </c>
      <c r="F364">
        <v>3</v>
      </c>
      <c r="G364" t="b">
        <v>0</v>
      </c>
      <c r="H364">
        <v>0</v>
      </c>
      <c r="I364">
        <v>2</v>
      </c>
      <c r="J364">
        <v>0.2</v>
      </c>
      <c r="K364">
        <v>0.2273</v>
      </c>
      <c r="L364">
        <v>0.69</v>
      </c>
      <c r="M364">
        <v>0.1045</v>
      </c>
      <c r="N364">
        <v>4</v>
      </c>
      <c r="O364">
        <v>8</v>
      </c>
      <c r="P364">
        <v>12</v>
      </c>
    </row>
    <row r="365" spans="1:16">
      <c r="A365">
        <v>974</v>
      </c>
      <c r="B365" s="2">
        <v>40587</v>
      </c>
      <c r="C365">
        <v>1</v>
      </c>
      <c r="D365">
        <v>0</v>
      </c>
      <c r="E365">
        <v>2</v>
      </c>
      <c r="F365">
        <v>4</v>
      </c>
      <c r="G365" t="b">
        <v>0</v>
      </c>
      <c r="H365">
        <v>0</v>
      </c>
      <c r="I365">
        <v>2</v>
      </c>
      <c r="J365">
        <v>0.2</v>
      </c>
      <c r="K365">
        <v>0.21210000000000001</v>
      </c>
      <c r="L365">
        <v>0.69</v>
      </c>
      <c r="M365">
        <v>0.16420000000000001</v>
      </c>
      <c r="N365">
        <v>0</v>
      </c>
      <c r="O365">
        <v>2</v>
      </c>
      <c r="P365">
        <v>2</v>
      </c>
    </row>
    <row r="366" spans="1:16">
      <c r="A366">
        <v>975</v>
      </c>
      <c r="B366" s="2">
        <v>40587</v>
      </c>
      <c r="C366">
        <v>1</v>
      </c>
      <c r="D366">
        <v>0</v>
      </c>
      <c r="E366">
        <v>2</v>
      </c>
      <c r="F366">
        <v>6</v>
      </c>
      <c r="G366" t="b">
        <v>0</v>
      </c>
      <c r="H366">
        <v>0</v>
      </c>
      <c r="I366">
        <v>2</v>
      </c>
      <c r="J366">
        <v>0.2</v>
      </c>
      <c r="K366">
        <v>0.21210000000000001</v>
      </c>
      <c r="L366">
        <v>0.69</v>
      </c>
      <c r="M366">
        <v>0.1343</v>
      </c>
      <c r="N366">
        <v>2</v>
      </c>
      <c r="O366">
        <v>3</v>
      </c>
      <c r="P366">
        <v>5</v>
      </c>
    </row>
    <row r="367" spans="1:16">
      <c r="A367">
        <v>976</v>
      </c>
      <c r="B367" s="2">
        <v>40587</v>
      </c>
      <c r="C367">
        <v>1</v>
      </c>
      <c r="D367">
        <v>0</v>
      </c>
      <c r="E367">
        <v>2</v>
      </c>
      <c r="F367">
        <v>7</v>
      </c>
      <c r="G367" t="b">
        <v>0</v>
      </c>
      <c r="H367">
        <v>0</v>
      </c>
      <c r="I367">
        <v>2</v>
      </c>
      <c r="J367">
        <v>0.22</v>
      </c>
      <c r="K367">
        <v>0.2727</v>
      </c>
      <c r="L367">
        <v>0.55000000000000004</v>
      </c>
      <c r="M367">
        <v>0</v>
      </c>
      <c r="N367">
        <v>0</v>
      </c>
      <c r="O367">
        <v>3</v>
      </c>
      <c r="P367">
        <v>3</v>
      </c>
    </row>
    <row r="368" spans="1:16">
      <c r="A368">
        <v>977</v>
      </c>
      <c r="B368" s="2">
        <v>40587</v>
      </c>
      <c r="C368">
        <v>1</v>
      </c>
      <c r="D368">
        <v>0</v>
      </c>
      <c r="E368">
        <v>2</v>
      </c>
      <c r="F368">
        <v>8</v>
      </c>
      <c r="G368" t="b">
        <v>0</v>
      </c>
      <c r="H368">
        <v>0</v>
      </c>
      <c r="I368">
        <v>2</v>
      </c>
      <c r="J368">
        <v>0.22</v>
      </c>
      <c r="K368">
        <v>0.2273</v>
      </c>
      <c r="L368">
        <v>0.64</v>
      </c>
      <c r="M368">
        <v>0.19400000000000001</v>
      </c>
      <c r="N368">
        <v>1</v>
      </c>
      <c r="O368">
        <v>11</v>
      </c>
      <c r="P368">
        <v>12</v>
      </c>
    </row>
    <row r="369" spans="1:16">
      <c r="A369">
        <v>978</v>
      </c>
      <c r="B369" s="2">
        <v>40587</v>
      </c>
      <c r="C369">
        <v>1</v>
      </c>
      <c r="D369">
        <v>0</v>
      </c>
      <c r="E369">
        <v>2</v>
      </c>
      <c r="F369">
        <v>9</v>
      </c>
      <c r="G369" t="b">
        <v>0</v>
      </c>
      <c r="H369">
        <v>0</v>
      </c>
      <c r="I369">
        <v>2</v>
      </c>
      <c r="J369">
        <v>0.24</v>
      </c>
      <c r="K369">
        <v>0.2273</v>
      </c>
      <c r="L369">
        <v>0.6</v>
      </c>
      <c r="M369">
        <v>0.22389999999999999</v>
      </c>
      <c r="N369">
        <v>12</v>
      </c>
      <c r="O369">
        <v>35</v>
      </c>
      <c r="P369">
        <v>47</v>
      </c>
    </row>
    <row r="370" spans="1:16">
      <c r="A370">
        <v>979</v>
      </c>
      <c r="B370" s="2">
        <v>40587</v>
      </c>
      <c r="C370">
        <v>1</v>
      </c>
      <c r="D370">
        <v>0</v>
      </c>
      <c r="E370">
        <v>2</v>
      </c>
      <c r="F370">
        <v>10</v>
      </c>
      <c r="G370" t="b">
        <v>0</v>
      </c>
      <c r="H370">
        <v>0</v>
      </c>
      <c r="I370">
        <v>1</v>
      </c>
      <c r="J370">
        <v>0.3</v>
      </c>
      <c r="K370">
        <v>0.2727</v>
      </c>
      <c r="L370">
        <v>0.45</v>
      </c>
      <c r="M370">
        <v>0.32840000000000003</v>
      </c>
      <c r="N370">
        <v>19</v>
      </c>
      <c r="O370">
        <v>86</v>
      </c>
      <c r="P370">
        <v>105</v>
      </c>
    </row>
    <row r="371" spans="1:16">
      <c r="A371">
        <v>980</v>
      </c>
      <c r="B371" s="2">
        <v>40587</v>
      </c>
      <c r="C371">
        <v>1</v>
      </c>
      <c r="D371">
        <v>0</v>
      </c>
      <c r="E371">
        <v>2</v>
      </c>
      <c r="F371">
        <v>11</v>
      </c>
      <c r="G371" t="b">
        <v>0</v>
      </c>
      <c r="H371">
        <v>0</v>
      </c>
      <c r="I371">
        <v>1</v>
      </c>
      <c r="J371">
        <v>0.32</v>
      </c>
      <c r="K371">
        <v>0.28789999999999999</v>
      </c>
      <c r="L371">
        <v>0.39</v>
      </c>
      <c r="M371">
        <v>0.44779999999999998</v>
      </c>
      <c r="N371">
        <v>26</v>
      </c>
      <c r="O371">
        <v>86</v>
      </c>
      <c r="P371">
        <v>112</v>
      </c>
    </row>
    <row r="372" spans="1:16">
      <c r="A372">
        <v>981</v>
      </c>
      <c r="B372" s="2">
        <v>40587</v>
      </c>
      <c r="C372">
        <v>1</v>
      </c>
      <c r="D372">
        <v>0</v>
      </c>
      <c r="E372">
        <v>2</v>
      </c>
      <c r="F372">
        <v>12</v>
      </c>
      <c r="G372" t="b">
        <v>0</v>
      </c>
      <c r="H372">
        <v>0</v>
      </c>
      <c r="I372">
        <v>1</v>
      </c>
      <c r="J372">
        <v>0.36</v>
      </c>
      <c r="K372">
        <v>0.31819999999999998</v>
      </c>
      <c r="L372">
        <v>0.32</v>
      </c>
      <c r="M372">
        <v>0.4627</v>
      </c>
      <c r="N372">
        <v>58</v>
      </c>
      <c r="O372">
        <v>94</v>
      </c>
      <c r="P372">
        <v>152</v>
      </c>
    </row>
    <row r="373" spans="1:16">
      <c r="A373">
        <v>982</v>
      </c>
      <c r="B373" s="2">
        <v>40587</v>
      </c>
      <c r="C373">
        <v>1</v>
      </c>
      <c r="D373">
        <v>0</v>
      </c>
      <c r="E373">
        <v>2</v>
      </c>
      <c r="F373">
        <v>13</v>
      </c>
      <c r="G373" t="b">
        <v>0</v>
      </c>
      <c r="H373">
        <v>0</v>
      </c>
      <c r="I373">
        <v>1</v>
      </c>
      <c r="J373">
        <v>0.38</v>
      </c>
      <c r="K373">
        <v>0.39389999999999997</v>
      </c>
      <c r="L373">
        <v>0.28999999999999998</v>
      </c>
      <c r="M373">
        <v>0.35820000000000002</v>
      </c>
      <c r="N373">
        <v>62</v>
      </c>
      <c r="O373">
        <v>92</v>
      </c>
      <c r="P373">
        <v>154</v>
      </c>
    </row>
    <row r="374" spans="1:16">
      <c r="A374">
        <v>983</v>
      </c>
      <c r="B374" s="2">
        <v>40587</v>
      </c>
      <c r="C374">
        <v>1</v>
      </c>
      <c r="D374">
        <v>0</v>
      </c>
      <c r="E374">
        <v>2</v>
      </c>
      <c r="F374">
        <v>14</v>
      </c>
      <c r="G374" t="b">
        <v>0</v>
      </c>
      <c r="H374">
        <v>0</v>
      </c>
      <c r="I374">
        <v>2</v>
      </c>
      <c r="J374">
        <v>0.4</v>
      </c>
      <c r="K374">
        <v>0.40910000000000002</v>
      </c>
      <c r="L374">
        <v>0.3</v>
      </c>
      <c r="M374">
        <v>0.41789999999999999</v>
      </c>
      <c r="N374">
        <v>51</v>
      </c>
      <c r="O374">
        <v>110</v>
      </c>
      <c r="P374">
        <v>161</v>
      </c>
    </row>
    <row r="375" spans="1:16">
      <c r="A375">
        <v>984</v>
      </c>
      <c r="B375" s="2">
        <v>40587</v>
      </c>
      <c r="C375">
        <v>1</v>
      </c>
      <c r="D375">
        <v>0</v>
      </c>
      <c r="E375">
        <v>2</v>
      </c>
      <c r="F375">
        <v>15</v>
      </c>
      <c r="G375" t="b">
        <v>0</v>
      </c>
      <c r="H375">
        <v>0</v>
      </c>
      <c r="I375">
        <v>2</v>
      </c>
      <c r="J375">
        <v>0.4</v>
      </c>
      <c r="K375">
        <v>0.40910000000000002</v>
      </c>
      <c r="L375">
        <v>0.3</v>
      </c>
      <c r="M375">
        <v>0.29849999999999999</v>
      </c>
      <c r="N375">
        <v>40</v>
      </c>
      <c r="O375">
        <v>122</v>
      </c>
      <c r="P375">
        <v>162</v>
      </c>
    </row>
    <row r="376" spans="1:16">
      <c r="A376">
        <v>985</v>
      </c>
      <c r="B376" s="2">
        <v>40587</v>
      </c>
      <c r="C376">
        <v>1</v>
      </c>
      <c r="D376">
        <v>0</v>
      </c>
      <c r="E376">
        <v>2</v>
      </c>
      <c r="F376">
        <v>16</v>
      </c>
      <c r="G376" t="b">
        <v>0</v>
      </c>
      <c r="H376">
        <v>0</v>
      </c>
      <c r="I376">
        <v>2</v>
      </c>
      <c r="J376">
        <v>0.42</v>
      </c>
      <c r="K376">
        <v>0.42420000000000002</v>
      </c>
      <c r="L376">
        <v>0.28000000000000003</v>
      </c>
      <c r="M376">
        <v>0.32840000000000003</v>
      </c>
      <c r="N376">
        <v>28</v>
      </c>
      <c r="O376">
        <v>106</v>
      </c>
      <c r="P376">
        <v>134</v>
      </c>
    </row>
    <row r="377" spans="1:16">
      <c r="A377">
        <v>986</v>
      </c>
      <c r="B377" s="2">
        <v>40587</v>
      </c>
      <c r="C377">
        <v>1</v>
      </c>
      <c r="D377">
        <v>0</v>
      </c>
      <c r="E377">
        <v>2</v>
      </c>
      <c r="F377">
        <v>17</v>
      </c>
      <c r="G377" t="b">
        <v>0</v>
      </c>
      <c r="H377">
        <v>0</v>
      </c>
      <c r="I377">
        <v>1</v>
      </c>
      <c r="J377">
        <v>0.42</v>
      </c>
      <c r="K377">
        <v>0.42420000000000002</v>
      </c>
      <c r="L377">
        <v>0.28000000000000003</v>
      </c>
      <c r="M377">
        <v>0.32840000000000003</v>
      </c>
      <c r="N377">
        <v>30</v>
      </c>
      <c r="O377">
        <v>95</v>
      </c>
      <c r="P377">
        <v>125</v>
      </c>
    </row>
    <row r="378" spans="1:16">
      <c r="A378">
        <v>987</v>
      </c>
      <c r="B378" s="2">
        <v>40587</v>
      </c>
      <c r="C378">
        <v>1</v>
      </c>
      <c r="D378">
        <v>0</v>
      </c>
      <c r="E378">
        <v>2</v>
      </c>
      <c r="F378">
        <v>18</v>
      </c>
      <c r="G378" t="b">
        <v>0</v>
      </c>
      <c r="H378">
        <v>0</v>
      </c>
      <c r="I378">
        <v>1</v>
      </c>
      <c r="J378">
        <v>0.4</v>
      </c>
      <c r="K378">
        <v>0.40910000000000002</v>
      </c>
      <c r="L378">
        <v>0.32</v>
      </c>
      <c r="M378">
        <v>0.29849999999999999</v>
      </c>
      <c r="N378">
        <v>17</v>
      </c>
      <c r="O378">
        <v>78</v>
      </c>
      <c r="P378">
        <v>95</v>
      </c>
    </row>
    <row r="379" spans="1:16">
      <c r="A379">
        <v>988</v>
      </c>
      <c r="B379" s="2">
        <v>40587</v>
      </c>
      <c r="C379">
        <v>1</v>
      </c>
      <c r="D379">
        <v>0</v>
      </c>
      <c r="E379">
        <v>2</v>
      </c>
      <c r="F379">
        <v>19</v>
      </c>
      <c r="G379" t="b">
        <v>0</v>
      </c>
      <c r="H379">
        <v>0</v>
      </c>
      <c r="I379">
        <v>1</v>
      </c>
      <c r="J379">
        <v>0.4</v>
      </c>
      <c r="K379">
        <v>0.40910000000000002</v>
      </c>
      <c r="L379">
        <v>0.35</v>
      </c>
      <c r="M379">
        <v>0.28360000000000002</v>
      </c>
      <c r="N379">
        <v>11</v>
      </c>
      <c r="O379">
        <v>50</v>
      </c>
      <c r="P379">
        <v>61</v>
      </c>
    </row>
    <row r="380" spans="1:16">
      <c r="A380">
        <v>989</v>
      </c>
      <c r="B380" s="2">
        <v>40587</v>
      </c>
      <c r="C380">
        <v>1</v>
      </c>
      <c r="D380">
        <v>0</v>
      </c>
      <c r="E380">
        <v>2</v>
      </c>
      <c r="F380">
        <v>20</v>
      </c>
      <c r="G380" t="b">
        <v>0</v>
      </c>
      <c r="H380">
        <v>0</v>
      </c>
      <c r="I380">
        <v>1</v>
      </c>
      <c r="J380">
        <v>0.4</v>
      </c>
      <c r="K380">
        <v>0.40910000000000002</v>
      </c>
      <c r="L380">
        <v>0.35</v>
      </c>
      <c r="M380">
        <v>0.32840000000000003</v>
      </c>
      <c r="N380">
        <v>15</v>
      </c>
      <c r="O380">
        <v>32</v>
      </c>
      <c r="P380">
        <v>47</v>
      </c>
    </row>
    <row r="381" spans="1:16">
      <c r="A381">
        <v>990</v>
      </c>
      <c r="B381" s="2">
        <v>40587</v>
      </c>
      <c r="C381">
        <v>1</v>
      </c>
      <c r="D381">
        <v>0</v>
      </c>
      <c r="E381">
        <v>2</v>
      </c>
      <c r="F381">
        <v>21</v>
      </c>
      <c r="G381" t="b">
        <v>0</v>
      </c>
      <c r="H381">
        <v>0</v>
      </c>
      <c r="I381">
        <v>1</v>
      </c>
      <c r="J381">
        <v>0.4</v>
      </c>
      <c r="K381">
        <v>0.40910000000000002</v>
      </c>
      <c r="L381">
        <v>0.35</v>
      </c>
      <c r="M381">
        <v>0.35820000000000002</v>
      </c>
      <c r="N381">
        <v>6</v>
      </c>
      <c r="O381">
        <v>45</v>
      </c>
      <c r="P381">
        <v>51</v>
      </c>
    </row>
    <row r="382" spans="1:16">
      <c r="A382">
        <v>991</v>
      </c>
      <c r="B382" s="2">
        <v>40587</v>
      </c>
      <c r="C382">
        <v>1</v>
      </c>
      <c r="D382">
        <v>0</v>
      </c>
      <c r="E382">
        <v>2</v>
      </c>
      <c r="F382">
        <v>22</v>
      </c>
      <c r="G382" t="b">
        <v>0</v>
      </c>
      <c r="H382">
        <v>0</v>
      </c>
      <c r="I382">
        <v>1</v>
      </c>
      <c r="J382">
        <v>0.4</v>
      </c>
      <c r="K382">
        <v>0.40910000000000002</v>
      </c>
      <c r="L382">
        <v>0.35</v>
      </c>
      <c r="M382">
        <v>0.29849999999999999</v>
      </c>
      <c r="N382">
        <v>5</v>
      </c>
      <c r="O382">
        <v>31</v>
      </c>
      <c r="P382">
        <v>36</v>
      </c>
    </row>
    <row r="383" spans="1:16">
      <c r="A383">
        <v>992</v>
      </c>
      <c r="B383" s="2">
        <v>40587</v>
      </c>
      <c r="C383">
        <v>1</v>
      </c>
      <c r="D383">
        <v>0</v>
      </c>
      <c r="E383">
        <v>2</v>
      </c>
      <c r="F383">
        <v>23</v>
      </c>
      <c r="G383" t="b">
        <v>0</v>
      </c>
      <c r="H383">
        <v>0</v>
      </c>
      <c r="I383">
        <v>1</v>
      </c>
      <c r="J383">
        <v>0.4</v>
      </c>
      <c r="K383">
        <v>0.40910000000000002</v>
      </c>
      <c r="L383">
        <v>0.35</v>
      </c>
      <c r="M383">
        <v>0.35820000000000002</v>
      </c>
      <c r="N383">
        <v>3</v>
      </c>
      <c r="O383">
        <v>27</v>
      </c>
      <c r="P383">
        <v>30</v>
      </c>
    </row>
    <row r="384" spans="1:16">
      <c r="A384">
        <v>993</v>
      </c>
      <c r="B384" s="2">
        <v>40588</v>
      </c>
      <c r="C384">
        <v>1</v>
      </c>
      <c r="D384">
        <v>0</v>
      </c>
      <c r="E384">
        <v>2</v>
      </c>
      <c r="F384">
        <v>0</v>
      </c>
      <c r="G384" t="b">
        <v>0</v>
      </c>
      <c r="H384">
        <v>1</v>
      </c>
      <c r="I384">
        <v>1</v>
      </c>
      <c r="J384">
        <v>0.38</v>
      </c>
      <c r="K384">
        <v>0.39389999999999997</v>
      </c>
      <c r="L384">
        <v>0.37</v>
      </c>
      <c r="M384">
        <v>0.35820000000000002</v>
      </c>
      <c r="N384">
        <v>3</v>
      </c>
      <c r="O384">
        <v>8</v>
      </c>
      <c r="P384">
        <v>11</v>
      </c>
    </row>
    <row r="385" spans="1:16">
      <c r="A385">
        <v>994</v>
      </c>
      <c r="B385" s="2">
        <v>40588</v>
      </c>
      <c r="C385">
        <v>1</v>
      </c>
      <c r="D385">
        <v>0</v>
      </c>
      <c r="E385">
        <v>2</v>
      </c>
      <c r="F385">
        <v>1</v>
      </c>
      <c r="G385" t="b">
        <v>0</v>
      </c>
      <c r="H385">
        <v>1</v>
      </c>
      <c r="I385">
        <v>1</v>
      </c>
      <c r="J385">
        <v>0.38</v>
      </c>
      <c r="K385">
        <v>0.39389999999999997</v>
      </c>
      <c r="L385">
        <v>0.37</v>
      </c>
      <c r="M385">
        <v>0.35820000000000002</v>
      </c>
      <c r="N385">
        <v>1</v>
      </c>
      <c r="O385">
        <v>6</v>
      </c>
      <c r="P385">
        <v>7</v>
      </c>
    </row>
    <row r="386" spans="1:16">
      <c r="A386">
        <v>995</v>
      </c>
      <c r="B386" s="2">
        <v>40588</v>
      </c>
      <c r="C386">
        <v>1</v>
      </c>
      <c r="D386">
        <v>0</v>
      </c>
      <c r="E386">
        <v>2</v>
      </c>
      <c r="F386">
        <v>2</v>
      </c>
      <c r="G386" t="b">
        <v>0</v>
      </c>
      <c r="H386">
        <v>1</v>
      </c>
      <c r="I386">
        <v>1</v>
      </c>
      <c r="J386">
        <v>0.36</v>
      </c>
      <c r="K386">
        <v>0.33329999999999999</v>
      </c>
      <c r="L386">
        <v>0.4</v>
      </c>
      <c r="M386">
        <v>0.29849999999999999</v>
      </c>
      <c r="N386">
        <v>0</v>
      </c>
      <c r="O386">
        <v>2</v>
      </c>
      <c r="P386">
        <v>2</v>
      </c>
    </row>
    <row r="387" spans="1:16">
      <c r="A387">
        <v>996</v>
      </c>
      <c r="B387" s="2">
        <v>40588</v>
      </c>
      <c r="C387">
        <v>1</v>
      </c>
      <c r="D387">
        <v>0</v>
      </c>
      <c r="E387">
        <v>2</v>
      </c>
      <c r="F387">
        <v>3</v>
      </c>
      <c r="G387" t="b">
        <v>0</v>
      </c>
      <c r="H387">
        <v>1</v>
      </c>
      <c r="I387">
        <v>1</v>
      </c>
      <c r="J387">
        <v>0.34</v>
      </c>
      <c r="K387">
        <v>0.31819999999999998</v>
      </c>
      <c r="L387">
        <v>0.46</v>
      </c>
      <c r="M387">
        <v>0.22389999999999999</v>
      </c>
      <c r="N387">
        <v>1</v>
      </c>
      <c r="O387">
        <v>1</v>
      </c>
      <c r="P387">
        <v>2</v>
      </c>
    </row>
    <row r="388" spans="1:16">
      <c r="A388">
        <v>997</v>
      </c>
      <c r="B388" s="2">
        <v>40588</v>
      </c>
      <c r="C388">
        <v>1</v>
      </c>
      <c r="D388">
        <v>0</v>
      </c>
      <c r="E388">
        <v>2</v>
      </c>
      <c r="F388">
        <v>4</v>
      </c>
      <c r="G388" t="b">
        <v>0</v>
      </c>
      <c r="H388">
        <v>1</v>
      </c>
      <c r="I388">
        <v>1</v>
      </c>
      <c r="J388">
        <v>0.32</v>
      </c>
      <c r="K388">
        <v>0.30299999999999999</v>
      </c>
      <c r="L388">
        <v>0.53</v>
      </c>
      <c r="M388">
        <v>0.28360000000000002</v>
      </c>
      <c r="N388">
        <v>0</v>
      </c>
      <c r="O388">
        <v>2</v>
      </c>
      <c r="P388">
        <v>2</v>
      </c>
    </row>
    <row r="389" spans="1:16">
      <c r="A389">
        <v>998</v>
      </c>
      <c r="B389" s="2">
        <v>40588</v>
      </c>
      <c r="C389">
        <v>1</v>
      </c>
      <c r="D389">
        <v>0</v>
      </c>
      <c r="E389">
        <v>2</v>
      </c>
      <c r="F389">
        <v>5</v>
      </c>
      <c r="G389" t="b">
        <v>0</v>
      </c>
      <c r="H389">
        <v>1</v>
      </c>
      <c r="I389">
        <v>1</v>
      </c>
      <c r="J389">
        <v>0.32</v>
      </c>
      <c r="K389">
        <v>0.30299999999999999</v>
      </c>
      <c r="L389">
        <v>0.53</v>
      </c>
      <c r="M389">
        <v>0.28360000000000002</v>
      </c>
      <c r="N389">
        <v>0</v>
      </c>
      <c r="O389">
        <v>3</v>
      </c>
      <c r="P389">
        <v>3</v>
      </c>
    </row>
    <row r="390" spans="1:16">
      <c r="A390">
        <v>999</v>
      </c>
      <c r="B390" s="2">
        <v>40588</v>
      </c>
      <c r="C390">
        <v>1</v>
      </c>
      <c r="D390">
        <v>0</v>
      </c>
      <c r="E390">
        <v>2</v>
      </c>
      <c r="F390">
        <v>6</v>
      </c>
      <c r="G390" t="b">
        <v>0</v>
      </c>
      <c r="H390">
        <v>1</v>
      </c>
      <c r="I390">
        <v>1</v>
      </c>
      <c r="J390">
        <v>0.34</v>
      </c>
      <c r="K390">
        <v>0.30299999999999999</v>
      </c>
      <c r="L390">
        <v>0.46</v>
      </c>
      <c r="M390">
        <v>0.29849999999999999</v>
      </c>
      <c r="N390">
        <v>1</v>
      </c>
      <c r="O390">
        <v>25</v>
      </c>
      <c r="P390">
        <v>26</v>
      </c>
    </row>
    <row r="391" spans="1:16">
      <c r="A391">
        <v>1000</v>
      </c>
      <c r="B391" s="2">
        <v>40588</v>
      </c>
      <c r="C391">
        <v>1</v>
      </c>
      <c r="D391">
        <v>0</v>
      </c>
      <c r="E391">
        <v>2</v>
      </c>
      <c r="F391">
        <v>7</v>
      </c>
      <c r="G391" t="b">
        <v>0</v>
      </c>
      <c r="H391">
        <v>1</v>
      </c>
      <c r="I391">
        <v>1</v>
      </c>
      <c r="J391">
        <v>0.34</v>
      </c>
      <c r="K391">
        <v>0.30299999999999999</v>
      </c>
      <c r="L391">
        <v>0.46</v>
      </c>
      <c r="M391">
        <v>0.29849999999999999</v>
      </c>
      <c r="N391">
        <v>2</v>
      </c>
      <c r="O391">
        <v>96</v>
      </c>
      <c r="P391">
        <v>98</v>
      </c>
    </row>
  </sheetData>
  <phoneticPr fontId="2" type="noConversion"/>
  <pageMargins left="0.7" right="0.7" top="0.75" bottom="0.75" header="0.3" footer="0.3"/>
  <pageSetup orientation="portrait"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5A169E-A655-4AE4-8B9C-F3EAB49FB929}">
  <dimension ref="A1:P611"/>
  <sheetViews>
    <sheetView workbookViewId="0">
      <selection activeCell="I8" sqref="I8"/>
    </sheetView>
  </sheetViews>
  <sheetFormatPr defaultRowHeight="14.6"/>
  <cols>
    <col min="1" max="1" width="11.69140625" bestFit="1" customWidth="1"/>
    <col min="2" max="2" width="10.07421875" bestFit="1" customWidth="1"/>
    <col min="3" max="3" width="14.15234375" bestFit="1" customWidth="1"/>
    <col min="4" max="4" width="6.84375" bestFit="1" customWidth="1"/>
    <col min="5" max="5" width="8.765625" bestFit="1" customWidth="1"/>
    <col min="6" max="6" width="7.15234375" bestFit="1" customWidth="1"/>
    <col min="7" max="7" width="11.61328125" bestFit="1" customWidth="1"/>
    <col min="8" max="8" width="11.4609375" bestFit="1" customWidth="1"/>
    <col min="9" max="9" width="15.69140625" bestFit="1" customWidth="1"/>
    <col min="10" max="10" width="13.921875" bestFit="1" customWidth="1"/>
    <col min="11" max="11" width="22.61328125" bestFit="1" customWidth="1"/>
    <col min="12" max="12" width="10.61328125" bestFit="1" customWidth="1"/>
    <col min="13" max="13" width="13.61328125" bestFit="1" customWidth="1"/>
    <col min="14" max="14" width="15.69140625" bestFit="1" customWidth="1"/>
    <col min="15" max="15" width="19.07421875" bestFit="1" customWidth="1"/>
    <col min="16" max="17" width="14.4609375" bestFit="1" customWidth="1"/>
  </cols>
  <sheetData>
    <row r="1" spans="1:16">
      <c r="A1" s="1" t="s">
        <v>54</v>
      </c>
      <c r="B1" s="1" t="s">
        <v>55</v>
      </c>
      <c r="C1" s="1" t="s">
        <v>56</v>
      </c>
      <c r="D1" s="1" t="s">
        <v>57</v>
      </c>
      <c r="E1" s="1" t="s">
        <v>58</v>
      </c>
      <c r="F1" s="1" t="s">
        <v>59</v>
      </c>
      <c r="G1" s="1" t="s">
        <v>60</v>
      </c>
      <c r="H1" s="1" t="s">
        <v>70</v>
      </c>
      <c r="I1" s="1" t="s">
        <v>62</v>
      </c>
      <c r="J1" s="1" t="s">
        <v>63</v>
      </c>
      <c r="K1" t="s">
        <v>84</v>
      </c>
      <c r="L1" s="1" t="s">
        <v>64</v>
      </c>
      <c r="M1" s="1" t="s">
        <v>65</v>
      </c>
      <c r="N1" s="1" t="s">
        <v>66</v>
      </c>
      <c r="O1" s="1" t="s">
        <v>67</v>
      </c>
      <c r="P1" s="1" t="s">
        <v>68</v>
      </c>
    </row>
    <row r="2" spans="1:16">
      <c r="A2" s="1">
        <v>1</v>
      </c>
      <c r="B2" s="2">
        <v>40544</v>
      </c>
      <c r="C2" s="1">
        <v>1</v>
      </c>
      <c r="D2" s="1">
        <v>0</v>
      </c>
      <c r="E2" s="1">
        <v>1</v>
      </c>
      <c r="F2" s="1">
        <v>0</v>
      </c>
      <c r="G2" s="1" t="b">
        <v>0</v>
      </c>
      <c r="H2" s="1">
        <v>6</v>
      </c>
      <c r="I2" s="1">
        <v>1</v>
      </c>
      <c r="J2" s="1">
        <v>0.24</v>
      </c>
      <c r="K2">
        <v>0.28789999999999999</v>
      </c>
      <c r="L2" s="1">
        <v>0.81</v>
      </c>
      <c r="M2" s="1">
        <v>0</v>
      </c>
      <c r="N2" s="1">
        <v>3</v>
      </c>
      <c r="O2" s="1">
        <v>13</v>
      </c>
      <c r="P2" s="1">
        <v>16</v>
      </c>
    </row>
    <row r="3" spans="1:16">
      <c r="A3" s="1">
        <v>2</v>
      </c>
      <c r="B3" s="2">
        <v>40544</v>
      </c>
      <c r="C3" s="1">
        <v>1</v>
      </c>
      <c r="D3" s="1">
        <v>0</v>
      </c>
      <c r="E3" s="1">
        <v>1</v>
      </c>
      <c r="F3" s="1">
        <v>1</v>
      </c>
      <c r="G3" s="1" t="b">
        <v>0</v>
      </c>
      <c r="H3" s="1">
        <v>6</v>
      </c>
      <c r="I3" s="1">
        <v>1</v>
      </c>
      <c r="J3" s="1">
        <v>0.22</v>
      </c>
      <c r="K3">
        <v>0.2727</v>
      </c>
      <c r="L3" s="1">
        <v>0.8</v>
      </c>
      <c r="M3" s="1">
        <v>0</v>
      </c>
      <c r="N3" s="1">
        <v>8</v>
      </c>
      <c r="O3" s="1">
        <v>32</v>
      </c>
      <c r="P3" s="1">
        <v>40</v>
      </c>
    </row>
    <row r="4" spans="1:16">
      <c r="A4" s="1">
        <v>3</v>
      </c>
      <c r="B4" s="2">
        <v>40544</v>
      </c>
      <c r="C4" s="1">
        <v>1</v>
      </c>
      <c r="D4" s="1">
        <v>0</v>
      </c>
      <c r="E4" s="1">
        <v>1</v>
      </c>
      <c r="F4" s="1">
        <v>2</v>
      </c>
      <c r="G4" s="1" t="b">
        <v>0</v>
      </c>
      <c r="H4" s="1">
        <v>6</v>
      </c>
      <c r="I4" s="1">
        <v>1</v>
      </c>
      <c r="J4" s="1">
        <v>0.22</v>
      </c>
      <c r="K4">
        <v>0.2727</v>
      </c>
      <c r="L4" s="1">
        <v>0.8</v>
      </c>
      <c r="M4" s="1">
        <v>0</v>
      </c>
      <c r="N4" s="1">
        <v>5</v>
      </c>
      <c r="O4" s="1">
        <v>27</v>
      </c>
      <c r="P4" s="1">
        <v>32</v>
      </c>
    </row>
    <row r="5" spans="1:16">
      <c r="A5" s="1">
        <v>4</v>
      </c>
      <c r="B5" s="2">
        <v>40544</v>
      </c>
      <c r="C5" s="1">
        <v>1</v>
      </c>
      <c r="D5" s="1">
        <v>0</v>
      </c>
      <c r="E5" s="1">
        <v>1</v>
      </c>
      <c r="F5" s="1">
        <v>3</v>
      </c>
      <c r="G5" s="1" t="b">
        <v>0</v>
      </c>
      <c r="H5" s="1">
        <v>6</v>
      </c>
      <c r="I5" s="1">
        <v>1</v>
      </c>
      <c r="J5" s="1">
        <v>0.24</v>
      </c>
      <c r="K5">
        <v>0.28789999999999999</v>
      </c>
      <c r="L5" s="1">
        <v>0.75</v>
      </c>
      <c r="M5" s="1">
        <v>0</v>
      </c>
      <c r="N5" s="1">
        <v>3</v>
      </c>
      <c r="O5" s="1">
        <v>10</v>
      </c>
      <c r="P5" s="1">
        <v>13</v>
      </c>
    </row>
    <row r="6" spans="1:16">
      <c r="A6" s="1">
        <v>5</v>
      </c>
      <c r="B6" s="2">
        <v>40544</v>
      </c>
      <c r="C6" s="1">
        <v>1</v>
      </c>
      <c r="D6" s="1">
        <v>0</v>
      </c>
      <c r="E6" s="1">
        <v>1</v>
      </c>
      <c r="F6" s="1">
        <v>4</v>
      </c>
      <c r="G6" s="1" t="b">
        <v>0</v>
      </c>
      <c r="H6" s="1">
        <v>6</v>
      </c>
      <c r="I6" s="1">
        <v>1</v>
      </c>
      <c r="J6" s="1">
        <v>0.24</v>
      </c>
      <c r="K6">
        <v>0.28789999999999999</v>
      </c>
      <c r="L6" s="1">
        <v>0.75</v>
      </c>
      <c r="M6" s="1">
        <v>0</v>
      </c>
      <c r="N6" s="1">
        <v>0</v>
      </c>
      <c r="O6" s="1">
        <v>1</v>
      </c>
      <c r="P6" s="1">
        <v>1</v>
      </c>
    </row>
    <row r="7" spans="1:16">
      <c r="A7" s="1">
        <v>6</v>
      </c>
      <c r="B7" s="2">
        <v>40544</v>
      </c>
      <c r="C7" s="1">
        <v>1</v>
      </c>
      <c r="D7" s="1">
        <v>0</v>
      </c>
      <c r="E7" s="1">
        <v>1</v>
      </c>
      <c r="F7" s="1">
        <v>5</v>
      </c>
      <c r="G7" s="1" t="b">
        <v>0</v>
      </c>
      <c r="H7" s="1">
        <v>6</v>
      </c>
      <c r="I7" s="1">
        <v>2</v>
      </c>
      <c r="J7" s="1">
        <v>0.24</v>
      </c>
      <c r="K7">
        <v>0.2576</v>
      </c>
      <c r="L7" s="1">
        <v>0.75</v>
      </c>
      <c r="M7" s="1">
        <v>8.9599999999999999E-2</v>
      </c>
      <c r="N7" s="1">
        <v>0</v>
      </c>
      <c r="O7" s="1">
        <v>1</v>
      </c>
      <c r="P7" s="1">
        <v>1</v>
      </c>
    </row>
    <row r="8" spans="1:16">
      <c r="A8" s="1">
        <v>7</v>
      </c>
      <c r="B8" s="2">
        <v>40544</v>
      </c>
      <c r="C8" s="1">
        <v>1</v>
      </c>
      <c r="D8" s="1">
        <v>0</v>
      </c>
      <c r="E8" s="1">
        <v>1</v>
      </c>
      <c r="F8" s="1">
        <v>6</v>
      </c>
      <c r="G8" s="1" t="b">
        <v>0</v>
      </c>
      <c r="H8" s="1">
        <v>6</v>
      </c>
      <c r="I8" s="1">
        <v>1</v>
      </c>
      <c r="J8" s="1">
        <v>0.22</v>
      </c>
      <c r="K8">
        <v>0.2727</v>
      </c>
      <c r="L8" s="1">
        <v>0.8</v>
      </c>
      <c r="M8" s="1">
        <v>0</v>
      </c>
      <c r="N8" s="1">
        <v>2</v>
      </c>
      <c r="O8" s="1">
        <v>0</v>
      </c>
      <c r="P8" s="1">
        <v>2</v>
      </c>
    </row>
    <row r="9" spans="1:16">
      <c r="A9" s="1">
        <v>8</v>
      </c>
      <c r="B9" s="2">
        <v>40544</v>
      </c>
      <c r="C9" s="1">
        <v>1</v>
      </c>
      <c r="D9" s="1">
        <v>0</v>
      </c>
      <c r="E9" s="1">
        <v>1</v>
      </c>
      <c r="F9" s="1">
        <v>7</v>
      </c>
      <c r="G9" s="1" t="b">
        <v>0</v>
      </c>
      <c r="H9" s="1">
        <v>6</v>
      </c>
      <c r="I9" s="1">
        <v>1</v>
      </c>
      <c r="J9" s="1">
        <v>0.2</v>
      </c>
      <c r="K9">
        <v>0.2576</v>
      </c>
      <c r="L9" s="1">
        <v>0.86</v>
      </c>
      <c r="M9" s="1">
        <v>0</v>
      </c>
      <c r="N9" s="1">
        <v>1</v>
      </c>
      <c r="O9" s="1">
        <v>2</v>
      </c>
      <c r="P9" s="1">
        <v>3</v>
      </c>
    </row>
    <row r="10" spans="1:16">
      <c r="A10" s="1">
        <v>9</v>
      </c>
      <c r="B10" s="2">
        <v>40544</v>
      </c>
      <c r="C10" s="1">
        <v>1</v>
      </c>
      <c r="D10" s="1">
        <v>0</v>
      </c>
      <c r="E10" s="1">
        <v>1</v>
      </c>
      <c r="F10" s="1">
        <v>8</v>
      </c>
      <c r="G10" s="1" t="b">
        <v>0</v>
      </c>
      <c r="H10" s="1">
        <v>6</v>
      </c>
      <c r="I10" s="1">
        <v>1</v>
      </c>
      <c r="J10" s="1">
        <v>0.24</v>
      </c>
      <c r="K10">
        <v>0.19993489148580967</v>
      </c>
      <c r="L10" s="1">
        <v>0.75</v>
      </c>
      <c r="M10" s="1">
        <v>0</v>
      </c>
      <c r="N10" s="1">
        <v>1</v>
      </c>
      <c r="O10" s="1">
        <v>7</v>
      </c>
      <c r="P10" s="1">
        <v>8</v>
      </c>
    </row>
    <row r="11" spans="1:16">
      <c r="A11" s="1">
        <v>10</v>
      </c>
      <c r="B11" s="2">
        <v>40544</v>
      </c>
      <c r="C11" s="1">
        <v>1</v>
      </c>
      <c r="D11" s="1">
        <v>0</v>
      </c>
      <c r="E11" s="1">
        <v>1</v>
      </c>
      <c r="F11" s="1">
        <v>9</v>
      </c>
      <c r="G11" s="1" t="b">
        <v>0</v>
      </c>
      <c r="H11" s="1">
        <v>6</v>
      </c>
      <c r="I11" s="1">
        <v>1</v>
      </c>
      <c r="J11" s="1">
        <v>0.32</v>
      </c>
      <c r="K11">
        <v>0.34849999999999998</v>
      </c>
      <c r="L11" s="1">
        <v>0.76</v>
      </c>
      <c r="M11" s="1">
        <v>0</v>
      </c>
      <c r="N11" s="1">
        <v>8</v>
      </c>
      <c r="O11" s="1">
        <v>6</v>
      </c>
      <c r="P11" s="1">
        <v>14</v>
      </c>
    </row>
    <row r="12" spans="1:16">
      <c r="A12" s="1">
        <v>11</v>
      </c>
      <c r="B12" s="2">
        <v>40544</v>
      </c>
      <c r="C12" s="1">
        <v>1</v>
      </c>
      <c r="D12" s="1">
        <v>0</v>
      </c>
      <c r="E12" s="1">
        <v>1</v>
      </c>
      <c r="F12" s="1">
        <v>10</v>
      </c>
      <c r="G12" s="1" t="b">
        <v>0</v>
      </c>
      <c r="H12" s="1">
        <v>6</v>
      </c>
      <c r="I12" s="1">
        <v>1</v>
      </c>
      <c r="J12" s="1">
        <v>0.38</v>
      </c>
      <c r="K12">
        <v>0.39389999999999997</v>
      </c>
      <c r="L12" s="1">
        <v>0.76</v>
      </c>
      <c r="M12" s="1">
        <v>0.25369999999999998</v>
      </c>
      <c r="N12" s="1">
        <v>12</v>
      </c>
      <c r="O12" s="1">
        <v>24</v>
      </c>
      <c r="P12" s="1">
        <v>36</v>
      </c>
    </row>
    <row r="13" spans="1:16">
      <c r="A13">
        <v>12</v>
      </c>
      <c r="B13" s="2">
        <v>40544</v>
      </c>
      <c r="C13">
        <v>1</v>
      </c>
      <c r="D13">
        <v>0</v>
      </c>
      <c r="E13">
        <v>1</v>
      </c>
      <c r="F13">
        <v>11</v>
      </c>
      <c r="G13" t="b">
        <v>0</v>
      </c>
      <c r="H13">
        <v>6</v>
      </c>
      <c r="I13">
        <v>1</v>
      </c>
      <c r="J13">
        <v>0.36</v>
      </c>
      <c r="K13">
        <v>0.33329999999999999</v>
      </c>
      <c r="L13">
        <v>0.81</v>
      </c>
      <c r="M13">
        <v>0.28360000000000002</v>
      </c>
      <c r="N13">
        <v>26</v>
      </c>
      <c r="O13">
        <v>30</v>
      </c>
      <c r="P13">
        <v>56</v>
      </c>
    </row>
    <row r="14" spans="1:16">
      <c r="A14">
        <v>13</v>
      </c>
      <c r="B14" s="2">
        <v>40544</v>
      </c>
      <c r="C14">
        <v>1</v>
      </c>
      <c r="D14">
        <v>0</v>
      </c>
      <c r="E14">
        <v>1</v>
      </c>
      <c r="F14">
        <v>12</v>
      </c>
      <c r="G14" t="b">
        <v>0</v>
      </c>
      <c r="H14">
        <v>6</v>
      </c>
      <c r="I14">
        <v>1</v>
      </c>
      <c r="J14">
        <v>0.42</v>
      </c>
      <c r="K14">
        <v>0.42420000000000002</v>
      </c>
      <c r="L14">
        <v>0.77</v>
      </c>
      <c r="M14">
        <v>0.28360000000000002</v>
      </c>
      <c r="N14">
        <v>29</v>
      </c>
      <c r="O14">
        <v>55</v>
      </c>
      <c r="P14">
        <v>84</v>
      </c>
    </row>
    <row r="15" spans="1:16">
      <c r="A15">
        <v>14</v>
      </c>
      <c r="B15" s="2">
        <v>40544</v>
      </c>
      <c r="C15">
        <v>1</v>
      </c>
      <c r="D15">
        <v>0</v>
      </c>
      <c r="E15">
        <v>1</v>
      </c>
      <c r="F15">
        <v>13</v>
      </c>
      <c r="G15" t="b">
        <v>0</v>
      </c>
      <c r="H15">
        <v>6</v>
      </c>
      <c r="I15">
        <v>2</v>
      </c>
      <c r="J15">
        <v>0.46</v>
      </c>
      <c r="K15">
        <v>0.45450000000000002</v>
      </c>
      <c r="L15">
        <v>0.72</v>
      </c>
      <c r="M15">
        <v>0.29849999999999999</v>
      </c>
      <c r="N15">
        <v>47</v>
      </c>
      <c r="O15">
        <v>47</v>
      </c>
      <c r="P15">
        <v>94</v>
      </c>
    </row>
    <row r="16" spans="1:16">
      <c r="A16">
        <v>15</v>
      </c>
      <c r="B16" s="2">
        <v>40544</v>
      </c>
      <c r="C16">
        <v>1</v>
      </c>
      <c r="D16">
        <v>0</v>
      </c>
      <c r="E16">
        <v>1</v>
      </c>
      <c r="F16">
        <v>14</v>
      </c>
      <c r="G16" t="b">
        <v>0</v>
      </c>
      <c r="H16">
        <v>6</v>
      </c>
      <c r="I16">
        <v>2</v>
      </c>
      <c r="J16">
        <v>0.46</v>
      </c>
      <c r="K16">
        <v>0.45450000000000002</v>
      </c>
      <c r="L16">
        <v>0.72</v>
      </c>
      <c r="M16">
        <v>0.28360000000000002</v>
      </c>
      <c r="N16">
        <v>35</v>
      </c>
      <c r="O16">
        <v>71</v>
      </c>
      <c r="P16">
        <v>106</v>
      </c>
    </row>
    <row r="17" spans="1:16">
      <c r="A17">
        <v>16</v>
      </c>
      <c r="B17" s="2">
        <v>40544</v>
      </c>
      <c r="C17">
        <v>1</v>
      </c>
      <c r="D17">
        <v>0</v>
      </c>
      <c r="E17">
        <v>1</v>
      </c>
      <c r="F17">
        <v>15</v>
      </c>
      <c r="G17" t="b">
        <v>0</v>
      </c>
      <c r="H17">
        <v>6</v>
      </c>
      <c r="I17">
        <v>2</v>
      </c>
      <c r="J17">
        <v>0.44</v>
      </c>
      <c r="K17">
        <v>0.43940000000000001</v>
      </c>
      <c r="L17">
        <v>0.77</v>
      </c>
      <c r="M17">
        <v>0.29849999999999999</v>
      </c>
      <c r="N17">
        <v>40</v>
      </c>
      <c r="O17">
        <v>70</v>
      </c>
      <c r="P17">
        <v>110</v>
      </c>
    </row>
    <row r="18" spans="1:16">
      <c r="A18">
        <v>17</v>
      </c>
      <c r="B18" s="2">
        <v>40544</v>
      </c>
      <c r="C18">
        <v>1</v>
      </c>
      <c r="D18">
        <v>0</v>
      </c>
      <c r="E18">
        <v>1</v>
      </c>
      <c r="F18">
        <v>16</v>
      </c>
      <c r="G18" t="b">
        <v>0</v>
      </c>
      <c r="H18">
        <v>6</v>
      </c>
      <c r="I18">
        <v>2</v>
      </c>
      <c r="J18">
        <v>0.42</v>
      </c>
      <c r="K18">
        <v>0.42420000000000002</v>
      </c>
      <c r="L18">
        <v>0.82</v>
      </c>
      <c r="M18">
        <v>0.29849999999999999</v>
      </c>
      <c r="N18">
        <v>41</v>
      </c>
      <c r="O18">
        <v>52</v>
      </c>
      <c r="P18">
        <v>93</v>
      </c>
    </row>
    <row r="19" spans="1:16">
      <c r="A19">
        <v>18</v>
      </c>
      <c r="B19" s="2">
        <v>40544</v>
      </c>
      <c r="C19">
        <v>1</v>
      </c>
      <c r="D19">
        <v>0</v>
      </c>
      <c r="E19">
        <v>1</v>
      </c>
      <c r="F19">
        <v>17</v>
      </c>
      <c r="G19" t="b">
        <v>0</v>
      </c>
      <c r="H19">
        <v>6</v>
      </c>
      <c r="I19">
        <v>2</v>
      </c>
      <c r="J19">
        <v>0.44</v>
      </c>
      <c r="K19">
        <v>0.19993489148580967</v>
      </c>
      <c r="L19">
        <v>0.82</v>
      </c>
      <c r="M19">
        <v>0.28360000000000002</v>
      </c>
      <c r="N19">
        <v>15</v>
      </c>
      <c r="O19">
        <v>52</v>
      </c>
      <c r="P19">
        <v>67</v>
      </c>
    </row>
    <row r="20" spans="1:16">
      <c r="A20">
        <v>19</v>
      </c>
      <c r="B20" s="2">
        <v>40544</v>
      </c>
      <c r="C20">
        <v>1</v>
      </c>
      <c r="D20">
        <v>0</v>
      </c>
      <c r="E20">
        <v>1</v>
      </c>
      <c r="F20">
        <v>18</v>
      </c>
      <c r="G20" t="b">
        <v>0</v>
      </c>
      <c r="H20">
        <v>6</v>
      </c>
      <c r="I20">
        <v>3</v>
      </c>
      <c r="J20">
        <v>0.42</v>
      </c>
      <c r="K20">
        <v>0.42420000000000002</v>
      </c>
      <c r="L20">
        <v>0.88</v>
      </c>
      <c r="M20">
        <v>0.25369999999999998</v>
      </c>
      <c r="N20">
        <v>9</v>
      </c>
      <c r="O20">
        <v>26</v>
      </c>
      <c r="P20">
        <v>35</v>
      </c>
    </row>
    <row r="21" spans="1:16">
      <c r="A21">
        <v>20</v>
      </c>
      <c r="B21" s="2">
        <v>40544</v>
      </c>
      <c r="C21">
        <v>1</v>
      </c>
      <c r="D21">
        <v>0</v>
      </c>
      <c r="E21">
        <v>1</v>
      </c>
      <c r="F21">
        <v>19</v>
      </c>
      <c r="G21" t="b">
        <v>0</v>
      </c>
      <c r="H21">
        <v>6</v>
      </c>
      <c r="I21">
        <v>3</v>
      </c>
      <c r="J21">
        <v>0.42</v>
      </c>
      <c r="K21">
        <v>0.42420000000000002</v>
      </c>
      <c r="L21">
        <v>0.88</v>
      </c>
      <c r="M21">
        <v>0.25369999999999998</v>
      </c>
      <c r="N21">
        <v>6</v>
      </c>
      <c r="O21">
        <v>31</v>
      </c>
      <c r="P21">
        <v>37</v>
      </c>
    </row>
    <row r="22" spans="1:16">
      <c r="A22">
        <v>21</v>
      </c>
      <c r="B22" s="2">
        <v>40544</v>
      </c>
      <c r="C22">
        <v>1</v>
      </c>
      <c r="D22">
        <v>0</v>
      </c>
      <c r="E22">
        <v>1</v>
      </c>
      <c r="F22">
        <v>20</v>
      </c>
      <c r="G22" t="b">
        <v>0</v>
      </c>
      <c r="H22">
        <v>6</v>
      </c>
      <c r="I22">
        <v>2</v>
      </c>
      <c r="J22">
        <v>0.4</v>
      </c>
      <c r="K22">
        <v>0.40910000000000002</v>
      </c>
      <c r="L22">
        <v>0.87</v>
      </c>
      <c r="M22">
        <v>0.25369999999999998</v>
      </c>
      <c r="N22">
        <v>11</v>
      </c>
      <c r="O22">
        <v>25</v>
      </c>
      <c r="P22">
        <v>36</v>
      </c>
    </row>
    <row r="23" spans="1:16">
      <c r="A23">
        <v>22</v>
      </c>
      <c r="B23" s="2">
        <v>40544</v>
      </c>
      <c r="C23">
        <v>1</v>
      </c>
      <c r="D23">
        <v>0</v>
      </c>
      <c r="E23">
        <v>1</v>
      </c>
      <c r="F23">
        <v>21</v>
      </c>
      <c r="G23" t="b">
        <v>0</v>
      </c>
      <c r="H23">
        <v>6</v>
      </c>
      <c r="I23">
        <v>2</v>
      </c>
      <c r="J23">
        <v>0.4</v>
      </c>
      <c r="K23">
        <v>0.40910000000000002</v>
      </c>
      <c r="L23">
        <v>0.87</v>
      </c>
      <c r="M23">
        <v>0.19400000000000001</v>
      </c>
      <c r="N23">
        <v>3</v>
      </c>
      <c r="O23">
        <v>31</v>
      </c>
      <c r="P23">
        <v>34</v>
      </c>
    </row>
    <row r="24" spans="1:16">
      <c r="A24">
        <v>23</v>
      </c>
      <c r="B24" s="2">
        <v>40544</v>
      </c>
      <c r="C24">
        <v>1</v>
      </c>
      <c r="D24">
        <v>0</v>
      </c>
      <c r="E24">
        <v>1</v>
      </c>
      <c r="F24">
        <v>22</v>
      </c>
      <c r="G24" t="b">
        <v>0</v>
      </c>
      <c r="H24">
        <v>6</v>
      </c>
      <c r="I24">
        <v>2</v>
      </c>
      <c r="J24">
        <v>0.4</v>
      </c>
      <c r="K24">
        <v>0.40910000000000002</v>
      </c>
      <c r="L24">
        <v>0.94</v>
      </c>
      <c r="M24">
        <v>0.22389999999999999</v>
      </c>
      <c r="N24">
        <v>11</v>
      </c>
      <c r="O24">
        <v>17</v>
      </c>
      <c r="P24">
        <v>28</v>
      </c>
    </row>
    <row r="25" spans="1:16">
      <c r="A25">
        <v>24</v>
      </c>
      <c r="B25" s="2">
        <v>40544</v>
      </c>
      <c r="C25">
        <v>1</v>
      </c>
      <c r="D25">
        <v>0</v>
      </c>
      <c r="E25">
        <v>1</v>
      </c>
      <c r="F25">
        <v>23</v>
      </c>
      <c r="G25" t="b">
        <v>0</v>
      </c>
      <c r="H25">
        <v>6</v>
      </c>
      <c r="I25">
        <v>2</v>
      </c>
      <c r="J25">
        <v>0.46</v>
      </c>
      <c r="K25">
        <v>0.19993489148580967</v>
      </c>
      <c r="L25">
        <v>0.88</v>
      </c>
      <c r="M25">
        <v>0.29849999999999999</v>
      </c>
      <c r="N25">
        <v>15</v>
      </c>
      <c r="O25">
        <v>24</v>
      </c>
      <c r="P25">
        <v>39</v>
      </c>
    </row>
    <row r="26" spans="1:16">
      <c r="A26">
        <v>25</v>
      </c>
      <c r="B26" s="2">
        <v>40545</v>
      </c>
      <c r="C26">
        <v>1</v>
      </c>
      <c r="D26">
        <v>0</v>
      </c>
      <c r="E26">
        <v>1</v>
      </c>
      <c r="F26">
        <v>0</v>
      </c>
      <c r="G26" t="b">
        <v>0</v>
      </c>
      <c r="H26">
        <v>0</v>
      </c>
      <c r="I26">
        <v>2</v>
      </c>
      <c r="J26">
        <v>0.46</v>
      </c>
      <c r="K26">
        <v>0.45450000000000002</v>
      </c>
      <c r="L26">
        <v>0.88</v>
      </c>
      <c r="M26">
        <v>0.29849999999999999</v>
      </c>
      <c r="N26">
        <v>4</v>
      </c>
      <c r="O26">
        <v>13</v>
      </c>
      <c r="P26">
        <v>17</v>
      </c>
    </row>
    <row r="27" spans="1:16">
      <c r="A27">
        <v>26</v>
      </c>
      <c r="B27" s="2">
        <v>40545</v>
      </c>
      <c r="C27">
        <v>1</v>
      </c>
      <c r="D27">
        <v>0</v>
      </c>
      <c r="E27">
        <v>1</v>
      </c>
      <c r="F27">
        <v>1</v>
      </c>
      <c r="G27" t="b">
        <v>0</v>
      </c>
      <c r="H27">
        <v>0</v>
      </c>
      <c r="I27">
        <v>2</v>
      </c>
      <c r="J27">
        <v>0.44</v>
      </c>
      <c r="K27">
        <v>0.43940000000000001</v>
      </c>
      <c r="L27">
        <v>0.94</v>
      </c>
      <c r="M27">
        <v>0.25369999999999998</v>
      </c>
      <c r="N27">
        <v>1</v>
      </c>
      <c r="O27">
        <v>16</v>
      </c>
      <c r="P27">
        <v>17</v>
      </c>
    </row>
    <row r="28" spans="1:16">
      <c r="A28">
        <v>27</v>
      </c>
      <c r="B28" s="2">
        <v>40545</v>
      </c>
      <c r="C28">
        <v>1</v>
      </c>
      <c r="D28">
        <v>0</v>
      </c>
      <c r="E28">
        <v>1</v>
      </c>
      <c r="F28">
        <v>2</v>
      </c>
      <c r="G28" t="b">
        <v>0</v>
      </c>
      <c r="H28">
        <v>0</v>
      </c>
      <c r="I28">
        <v>2</v>
      </c>
      <c r="J28">
        <v>0.42</v>
      </c>
      <c r="K28">
        <v>0.42420000000000002</v>
      </c>
      <c r="L28">
        <v>1</v>
      </c>
      <c r="M28">
        <v>0.28360000000000002</v>
      </c>
      <c r="N28">
        <v>1</v>
      </c>
      <c r="O28">
        <v>8</v>
      </c>
      <c r="P28">
        <v>9</v>
      </c>
    </row>
    <row r="29" spans="1:16">
      <c r="A29">
        <v>28</v>
      </c>
      <c r="B29" s="2">
        <v>40545</v>
      </c>
      <c r="C29">
        <v>1</v>
      </c>
      <c r="D29">
        <v>0</v>
      </c>
      <c r="E29">
        <v>1</v>
      </c>
      <c r="F29">
        <v>3</v>
      </c>
      <c r="G29" t="b">
        <v>0</v>
      </c>
      <c r="H29">
        <v>0</v>
      </c>
      <c r="I29">
        <v>2</v>
      </c>
      <c r="J29">
        <v>0.46</v>
      </c>
      <c r="K29">
        <v>0.45450000000000002</v>
      </c>
      <c r="L29">
        <v>0.94</v>
      </c>
      <c r="M29">
        <v>0.19400000000000001</v>
      </c>
      <c r="N29">
        <v>2</v>
      </c>
      <c r="O29">
        <v>4</v>
      </c>
      <c r="P29">
        <v>6</v>
      </c>
    </row>
    <row r="30" spans="1:16">
      <c r="A30">
        <v>29</v>
      </c>
      <c r="B30" s="2">
        <v>40545</v>
      </c>
      <c r="C30">
        <v>1</v>
      </c>
      <c r="D30">
        <v>0</v>
      </c>
      <c r="E30">
        <v>1</v>
      </c>
      <c r="F30">
        <v>4</v>
      </c>
      <c r="G30" t="b">
        <v>0</v>
      </c>
      <c r="H30">
        <v>0</v>
      </c>
      <c r="I30">
        <v>2</v>
      </c>
      <c r="J30">
        <v>0.46</v>
      </c>
      <c r="K30">
        <v>0.19993489148580967</v>
      </c>
      <c r="L30">
        <v>0.94</v>
      </c>
      <c r="M30">
        <v>0.19400000000000001</v>
      </c>
      <c r="N30">
        <v>2</v>
      </c>
      <c r="O30">
        <v>1</v>
      </c>
      <c r="P30">
        <v>3</v>
      </c>
    </row>
    <row r="31" spans="1:16">
      <c r="A31">
        <v>30</v>
      </c>
      <c r="B31" s="2">
        <v>40545</v>
      </c>
      <c r="C31">
        <v>1</v>
      </c>
      <c r="D31">
        <v>0</v>
      </c>
      <c r="E31">
        <v>1</v>
      </c>
      <c r="F31">
        <v>6</v>
      </c>
      <c r="G31" t="b">
        <v>0</v>
      </c>
      <c r="H31">
        <v>0</v>
      </c>
      <c r="I31">
        <v>3</v>
      </c>
      <c r="J31">
        <v>0.42</v>
      </c>
      <c r="K31">
        <v>0.42420000000000002</v>
      </c>
      <c r="L31">
        <v>0.77</v>
      </c>
      <c r="M31">
        <v>0.29849999999999999</v>
      </c>
      <c r="N31">
        <v>0</v>
      </c>
      <c r="O31">
        <v>2</v>
      </c>
      <c r="P31">
        <v>2</v>
      </c>
    </row>
    <row r="32" spans="1:16">
      <c r="A32">
        <v>31</v>
      </c>
      <c r="B32" s="2">
        <v>40545</v>
      </c>
      <c r="C32">
        <v>1</v>
      </c>
      <c r="D32">
        <v>0</v>
      </c>
      <c r="E32">
        <v>1</v>
      </c>
      <c r="F32">
        <v>7</v>
      </c>
      <c r="G32" t="b">
        <v>0</v>
      </c>
      <c r="H32">
        <v>0</v>
      </c>
      <c r="I32">
        <v>2</v>
      </c>
      <c r="J32">
        <v>0.4</v>
      </c>
      <c r="K32">
        <v>0.40910000000000002</v>
      </c>
      <c r="L32">
        <v>0.76</v>
      </c>
      <c r="M32">
        <v>0.19400000000000001</v>
      </c>
      <c r="N32">
        <v>0</v>
      </c>
      <c r="O32">
        <v>1</v>
      </c>
      <c r="P32">
        <v>1</v>
      </c>
    </row>
    <row r="33" spans="1:16">
      <c r="A33">
        <v>32</v>
      </c>
      <c r="B33" s="2">
        <v>40545</v>
      </c>
      <c r="C33">
        <v>1</v>
      </c>
      <c r="D33">
        <v>0</v>
      </c>
      <c r="E33">
        <v>1</v>
      </c>
      <c r="F33">
        <v>8</v>
      </c>
      <c r="G33" t="b">
        <v>0</v>
      </c>
      <c r="H33">
        <v>0</v>
      </c>
      <c r="I33">
        <v>3</v>
      </c>
      <c r="J33">
        <v>0.4</v>
      </c>
      <c r="K33">
        <v>0.40910000000000002</v>
      </c>
      <c r="L33">
        <v>0.71</v>
      </c>
      <c r="M33">
        <v>0.22389999999999999</v>
      </c>
      <c r="N33">
        <v>0</v>
      </c>
      <c r="O33">
        <v>8</v>
      </c>
      <c r="P33">
        <v>8</v>
      </c>
    </row>
    <row r="34" spans="1:16">
      <c r="A34">
        <v>33</v>
      </c>
      <c r="B34" s="2">
        <v>40545</v>
      </c>
      <c r="C34">
        <v>1</v>
      </c>
      <c r="D34">
        <v>0</v>
      </c>
      <c r="E34">
        <v>1</v>
      </c>
      <c r="F34">
        <v>9</v>
      </c>
      <c r="G34" t="b">
        <v>0</v>
      </c>
      <c r="H34">
        <v>0</v>
      </c>
      <c r="I34">
        <v>2</v>
      </c>
      <c r="J34">
        <v>0.38</v>
      </c>
      <c r="K34">
        <v>0.19993489148580967</v>
      </c>
      <c r="L34">
        <v>0.76</v>
      </c>
      <c r="M34">
        <v>0.22389999999999999</v>
      </c>
      <c r="N34">
        <v>1</v>
      </c>
      <c r="O34">
        <v>19</v>
      </c>
      <c r="P34">
        <v>20</v>
      </c>
    </row>
    <row r="35" spans="1:16">
      <c r="A35">
        <v>34</v>
      </c>
      <c r="B35" s="2">
        <v>40545</v>
      </c>
      <c r="C35">
        <v>1</v>
      </c>
      <c r="D35">
        <v>0</v>
      </c>
      <c r="E35">
        <v>1</v>
      </c>
      <c r="F35">
        <v>10</v>
      </c>
      <c r="G35" t="b">
        <v>0</v>
      </c>
      <c r="H35">
        <v>0</v>
      </c>
      <c r="I35">
        <v>2</v>
      </c>
      <c r="J35">
        <v>0.36</v>
      </c>
      <c r="K35">
        <v>0.34849999999999998</v>
      </c>
      <c r="L35">
        <v>0.81</v>
      </c>
      <c r="M35">
        <v>0.22389999999999999</v>
      </c>
      <c r="N35">
        <v>7</v>
      </c>
      <c r="O35">
        <v>46</v>
      </c>
      <c r="P35">
        <v>53</v>
      </c>
    </row>
    <row r="36" spans="1:16">
      <c r="A36">
        <v>35</v>
      </c>
      <c r="B36" s="2">
        <v>40545</v>
      </c>
      <c r="C36">
        <v>1</v>
      </c>
      <c r="D36">
        <v>0</v>
      </c>
      <c r="E36">
        <v>1</v>
      </c>
      <c r="F36">
        <v>11</v>
      </c>
      <c r="G36" t="b">
        <v>0</v>
      </c>
      <c r="H36">
        <v>0</v>
      </c>
      <c r="I36">
        <v>2</v>
      </c>
      <c r="J36">
        <v>0.36</v>
      </c>
      <c r="K36">
        <v>0.33329999999999999</v>
      </c>
      <c r="L36">
        <v>0.71</v>
      </c>
      <c r="M36">
        <v>0.25369999999999998</v>
      </c>
      <c r="N36">
        <v>16</v>
      </c>
      <c r="O36">
        <v>54</v>
      </c>
      <c r="P36">
        <v>70</v>
      </c>
    </row>
    <row r="37" spans="1:16">
      <c r="A37">
        <v>36</v>
      </c>
      <c r="B37" s="2">
        <v>40545</v>
      </c>
      <c r="C37">
        <v>1</v>
      </c>
      <c r="D37">
        <v>0</v>
      </c>
      <c r="E37">
        <v>1</v>
      </c>
      <c r="F37">
        <v>12</v>
      </c>
      <c r="G37" t="b">
        <v>0</v>
      </c>
      <c r="H37">
        <v>0</v>
      </c>
      <c r="I37">
        <v>2</v>
      </c>
      <c r="J37">
        <v>0.36</v>
      </c>
      <c r="K37">
        <v>0.33329999999999999</v>
      </c>
      <c r="L37">
        <v>0.66</v>
      </c>
      <c r="M37">
        <v>0.29849999999999999</v>
      </c>
      <c r="N37">
        <v>20</v>
      </c>
      <c r="O37">
        <v>73</v>
      </c>
      <c r="P37">
        <v>93</v>
      </c>
    </row>
    <row r="38" spans="1:16">
      <c r="A38">
        <v>37</v>
      </c>
      <c r="B38" s="2">
        <v>40545</v>
      </c>
      <c r="C38">
        <v>1</v>
      </c>
      <c r="D38">
        <v>0</v>
      </c>
      <c r="E38">
        <v>1</v>
      </c>
      <c r="F38">
        <v>13</v>
      </c>
      <c r="G38" t="b">
        <v>0</v>
      </c>
      <c r="H38">
        <v>0</v>
      </c>
      <c r="I38">
        <v>2</v>
      </c>
      <c r="J38">
        <v>0.36</v>
      </c>
      <c r="K38">
        <v>0.34849999999999998</v>
      </c>
      <c r="L38">
        <v>0.66</v>
      </c>
      <c r="M38">
        <v>0.1343</v>
      </c>
      <c r="N38">
        <v>11</v>
      </c>
      <c r="O38">
        <v>64</v>
      </c>
      <c r="P38">
        <v>75</v>
      </c>
    </row>
    <row r="39" spans="1:16">
      <c r="A39">
        <v>38</v>
      </c>
      <c r="B39" s="2">
        <v>40545</v>
      </c>
      <c r="C39">
        <v>1</v>
      </c>
      <c r="D39">
        <v>0</v>
      </c>
      <c r="E39">
        <v>1</v>
      </c>
      <c r="F39">
        <v>14</v>
      </c>
      <c r="G39" t="b">
        <v>0</v>
      </c>
      <c r="H39">
        <v>0</v>
      </c>
      <c r="I39">
        <v>3</v>
      </c>
      <c r="J39">
        <v>0.36</v>
      </c>
      <c r="K39">
        <v>0.19993489148580967</v>
      </c>
      <c r="L39">
        <v>0.76</v>
      </c>
      <c r="M39">
        <v>0.19400000000000001</v>
      </c>
      <c r="N39">
        <v>4</v>
      </c>
      <c r="O39">
        <v>55</v>
      </c>
      <c r="P39">
        <v>59</v>
      </c>
    </row>
    <row r="40" spans="1:16">
      <c r="A40">
        <v>39</v>
      </c>
      <c r="B40" s="2">
        <v>40545</v>
      </c>
      <c r="C40">
        <v>1</v>
      </c>
      <c r="D40">
        <v>0</v>
      </c>
      <c r="E40">
        <v>1</v>
      </c>
      <c r="F40">
        <v>15</v>
      </c>
      <c r="G40" t="b">
        <v>0</v>
      </c>
      <c r="H40">
        <v>0</v>
      </c>
      <c r="I40">
        <v>3</v>
      </c>
      <c r="J40">
        <v>0.34</v>
      </c>
      <c r="K40">
        <v>0.33329999999999999</v>
      </c>
      <c r="L40">
        <v>0.81</v>
      </c>
      <c r="M40">
        <v>0.16420000000000001</v>
      </c>
      <c r="N40">
        <v>19</v>
      </c>
      <c r="O40">
        <v>55</v>
      </c>
      <c r="P40">
        <v>74</v>
      </c>
    </row>
    <row r="41" spans="1:16">
      <c r="A41">
        <v>40</v>
      </c>
      <c r="B41" s="2">
        <v>40545</v>
      </c>
      <c r="C41">
        <v>1</v>
      </c>
      <c r="D41">
        <v>0</v>
      </c>
      <c r="E41">
        <v>1</v>
      </c>
      <c r="F41">
        <v>16</v>
      </c>
      <c r="G41" t="b">
        <v>0</v>
      </c>
      <c r="H41">
        <v>0</v>
      </c>
      <c r="I41">
        <v>3</v>
      </c>
      <c r="J41">
        <v>0.34</v>
      </c>
      <c r="K41">
        <v>0.33329999999999999</v>
      </c>
      <c r="L41">
        <v>0.71</v>
      </c>
      <c r="M41">
        <v>0.16420000000000001</v>
      </c>
      <c r="N41">
        <v>9</v>
      </c>
      <c r="O41">
        <v>67</v>
      </c>
      <c r="P41">
        <v>76</v>
      </c>
    </row>
    <row r="42" spans="1:16">
      <c r="A42">
        <v>41</v>
      </c>
      <c r="B42" s="2">
        <v>40545</v>
      </c>
      <c r="C42">
        <v>1</v>
      </c>
      <c r="D42">
        <v>0</v>
      </c>
      <c r="E42">
        <v>1</v>
      </c>
      <c r="F42">
        <v>17</v>
      </c>
      <c r="G42" t="b">
        <v>0</v>
      </c>
      <c r="H42">
        <v>0</v>
      </c>
      <c r="I42">
        <v>1</v>
      </c>
      <c r="J42">
        <v>0.34</v>
      </c>
      <c r="K42">
        <v>0.33329999999999999</v>
      </c>
      <c r="L42">
        <v>0.56999999999999995</v>
      </c>
      <c r="M42">
        <v>0.19400000000000001</v>
      </c>
      <c r="N42">
        <v>7</v>
      </c>
      <c r="O42">
        <v>58</v>
      </c>
      <c r="P42">
        <v>65</v>
      </c>
    </row>
    <row r="43" spans="1:16">
      <c r="A43">
        <v>42</v>
      </c>
      <c r="B43" s="2">
        <v>40545</v>
      </c>
      <c r="C43">
        <v>1</v>
      </c>
      <c r="D43">
        <v>0</v>
      </c>
      <c r="E43">
        <v>1</v>
      </c>
      <c r="F43">
        <v>18</v>
      </c>
      <c r="G43" t="b">
        <v>0</v>
      </c>
      <c r="H43">
        <v>0</v>
      </c>
      <c r="I43">
        <v>2</v>
      </c>
      <c r="J43">
        <v>0.36</v>
      </c>
      <c r="K43">
        <v>0.33329999999999999</v>
      </c>
      <c r="L43">
        <v>0.46</v>
      </c>
      <c r="M43">
        <v>0.32840000000000003</v>
      </c>
      <c r="N43">
        <v>10</v>
      </c>
      <c r="O43">
        <v>43</v>
      </c>
      <c r="P43">
        <v>53</v>
      </c>
    </row>
    <row r="44" spans="1:16">
      <c r="A44">
        <v>43</v>
      </c>
      <c r="B44" s="2">
        <v>40545</v>
      </c>
      <c r="C44">
        <v>1</v>
      </c>
      <c r="D44">
        <v>0</v>
      </c>
      <c r="E44">
        <v>1</v>
      </c>
      <c r="F44">
        <v>19</v>
      </c>
      <c r="G44" t="b">
        <v>0</v>
      </c>
      <c r="H44">
        <v>0</v>
      </c>
      <c r="I44">
        <v>1</v>
      </c>
      <c r="J44">
        <v>0.32</v>
      </c>
      <c r="K44">
        <v>0.28789999999999999</v>
      </c>
      <c r="L44">
        <v>0.42</v>
      </c>
      <c r="M44">
        <v>0.44779999999999998</v>
      </c>
      <c r="N44">
        <v>1</v>
      </c>
      <c r="O44">
        <v>29</v>
      </c>
      <c r="P44">
        <v>30</v>
      </c>
    </row>
    <row r="45" spans="1:16">
      <c r="A45">
        <v>44</v>
      </c>
      <c r="B45" s="2">
        <v>40545</v>
      </c>
      <c r="C45">
        <v>1</v>
      </c>
      <c r="D45">
        <v>0</v>
      </c>
      <c r="E45">
        <v>1</v>
      </c>
      <c r="F45">
        <v>20</v>
      </c>
      <c r="G45" t="b">
        <v>0</v>
      </c>
      <c r="H45">
        <v>0</v>
      </c>
      <c r="I45">
        <v>1</v>
      </c>
      <c r="J45">
        <v>0.3</v>
      </c>
      <c r="K45">
        <v>0.19993489148580967</v>
      </c>
      <c r="L45">
        <v>0.39</v>
      </c>
      <c r="M45">
        <v>0.35820000000000002</v>
      </c>
      <c r="N45">
        <v>5</v>
      </c>
      <c r="O45">
        <v>17</v>
      </c>
      <c r="P45">
        <v>22</v>
      </c>
    </row>
    <row r="46" spans="1:16">
      <c r="A46">
        <v>45</v>
      </c>
      <c r="B46" s="2">
        <v>40545</v>
      </c>
      <c r="C46">
        <v>1</v>
      </c>
      <c r="D46">
        <v>0</v>
      </c>
      <c r="E46">
        <v>1</v>
      </c>
      <c r="F46">
        <v>21</v>
      </c>
      <c r="G46" t="b">
        <v>0</v>
      </c>
      <c r="H46">
        <v>0</v>
      </c>
      <c r="I46">
        <v>1</v>
      </c>
      <c r="J46">
        <v>0.26</v>
      </c>
      <c r="K46">
        <v>0.2273</v>
      </c>
      <c r="L46">
        <v>0.44</v>
      </c>
      <c r="M46">
        <v>0.32840000000000003</v>
      </c>
      <c r="N46">
        <v>11</v>
      </c>
      <c r="O46">
        <v>20</v>
      </c>
      <c r="P46">
        <v>31</v>
      </c>
    </row>
    <row r="47" spans="1:16">
      <c r="A47">
        <v>46</v>
      </c>
      <c r="B47" s="2">
        <v>40545</v>
      </c>
      <c r="C47">
        <v>1</v>
      </c>
      <c r="D47">
        <v>0</v>
      </c>
      <c r="E47">
        <v>1</v>
      </c>
      <c r="F47">
        <v>22</v>
      </c>
      <c r="G47" t="b">
        <v>0</v>
      </c>
      <c r="H47">
        <v>0</v>
      </c>
      <c r="I47">
        <v>1</v>
      </c>
      <c r="J47">
        <v>0.24</v>
      </c>
      <c r="K47">
        <v>0.21210000000000001</v>
      </c>
      <c r="L47">
        <v>0.44</v>
      </c>
      <c r="M47">
        <v>0.29849999999999999</v>
      </c>
      <c r="N47">
        <v>0</v>
      </c>
      <c r="O47">
        <v>9</v>
      </c>
      <c r="P47">
        <v>9</v>
      </c>
    </row>
    <row r="48" spans="1:16">
      <c r="A48">
        <v>47</v>
      </c>
      <c r="B48" s="2">
        <v>40545</v>
      </c>
      <c r="C48">
        <v>1</v>
      </c>
      <c r="D48">
        <v>0</v>
      </c>
      <c r="E48">
        <v>1</v>
      </c>
      <c r="F48">
        <v>23</v>
      </c>
      <c r="G48" t="b">
        <v>0</v>
      </c>
      <c r="H48">
        <v>0</v>
      </c>
      <c r="I48">
        <v>1</v>
      </c>
      <c r="J48">
        <v>0.22</v>
      </c>
      <c r="K48">
        <v>0.2273</v>
      </c>
      <c r="L48">
        <v>0.47</v>
      </c>
      <c r="M48">
        <v>0.16420000000000001</v>
      </c>
      <c r="N48">
        <v>0</v>
      </c>
      <c r="O48">
        <v>8</v>
      </c>
      <c r="P48">
        <v>8</v>
      </c>
    </row>
    <row r="49" spans="1:16">
      <c r="A49">
        <v>48</v>
      </c>
      <c r="B49" s="2">
        <v>40546</v>
      </c>
      <c r="C49">
        <v>1</v>
      </c>
      <c r="D49">
        <v>0</v>
      </c>
      <c r="E49">
        <v>1</v>
      </c>
      <c r="F49">
        <v>0</v>
      </c>
      <c r="G49" t="b">
        <v>0</v>
      </c>
      <c r="H49">
        <v>1</v>
      </c>
      <c r="I49">
        <v>1</v>
      </c>
      <c r="J49">
        <v>0.22</v>
      </c>
      <c r="K49">
        <v>0.19700000000000001</v>
      </c>
      <c r="L49">
        <v>0.44</v>
      </c>
      <c r="M49">
        <v>0.35820000000000002</v>
      </c>
      <c r="N49">
        <v>0</v>
      </c>
      <c r="O49">
        <v>5</v>
      </c>
      <c r="P49">
        <v>5</v>
      </c>
    </row>
    <row r="50" spans="1:16">
      <c r="A50">
        <v>49</v>
      </c>
      <c r="B50" s="2">
        <v>40546</v>
      </c>
      <c r="C50">
        <v>1</v>
      </c>
      <c r="D50">
        <v>0</v>
      </c>
      <c r="E50">
        <v>1</v>
      </c>
      <c r="F50">
        <v>1</v>
      </c>
      <c r="G50" t="b">
        <v>0</v>
      </c>
      <c r="H50">
        <v>1</v>
      </c>
      <c r="I50">
        <v>1</v>
      </c>
      <c r="J50">
        <v>0.2</v>
      </c>
      <c r="K50">
        <v>0.19993489148580967</v>
      </c>
      <c r="L50">
        <v>0.44</v>
      </c>
      <c r="M50">
        <v>0.41789999999999999</v>
      </c>
      <c r="N50">
        <v>0</v>
      </c>
      <c r="O50">
        <v>2</v>
      </c>
      <c r="P50">
        <v>2</v>
      </c>
    </row>
    <row r="51" spans="1:16">
      <c r="A51">
        <v>50</v>
      </c>
      <c r="B51" s="2">
        <v>40546</v>
      </c>
      <c r="C51">
        <v>1</v>
      </c>
      <c r="D51">
        <v>0</v>
      </c>
      <c r="E51">
        <v>1</v>
      </c>
      <c r="F51">
        <v>4</v>
      </c>
      <c r="G51" t="b">
        <v>0</v>
      </c>
      <c r="H51">
        <v>1</v>
      </c>
      <c r="I51">
        <v>1</v>
      </c>
      <c r="J51">
        <v>0.16</v>
      </c>
      <c r="K51">
        <v>0.13639999999999999</v>
      </c>
      <c r="L51">
        <v>0.47</v>
      </c>
      <c r="M51">
        <v>0.3881</v>
      </c>
      <c r="N51">
        <v>0</v>
      </c>
      <c r="O51">
        <v>1</v>
      </c>
      <c r="P51">
        <v>1</v>
      </c>
    </row>
    <row r="52" spans="1:16">
      <c r="A52">
        <v>51</v>
      </c>
      <c r="B52" s="2">
        <v>40546</v>
      </c>
      <c r="C52">
        <v>1</v>
      </c>
      <c r="D52">
        <v>0</v>
      </c>
      <c r="E52">
        <v>1</v>
      </c>
      <c r="F52">
        <v>5</v>
      </c>
      <c r="G52" t="b">
        <v>0</v>
      </c>
      <c r="H52">
        <v>1</v>
      </c>
      <c r="I52">
        <v>1</v>
      </c>
      <c r="J52">
        <v>0.16</v>
      </c>
      <c r="K52">
        <v>0.13639999999999999</v>
      </c>
      <c r="L52">
        <v>0.47</v>
      </c>
      <c r="M52">
        <v>0.28360000000000002</v>
      </c>
      <c r="N52">
        <v>0</v>
      </c>
      <c r="O52">
        <v>3</v>
      </c>
      <c r="P52">
        <v>3</v>
      </c>
    </row>
    <row r="53" spans="1:16">
      <c r="A53">
        <v>52</v>
      </c>
      <c r="B53" s="2">
        <v>40546</v>
      </c>
      <c r="C53">
        <v>1</v>
      </c>
      <c r="D53">
        <v>0</v>
      </c>
      <c r="E53">
        <v>1</v>
      </c>
      <c r="F53">
        <v>6</v>
      </c>
      <c r="G53" t="b">
        <v>0</v>
      </c>
      <c r="H53">
        <v>1</v>
      </c>
      <c r="I53">
        <v>1</v>
      </c>
      <c r="J53">
        <v>0.14000000000000001</v>
      </c>
      <c r="K53">
        <v>0.1061</v>
      </c>
      <c r="L53">
        <v>0.5</v>
      </c>
      <c r="M53">
        <v>0.3881</v>
      </c>
      <c r="N53">
        <v>0</v>
      </c>
      <c r="O53">
        <v>30</v>
      </c>
      <c r="P53">
        <v>30</v>
      </c>
    </row>
    <row r="54" spans="1:16">
      <c r="A54">
        <v>53</v>
      </c>
      <c r="B54" s="2">
        <v>40546</v>
      </c>
      <c r="C54">
        <v>1</v>
      </c>
      <c r="D54">
        <v>0</v>
      </c>
      <c r="E54">
        <v>1</v>
      </c>
      <c r="F54">
        <v>7</v>
      </c>
      <c r="G54" t="b">
        <v>0</v>
      </c>
      <c r="H54">
        <v>1</v>
      </c>
      <c r="I54">
        <v>1</v>
      </c>
      <c r="J54">
        <v>0.14000000000000001</v>
      </c>
      <c r="K54">
        <v>0.13639999999999999</v>
      </c>
      <c r="L54">
        <v>0.5</v>
      </c>
      <c r="M54">
        <v>0.19400000000000001</v>
      </c>
      <c r="N54">
        <v>1</v>
      </c>
      <c r="O54">
        <v>63</v>
      </c>
      <c r="P54">
        <v>64</v>
      </c>
    </row>
    <row r="55" spans="1:16">
      <c r="A55">
        <v>54</v>
      </c>
      <c r="B55" s="2">
        <v>40546</v>
      </c>
      <c r="C55">
        <v>1</v>
      </c>
      <c r="D55">
        <v>0</v>
      </c>
      <c r="E55">
        <v>1</v>
      </c>
      <c r="F55">
        <v>8</v>
      </c>
      <c r="G55" t="b">
        <v>0</v>
      </c>
      <c r="H55">
        <v>1</v>
      </c>
      <c r="I55">
        <v>1</v>
      </c>
      <c r="J55">
        <v>0.14000000000000001</v>
      </c>
      <c r="K55">
        <v>0.1212</v>
      </c>
      <c r="L55">
        <v>0.5</v>
      </c>
      <c r="M55">
        <v>0.28360000000000002</v>
      </c>
      <c r="N55">
        <v>1</v>
      </c>
      <c r="O55">
        <v>153</v>
      </c>
      <c r="P55">
        <v>154</v>
      </c>
    </row>
    <row r="56" spans="1:16">
      <c r="A56">
        <v>55</v>
      </c>
      <c r="B56" s="2">
        <v>40546</v>
      </c>
      <c r="C56">
        <v>1</v>
      </c>
      <c r="D56">
        <v>0</v>
      </c>
      <c r="E56">
        <v>1</v>
      </c>
      <c r="F56">
        <v>9</v>
      </c>
      <c r="G56" t="b">
        <v>0</v>
      </c>
      <c r="H56">
        <v>1</v>
      </c>
      <c r="I56">
        <v>1</v>
      </c>
      <c r="J56">
        <v>0.16</v>
      </c>
      <c r="K56">
        <v>0.13639999999999999</v>
      </c>
      <c r="L56">
        <v>0.43</v>
      </c>
      <c r="M56">
        <v>0.3881</v>
      </c>
      <c r="N56">
        <v>7</v>
      </c>
      <c r="O56">
        <v>81</v>
      </c>
      <c r="P56">
        <v>88</v>
      </c>
    </row>
    <row r="57" spans="1:16">
      <c r="A57">
        <v>56</v>
      </c>
      <c r="B57" s="2">
        <v>40546</v>
      </c>
      <c r="C57">
        <v>1</v>
      </c>
      <c r="D57">
        <v>0</v>
      </c>
      <c r="E57">
        <v>1</v>
      </c>
      <c r="F57">
        <v>10</v>
      </c>
      <c r="G57" t="b">
        <v>0</v>
      </c>
      <c r="H57">
        <v>1</v>
      </c>
      <c r="I57">
        <v>1</v>
      </c>
      <c r="J57">
        <v>0.18</v>
      </c>
      <c r="K57">
        <v>0.16669999999999999</v>
      </c>
      <c r="L57">
        <v>0.43</v>
      </c>
      <c r="M57">
        <v>0.25369999999999998</v>
      </c>
      <c r="N57">
        <v>11</v>
      </c>
      <c r="O57">
        <v>33</v>
      </c>
      <c r="P57">
        <v>44</v>
      </c>
    </row>
    <row r="58" spans="1:16">
      <c r="A58">
        <v>57</v>
      </c>
      <c r="B58" s="2">
        <v>40546</v>
      </c>
      <c r="C58">
        <v>1</v>
      </c>
      <c r="D58">
        <v>0</v>
      </c>
      <c r="E58">
        <v>1</v>
      </c>
      <c r="F58">
        <v>11</v>
      </c>
      <c r="G58" t="b">
        <v>0</v>
      </c>
      <c r="H58">
        <v>1</v>
      </c>
      <c r="I58">
        <v>1</v>
      </c>
      <c r="J58">
        <v>0.2</v>
      </c>
      <c r="K58">
        <v>0.18179999999999999</v>
      </c>
      <c r="L58">
        <v>0.4</v>
      </c>
      <c r="M58">
        <v>0.32840000000000003</v>
      </c>
      <c r="N58">
        <v>10</v>
      </c>
      <c r="O58">
        <v>41</v>
      </c>
      <c r="P58">
        <v>51</v>
      </c>
    </row>
    <row r="59" spans="1:16">
      <c r="A59">
        <v>58</v>
      </c>
      <c r="B59" s="2">
        <v>40546</v>
      </c>
      <c r="C59">
        <v>1</v>
      </c>
      <c r="D59">
        <v>0</v>
      </c>
      <c r="E59">
        <v>1</v>
      </c>
      <c r="F59">
        <v>12</v>
      </c>
      <c r="G59" t="b">
        <v>0</v>
      </c>
      <c r="H59">
        <v>1</v>
      </c>
      <c r="I59">
        <v>1</v>
      </c>
      <c r="J59">
        <v>0.22</v>
      </c>
      <c r="K59">
        <v>0.21210000000000001</v>
      </c>
      <c r="L59">
        <v>0.35</v>
      </c>
      <c r="M59">
        <v>0.29849999999999999</v>
      </c>
      <c r="N59">
        <v>13</v>
      </c>
      <c r="O59">
        <v>48</v>
      </c>
      <c r="P59">
        <v>61</v>
      </c>
    </row>
    <row r="60" spans="1:16">
      <c r="A60">
        <v>59</v>
      </c>
      <c r="B60" s="2">
        <v>40546</v>
      </c>
      <c r="C60">
        <v>1</v>
      </c>
      <c r="D60">
        <v>0</v>
      </c>
      <c r="E60">
        <v>1</v>
      </c>
      <c r="F60">
        <v>13</v>
      </c>
      <c r="G60" t="b">
        <v>0</v>
      </c>
      <c r="H60">
        <v>1</v>
      </c>
      <c r="I60">
        <v>1</v>
      </c>
      <c r="J60">
        <v>0.24</v>
      </c>
      <c r="K60">
        <v>0.19993489148580967</v>
      </c>
      <c r="L60">
        <v>0.35</v>
      </c>
      <c r="M60">
        <v>0.28360000000000002</v>
      </c>
      <c r="N60">
        <v>8</v>
      </c>
      <c r="O60">
        <v>53</v>
      </c>
      <c r="P60">
        <v>61</v>
      </c>
    </row>
    <row r="61" spans="1:16">
      <c r="A61">
        <v>60</v>
      </c>
      <c r="B61" s="2">
        <v>40546</v>
      </c>
      <c r="C61">
        <v>1</v>
      </c>
      <c r="D61">
        <v>0</v>
      </c>
      <c r="E61">
        <v>1</v>
      </c>
      <c r="F61">
        <v>14</v>
      </c>
      <c r="G61" t="b">
        <v>0</v>
      </c>
      <c r="H61">
        <v>1</v>
      </c>
      <c r="I61">
        <v>1</v>
      </c>
      <c r="J61">
        <v>0.26</v>
      </c>
      <c r="K61">
        <v>0.2424</v>
      </c>
      <c r="L61">
        <v>0.3</v>
      </c>
      <c r="M61">
        <v>0.28360000000000002</v>
      </c>
      <c r="N61">
        <v>11</v>
      </c>
      <c r="O61">
        <v>66</v>
      </c>
      <c r="P61">
        <v>77</v>
      </c>
    </row>
    <row r="62" spans="1:16">
      <c r="A62">
        <v>61</v>
      </c>
      <c r="B62" s="2">
        <v>40546</v>
      </c>
      <c r="C62">
        <v>1</v>
      </c>
      <c r="D62">
        <v>0</v>
      </c>
      <c r="E62">
        <v>1</v>
      </c>
      <c r="F62">
        <v>15</v>
      </c>
      <c r="G62" t="b">
        <v>0</v>
      </c>
      <c r="H62">
        <v>1</v>
      </c>
      <c r="I62">
        <v>1</v>
      </c>
      <c r="J62">
        <v>0.26</v>
      </c>
      <c r="K62">
        <v>0.2424</v>
      </c>
      <c r="L62">
        <v>0.3</v>
      </c>
      <c r="M62">
        <v>0.25369999999999998</v>
      </c>
      <c r="N62">
        <v>14</v>
      </c>
      <c r="O62">
        <v>58</v>
      </c>
      <c r="P62">
        <v>72</v>
      </c>
    </row>
    <row r="63" spans="1:16">
      <c r="A63">
        <v>62</v>
      </c>
      <c r="B63" s="2">
        <v>40546</v>
      </c>
      <c r="C63">
        <v>1</v>
      </c>
      <c r="D63">
        <v>0</v>
      </c>
      <c r="E63">
        <v>1</v>
      </c>
      <c r="F63">
        <v>16</v>
      </c>
      <c r="G63" t="b">
        <v>0</v>
      </c>
      <c r="H63">
        <v>1</v>
      </c>
      <c r="I63">
        <v>1</v>
      </c>
      <c r="J63">
        <v>0.26</v>
      </c>
      <c r="K63">
        <v>0.2424</v>
      </c>
      <c r="L63">
        <v>0.3</v>
      </c>
      <c r="M63">
        <v>0.25369999999999998</v>
      </c>
      <c r="N63">
        <v>9</v>
      </c>
      <c r="O63">
        <v>67</v>
      </c>
      <c r="P63">
        <v>76</v>
      </c>
    </row>
    <row r="64" spans="1:16">
      <c r="A64">
        <v>63</v>
      </c>
      <c r="B64" s="2">
        <v>40546</v>
      </c>
      <c r="C64">
        <v>1</v>
      </c>
      <c r="D64">
        <v>0</v>
      </c>
      <c r="E64">
        <v>1</v>
      </c>
      <c r="F64">
        <v>17</v>
      </c>
      <c r="G64" t="b">
        <v>0</v>
      </c>
      <c r="H64">
        <v>1</v>
      </c>
      <c r="I64">
        <v>1</v>
      </c>
      <c r="J64">
        <v>0.24</v>
      </c>
      <c r="K64">
        <v>0.2273</v>
      </c>
      <c r="L64">
        <v>0.3</v>
      </c>
      <c r="M64">
        <v>0.22389999999999999</v>
      </c>
      <c r="N64">
        <v>11</v>
      </c>
      <c r="O64">
        <v>146</v>
      </c>
      <c r="P64">
        <v>157</v>
      </c>
    </row>
    <row r="65" spans="1:16">
      <c r="A65">
        <v>64</v>
      </c>
      <c r="B65" s="2">
        <v>40546</v>
      </c>
      <c r="C65">
        <v>1</v>
      </c>
      <c r="D65">
        <v>0</v>
      </c>
      <c r="E65">
        <v>1</v>
      </c>
      <c r="F65">
        <v>18</v>
      </c>
      <c r="G65" t="b">
        <v>0</v>
      </c>
      <c r="H65">
        <v>1</v>
      </c>
      <c r="I65">
        <v>1</v>
      </c>
      <c r="J65">
        <v>0.24</v>
      </c>
      <c r="K65">
        <v>0.2576</v>
      </c>
      <c r="L65">
        <v>0.32</v>
      </c>
      <c r="M65">
        <v>0.1045</v>
      </c>
      <c r="N65">
        <v>9</v>
      </c>
      <c r="O65">
        <v>148</v>
      </c>
      <c r="P65">
        <v>157</v>
      </c>
    </row>
    <row r="66" spans="1:16">
      <c r="A66">
        <v>65</v>
      </c>
      <c r="B66" s="2">
        <v>40546</v>
      </c>
      <c r="C66">
        <v>1</v>
      </c>
      <c r="D66">
        <v>0</v>
      </c>
      <c r="E66">
        <v>1</v>
      </c>
      <c r="F66">
        <v>19</v>
      </c>
      <c r="G66" t="b">
        <v>0</v>
      </c>
      <c r="H66">
        <v>1</v>
      </c>
      <c r="I66">
        <v>1</v>
      </c>
      <c r="J66">
        <v>0.2</v>
      </c>
      <c r="K66">
        <v>0.2576</v>
      </c>
      <c r="L66">
        <v>0.47</v>
      </c>
      <c r="M66">
        <v>0</v>
      </c>
      <c r="N66">
        <v>8</v>
      </c>
      <c r="O66">
        <v>102</v>
      </c>
      <c r="P66">
        <v>110</v>
      </c>
    </row>
    <row r="67" spans="1:16">
      <c r="A67">
        <v>66</v>
      </c>
      <c r="B67" s="2">
        <v>40546</v>
      </c>
      <c r="C67">
        <v>1</v>
      </c>
      <c r="D67">
        <v>0</v>
      </c>
      <c r="E67">
        <v>1</v>
      </c>
      <c r="F67">
        <v>20</v>
      </c>
      <c r="G67" t="b">
        <v>0</v>
      </c>
      <c r="H67">
        <v>1</v>
      </c>
      <c r="I67">
        <v>1</v>
      </c>
      <c r="J67">
        <v>0.2</v>
      </c>
      <c r="K67">
        <v>0.19993489148580967</v>
      </c>
      <c r="L67">
        <v>0.47</v>
      </c>
      <c r="M67">
        <v>0.1045</v>
      </c>
      <c r="N67">
        <v>3</v>
      </c>
      <c r="O67">
        <v>49</v>
      </c>
      <c r="P67">
        <v>52</v>
      </c>
    </row>
    <row r="68" spans="1:16">
      <c r="A68">
        <v>67</v>
      </c>
      <c r="B68" s="2">
        <v>40546</v>
      </c>
      <c r="C68">
        <v>1</v>
      </c>
      <c r="D68">
        <v>0</v>
      </c>
      <c r="E68">
        <v>1</v>
      </c>
      <c r="F68">
        <v>21</v>
      </c>
      <c r="G68" t="b">
        <v>0</v>
      </c>
      <c r="H68">
        <v>1</v>
      </c>
      <c r="I68">
        <v>1</v>
      </c>
      <c r="J68">
        <v>0.18</v>
      </c>
      <c r="K68">
        <v>0.19700000000000001</v>
      </c>
      <c r="L68">
        <v>0.64</v>
      </c>
      <c r="M68">
        <v>0.1343</v>
      </c>
      <c r="N68">
        <v>3</v>
      </c>
      <c r="O68">
        <v>49</v>
      </c>
      <c r="P68">
        <v>52</v>
      </c>
    </row>
    <row r="69" spans="1:16">
      <c r="A69">
        <v>68</v>
      </c>
      <c r="B69" s="2">
        <v>40546</v>
      </c>
      <c r="C69">
        <v>1</v>
      </c>
      <c r="D69">
        <v>0</v>
      </c>
      <c r="E69">
        <v>1</v>
      </c>
      <c r="F69">
        <v>22</v>
      </c>
      <c r="G69" t="b">
        <v>0</v>
      </c>
      <c r="H69">
        <v>1</v>
      </c>
      <c r="I69">
        <v>1</v>
      </c>
      <c r="J69">
        <v>0.14000000000000001</v>
      </c>
      <c r="K69">
        <v>0.1515</v>
      </c>
      <c r="L69">
        <v>0.69</v>
      </c>
      <c r="M69">
        <v>0.1343</v>
      </c>
      <c r="N69">
        <v>0</v>
      </c>
      <c r="O69">
        <v>20</v>
      </c>
      <c r="P69">
        <v>20</v>
      </c>
    </row>
    <row r="70" spans="1:16">
      <c r="A70">
        <v>69</v>
      </c>
      <c r="B70" s="2">
        <v>40546</v>
      </c>
      <c r="C70">
        <v>1</v>
      </c>
      <c r="D70">
        <v>0</v>
      </c>
      <c r="E70">
        <v>1</v>
      </c>
      <c r="F70">
        <v>23</v>
      </c>
      <c r="G70" t="b">
        <v>0</v>
      </c>
      <c r="H70">
        <v>1</v>
      </c>
      <c r="I70">
        <v>1</v>
      </c>
      <c r="J70">
        <v>0.18</v>
      </c>
      <c r="K70">
        <v>0.21210000000000001</v>
      </c>
      <c r="L70">
        <v>0.55000000000000004</v>
      </c>
      <c r="M70">
        <v>0.1045</v>
      </c>
      <c r="N70">
        <v>1</v>
      </c>
      <c r="O70">
        <v>11</v>
      </c>
      <c r="P70">
        <v>12</v>
      </c>
    </row>
    <row r="71" spans="1:16">
      <c r="A71">
        <v>70</v>
      </c>
      <c r="B71" s="2">
        <v>40547</v>
      </c>
      <c r="C71">
        <v>1</v>
      </c>
      <c r="D71">
        <v>0</v>
      </c>
      <c r="E71">
        <v>1</v>
      </c>
      <c r="F71">
        <v>0</v>
      </c>
      <c r="G71" t="b">
        <v>0</v>
      </c>
      <c r="H71">
        <v>2</v>
      </c>
      <c r="I71">
        <v>1</v>
      </c>
      <c r="J71">
        <v>0.16</v>
      </c>
      <c r="K71">
        <v>0.19993489148580967</v>
      </c>
      <c r="L71">
        <v>0.55000000000000004</v>
      </c>
      <c r="M71">
        <v>0.1045</v>
      </c>
      <c r="N71">
        <v>0</v>
      </c>
      <c r="O71">
        <v>5</v>
      </c>
      <c r="P71">
        <v>5</v>
      </c>
    </row>
    <row r="72" spans="1:16">
      <c r="A72">
        <v>71</v>
      </c>
      <c r="B72" s="2">
        <v>40547</v>
      </c>
      <c r="C72">
        <v>1</v>
      </c>
      <c r="D72">
        <v>0</v>
      </c>
      <c r="E72">
        <v>1</v>
      </c>
      <c r="F72">
        <v>1</v>
      </c>
      <c r="G72" t="b">
        <v>0</v>
      </c>
      <c r="H72">
        <v>2</v>
      </c>
      <c r="I72">
        <v>1</v>
      </c>
      <c r="J72">
        <v>0.16</v>
      </c>
      <c r="K72">
        <v>0.18179999999999999</v>
      </c>
      <c r="L72">
        <v>0.59</v>
      </c>
      <c r="M72">
        <v>0.1045</v>
      </c>
      <c r="N72">
        <v>0</v>
      </c>
      <c r="O72">
        <v>2</v>
      </c>
      <c r="P72">
        <v>2</v>
      </c>
    </row>
    <row r="73" spans="1:16">
      <c r="A73">
        <v>72</v>
      </c>
      <c r="B73" s="2">
        <v>40547</v>
      </c>
      <c r="C73">
        <v>1</v>
      </c>
      <c r="D73">
        <v>0</v>
      </c>
      <c r="E73">
        <v>1</v>
      </c>
      <c r="F73">
        <v>2</v>
      </c>
      <c r="G73" t="b">
        <v>0</v>
      </c>
      <c r="H73">
        <v>2</v>
      </c>
      <c r="I73">
        <v>1</v>
      </c>
      <c r="J73">
        <v>0.14000000000000001</v>
      </c>
      <c r="K73">
        <v>0.1515</v>
      </c>
      <c r="L73">
        <v>0.63</v>
      </c>
      <c r="M73">
        <v>0.1343</v>
      </c>
      <c r="N73">
        <v>0</v>
      </c>
      <c r="O73">
        <v>1</v>
      </c>
      <c r="P73">
        <v>1</v>
      </c>
    </row>
    <row r="74" spans="1:16">
      <c r="A74">
        <v>73</v>
      </c>
      <c r="B74" s="2">
        <v>40547</v>
      </c>
      <c r="C74">
        <v>1</v>
      </c>
      <c r="D74">
        <v>0</v>
      </c>
      <c r="E74">
        <v>1</v>
      </c>
      <c r="F74">
        <v>4</v>
      </c>
      <c r="G74" t="b">
        <v>0</v>
      </c>
      <c r="H74">
        <v>2</v>
      </c>
      <c r="I74">
        <v>1</v>
      </c>
      <c r="J74">
        <v>0.14000000000000001</v>
      </c>
      <c r="K74">
        <v>0.18179999999999999</v>
      </c>
      <c r="L74">
        <v>0.63</v>
      </c>
      <c r="M74">
        <v>8.9599999999999999E-2</v>
      </c>
      <c r="N74">
        <v>0</v>
      </c>
      <c r="O74">
        <v>2</v>
      </c>
      <c r="P74">
        <v>2</v>
      </c>
    </row>
    <row r="75" spans="1:16">
      <c r="A75">
        <v>74</v>
      </c>
      <c r="B75" s="2">
        <v>40547</v>
      </c>
      <c r="C75">
        <v>1</v>
      </c>
      <c r="D75">
        <v>0</v>
      </c>
      <c r="E75">
        <v>1</v>
      </c>
      <c r="F75">
        <v>5</v>
      </c>
      <c r="G75" t="b">
        <v>0</v>
      </c>
      <c r="H75">
        <v>2</v>
      </c>
      <c r="I75">
        <v>1</v>
      </c>
      <c r="J75">
        <v>0.12</v>
      </c>
      <c r="K75">
        <v>0.1515</v>
      </c>
      <c r="L75">
        <v>0.68</v>
      </c>
      <c r="M75">
        <v>0.1045</v>
      </c>
      <c r="N75">
        <v>0</v>
      </c>
      <c r="O75">
        <v>4</v>
      </c>
      <c r="P75">
        <v>4</v>
      </c>
    </row>
    <row r="76" spans="1:16">
      <c r="A76">
        <v>75</v>
      </c>
      <c r="B76" s="2">
        <v>40547</v>
      </c>
      <c r="C76">
        <v>1</v>
      </c>
      <c r="D76">
        <v>0</v>
      </c>
      <c r="E76">
        <v>1</v>
      </c>
      <c r="F76">
        <v>6</v>
      </c>
      <c r="G76" t="b">
        <v>0</v>
      </c>
      <c r="H76">
        <v>2</v>
      </c>
      <c r="I76">
        <v>1</v>
      </c>
      <c r="J76">
        <v>0.12</v>
      </c>
      <c r="K76">
        <v>0.1515</v>
      </c>
      <c r="L76">
        <v>0.74</v>
      </c>
      <c r="M76">
        <v>0.1045</v>
      </c>
      <c r="N76">
        <v>0</v>
      </c>
      <c r="O76">
        <v>36</v>
      </c>
      <c r="P76">
        <v>36</v>
      </c>
    </row>
    <row r="77" spans="1:16">
      <c r="A77">
        <v>76</v>
      </c>
      <c r="B77" s="2">
        <v>40547</v>
      </c>
      <c r="C77">
        <v>1</v>
      </c>
      <c r="D77">
        <v>0</v>
      </c>
      <c r="E77">
        <v>1</v>
      </c>
      <c r="F77">
        <v>7</v>
      </c>
      <c r="G77" t="b">
        <v>0</v>
      </c>
      <c r="H77">
        <v>2</v>
      </c>
      <c r="I77">
        <v>1</v>
      </c>
      <c r="J77">
        <v>0.12</v>
      </c>
      <c r="K77">
        <v>0.1515</v>
      </c>
      <c r="L77">
        <v>0.74</v>
      </c>
      <c r="M77">
        <v>0.1343</v>
      </c>
      <c r="N77">
        <v>2</v>
      </c>
      <c r="O77">
        <v>92</v>
      </c>
      <c r="P77">
        <v>94</v>
      </c>
    </row>
    <row r="78" spans="1:16">
      <c r="A78">
        <v>77</v>
      </c>
      <c r="B78" s="2">
        <v>40547</v>
      </c>
      <c r="C78">
        <v>1</v>
      </c>
      <c r="D78">
        <v>0</v>
      </c>
      <c r="E78">
        <v>1</v>
      </c>
      <c r="F78">
        <v>8</v>
      </c>
      <c r="G78" t="b">
        <v>0</v>
      </c>
      <c r="H78">
        <v>2</v>
      </c>
      <c r="I78">
        <v>1</v>
      </c>
      <c r="J78">
        <v>0.14000000000000001</v>
      </c>
      <c r="K78">
        <v>0.1515</v>
      </c>
      <c r="L78">
        <v>0.69</v>
      </c>
      <c r="M78">
        <v>0.16420000000000001</v>
      </c>
      <c r="N78">
        <v>2</v>
      </c>
      <c r="O78">
        <v>177</v>
      </c>
      <c r="P78">
        <v>179</v>
      </c>
    </row>
    <row r="79" spans="1:16">
      <c r="A79">
        <v>78</v>
      </c>
      <c r="B79" s="2">
        <v>40547</v>
      </c>
      <c r="C79">
        <v>1</v>
      </c>
      <c r="D79">
        <v>0</v>
      </c>
      <c r="E79">
        <v>1</v>
      </c>
      <c r="F79">
        <v>9</v>
      </c>
      <c r="G79" t="b">
        <v>0</v>
      </c>
      <c r="H79">
        <v>2</v>
      </c>
      <c r="I79">
        <v>1</v>
      </c>
      <c r="J79">
        <v>0.16</v>
      </c>
      <c r="K79">
        <v>0.1515</v>
      </c>
      <c r="L79">
        <v>0.64</v>
      </c>
      <c r="M79">
        <v>0.22389999999999999</v>
      </c>
      <c r="N79">
        <v>2</v>
      </c>
      <c r="O79">
        <v>98</v>
      </c>
      <c r="P79">
        <v>100</v>
      </c>
    </row>
    <row r="80" spans="1:16">
      <c r="A80">
        <v>79</v>
      </c>
      <c r="B80" s="2">
        <v>40547</v>
      </c>
      <c r="C80">
        <v>1</v>
      </c>
      <c r="D80">
        <v>0</v>
      </c>
      <c r="E80">
        <v>1</v>
      </c>
      <c r="F80">
        <v>10</v>
      </c>
      <c r="G80" t="b">
        <v>0</v>
      </c>
      <c r="H80">
        <v>2</v>
      </c>
      <c r="I80">
        <v>2</v>
      </c>
      <c r="J80">
        <v>0.16</v>
      </c>
      <c r="K80">
        <v>0.13639999999999999</v>
      </c>
      <c r="L80">
        <v>0.69</v>
      </c>
      <c r="M80">
        <v>0.32840000000000003</v>
      </c>
      <c r="N80">
        <v>5</v>
      </c>
      <c r="O80">
        <v>37</v>
      </c>
      <c r="P80">
        <v>42</v>
      </c>
    </row>
    <row r="81" spans="1:16">
      <c r="A81">
        <v>80</v>
      </c>
      <c r="B81" s="2">
        <v>40547</v>
      </c>
      <c r="C81">
        <v>1</v>
      </c>
      <c r="D81">
        <v>0</v>
      </c>
      <c r="E81">
        <v>1</v>
      </c>
      <c r="F81">
        <v>11</v>
      </c>
      <c r="G81" t="b">
        <v>0</v>
      </c>
      <c r="H81">
        <v>2</v>
      </c>
      <c r="I81">
        <v>1</v>
      </c>
      <c r="J81">
        <v>0.22</v>
      </c>
      <c r="K81">
        <v>0.21210000000000001</v>
      </c>
      <c r="L81">
        <v>0.51</v>
      </c>
      <c r="M81">
        <v>0.29849999999999999</v>
      </c>
      <c r="N81">
        <v>7</v>
      </c>
      <c r="O81">
        <v>50</v>
      </c>
      <c r="P81">
        <v>57</v>
      </c>
    </row>
    <row r="82" spans="1:16">
      <c r="A82">
        <v>81</v>
      </c>
      <c r="B82" s="2">
        <v>40547</v>
      </c>
      <c r="C82">
        <v>1</v>
      </c>
      <c r="D82">
        <v>0</v>
      </c>
      <c r="E82">
        <v>1</v>
      </c>
      <c r="F82">
        <v>12</v>
      </c>
      <c r="G82" t="b">
        <v>0</v>
      </c>
      <c r="H82">
        <v>2</v>
      </c>
      <c r="I82">
        <v>1</v>
      </c>
      <c r="J82">
        <v>0.22</v>
      </c>
      <c r="K82">
        <v>0.2273</v>
      </c>
      <c r="L82">
        <v>0.51</v>
      </c>
      <c r="M82">
        <v>0.16420000000000001</v>
      </c>
      <c r="N82">
        <v>12</v>
      </c>
      <c r="O82">
        <v>66</v>
      </c>
      <c r="P82">
        <v>78</v>
      </c>
    </row>
    <row r="83" spans="1:16">
      <c r="A83">
        <v>82</v>
      </c>
      <c r="B83" s="2">
        <v>40547</v>
      </c>
      <c r="C83">
        <v>1</v>
      </c>
      <c r="D83">
        <v>0</v>
      </c>
      <c r="E83">
        <v>1</v>
      </c>
      <c r="F83">
        <v>13</v>
      </c>
      <c r="G83" t="b">
        <v>0</v>
      </c>
      <c r="H83">
        <v>2</v>
      </c>
      <c r="I83">
        <v>1</v>
      </c>
      <c r="J83">
        <v>0.24</v>
      </c>
      <c r="K83">
        <v>0.2273</v>
      </c>
      <c r="L83">
        <v>0.56000000000000005</v>
      </c>
      <c r="M83">
        <v>0.19400000000000001</v>
      </c>
      <c r="N83">
        <v>18</v>
      </c>
      <c r="O83">
        <v>79</v>
      </c>
      <c r="P83">
        <v>97</v>
      </c>
    </row>
    <row r="84" spans="1:16">
      <c r="A84">
        <v>83</v>
      </c>
      <c r="B84" s="2">
        <v>40547</v>
      </c>
      <c r="C84">
        <v>1</v>
      </c>
      <c r="D84">
        <v>0</v>
      </c>
      <c r="E84">
        <v>1</v>
      </c>
      <c r="F84">
        <v>14</v>
      </c>
      <c r="G84" t="b">
        <v>0</v>
      </c>
      <c r="H84">
        <v>2</v>
      </c>
      <c r="I84">
        <v>1</v>
      </c>
      <c r="J84">
        <v>0.26</v>
      </c>
      <c r="K84">
        <v>0.2576</v>
      </c>
      <c r="L84">
        <v>0.52</v>
      </c>
      <c r="M84">
        <v>0.22389999999999999</v>
      </c>
      <c r="N84">
        <v>9</v>
      </c>
      <c r="O84">
        <v>54</v>
      </c>
      <c r="P84">
        <v>63</v>
      </c>
    </row>
    <row r="85" spans="1:16">
      <c r="A85">
        <v>84</v>
      </c>
      <c r="B85" s="2">
        <v>40547</v>
      </c>
      <c r="C85">
        <v>1</v>
      </c>
      <c r="D85">
        <v>0</v>
      </c>
      <c r="E85">
        <v>1</v>
      </c>
      <c r="F85">
        <v>15</v>
      </c>
      <c r="G85" t="b">
        <v>0</v>
      </c>
      <c r="H85">
        <v>2</v>
      </c>
      <c r="I85">
        <v>1</v>
      </c>
      <c r="J85">
        <v>0.28000000000000003</v>
      </c>
      <c r="K85">
        <v>0.2727</v>
      </c>
      <c r="L85">
        <v>0.52</v>
      </c>
      <c r="M85">
        <v>0.25369999999999998</v>
      </c>
      <c r="N85">
        <v>17</v>
      </c>
      <c r="O85">
        <v>48</v>
      </c>
      <c r="P85">
        <v>65</v>
      </c>
    </row>
    <row r="86" spans="1:16">
      <c r="A86">
        <v>85</v>
      </c>
      <c r="B86" s="2">
        <v>40547</v>
      </c>
      <c r="C86">
        <v>1</v>
      </c>
      <c r="D86">
        <v>0</v>
      </c>
      <c r="E86">
        <v>1</v>
      </c>
      <c r="F86">
        <v>16</v>
      </c>
      <c r="G86" t="b">
        <v>0</v>
      </c>
      <c r="H86">
        <v>2</v>
      </c>
      <c r="I86">
        <v>1</v>
      </c>
      <c r="J86">
        <v>0.3</v>
      </c>
      <c r="K86">
        <v>0.28789999999999999</v>
      </c>
      <c r="L86">
        <v>0.49</v>
      </c>
      <c r="M86">
        <v>0.25369999999999998</v>
      </c>
      <c r="N86">
        <v>15</v>
      </c>
      <c r="O86">
        <v>68</v>
      </c>
      <c r="P86">
        <v>83</v>
      </c>
    </row>
    <row r="87" spans="1:16">
      <c r="A87">
        <v>86</v>
      </c>
      <c r="B87" s="2">
        <v>40547</v>
      </c>
      <c r="C87">
        <v>1</v>
      </c>
      <c r="D87">
        <v>0</v>
      </c>
      <c r="E87">
        <v>1</v>
      </c>
      <c r="F87">
        <v>17</v>
      </c>
      <c r="G87" t="b">
        <v>0</v>
      </c>
      <c r="H87">
        <v>2</v>
      </c>
      <c r="I87">
        <v>1</v>
      </c>
      <c r="J87">
        <v>0.28000000000000003</v>
      </c>
      <c r="K87">
        <v>0.2727</v>
      </c>
      <c r="L87">
        <v>0.48</v>
      </c>
      <c r="M87">
        <v>0.22389999999999999</v>
      </c>
      <c r="N87">
        <v>10</v>
      </c>
      <c r="O87">
        <v>202</v>
      </c>
      <c r="P87">
        <v>212</v>
      </c>
    </row>
    <row r="88" spans="1:16">
      <c r="A88">
        <v>87</v>
      </c>
      <c r="B88" s="2">
        <v>40547</v>
      </c>
      <c r="C88">
        <v>1</v>
      </c>
      <c r="D88">
        <v>0</v>
      </c>
      <c r="E88">
        <v>1</v>
      </c>
      <c r="F88">
        <v>18</v>
      </c>
      <c r="G88" t="b">
        <v>0</v>
      </c>
      <c r="H88">
        <v>2</v>
      </c>
      <c r="I88">
        <v>1</v>
      </c>
      <c r="J88">
        <v>0.26</v>
      </c>
      <c r="K88">
        <v>0.2576</v>
      </c>
      <c r="L88">
        <v>0.48</v>
      </c>
      <c r="M88">
        <v>0.19400000000000001</v>
      </c>
      <c r="N88">
        <v>3</v>
      </c>
      <c r="O88">
        <v>179</v>
      </c>
      <c r="P88">
        <v>182</v>
      </c>
    </row>
    <row r="89" spans="1:16">
      <c r="A89">
        <v>88</v>
      </c>
      <c r="B89" s="2">
        <v>40547</v>
      </c>
      <c r="C89">
        <v>1</v>
      </c>
      <c r="D89">
        <v>0</v>
      </c>
      <c r="E89">
        <v>1</v>
      </c>
      <c r="F89">
        <v>19</v>
      </c>
      <c r="G89" t="b">
        <v>0</v>
      </c>
      <c r="H89">
        <v>2</v>
      </c>
      <c r="I89">
        <v>1</v>
      </c>
      <c r="J89">
        <v>0.24</v>
      </c>
      <c r="K89">
        <v>0.2576</v>
      </c>
      <c r="L89">
        <v>0.48</v>
      </c>
      <c r="M89">
        <v>0.1045</v>
      </c>
      <c r="N89">
        <v>2</v>
      </c>
      <c r="O89">
        <v>110</v>
      </c>
      <c r="P89">
        <v>112</v>
      </c>
    </row>
    <row r="90" spans="1:16">
      <c r="A90">
        <v>89</v>
      </c>
      <c r="B90" s="2">
        <v>40547</v>
      </c>
      <c r="C90">
        <v>1</v>
      </c>
      <c r="D90">
        <v>0</v>
      </c>
      <c r="E90">
        <v>1</v>
      </c>
      <c r="F90">
        <v>20</v>
      </c>
      <c r="G90" t="b">
        <v>0</v>
      </c>
      <c r="H90">
        <v>2</v>
      </c>
      <c r="I90">
        <v>1</v>
      </c>
      <c r="J90">
        <v>0.24</v>
      </c>
      <c r="K90">
        <v>0.2576</v>
      </c>
      <c r="L90">
        <v>0.48</v>
      </c>
      <c r="M90">
        <v>0.1045</v>
      </c>
      <c r="N90">
        <v>1</v>
      </c>
      <c r="O90">
        <v>53</v>
      </c>
      <c r="P90">
        <v>54</v>
      </c>
    </row>
    <row r="91" spans="1:16">
      <c r="A91">
        <v>90</v>
      </c>
      <c r="B91" s="2">
        <v>40547</v>
      </c>
      <c r="C91">
        <v>1</v>
      </c>
      <c r="D91">
        <v>0</v>
      </c>
      <c r="E91">
        <v>1</v>
      </c>
      <c r="F91">
        <v>21</v>
      </c>
      <c r="G91" t="b">
        <v>0</v>
      </c>
      <c r="H91">
        <v>2</v>
      </c>
      <c r="I91">
        <v>1</v>
      </c>
      <c r="J91">
        <v>0.22</v>
      </c>
      <c r="K91">
        <v>0.2727</v>
      </c>
      <c r="L91">
        <v>0.64</v>
      </c>
      <c r="M91">
        <v>0</v>
      </c>
      <c r="N91">
        <v>0</v>
      </c>
      <c r="O91">
        <v>48</v>
      </c>
      <c r="P91">
        <v>48</v>
      </c>
    </row>
    <row r="92" spans="1:16">
      <c r="A92">
        <v>91</v>
      </c>
      <c r="B92" s="2">
        <v>40547</v>
      </c>
      <c r="C92">
        <v>1</v>
      </c>
      <c r="D92">
        <v>0</v>
      </c>
      <c r="E92">
        <v>1</v>
      </c>
      <c r="F92">
        <v>22</v>
      </c>
      <c r="G92" t="b">
        <v>0</v>
      </c>
      <c r="H92">
        <v>2</v>
      </c>
      <c r="I92">
        <v>1</v>
      </c>
      <c r="J92">
        <v>0.22</v>
      </c>
      <c r="K92">
        <v>0.2576</v>
      </c>
      <c r="L92">
        <v>0.64</v>
      </c>
      <c r="M92">
        <v>8.9599999999999999E-2</v>
      </c>
      <c r="N92">
        <v>1</v>
      </c>
      <c r="O92">
        <v>34</v>
      </c>
      <c r="P92">
        <v>35</v>
      </c>
    </row>
    <row r="93" spans="1:16">
      <c r="A93">
        <v>92</v>
      </c>
      <c r="B93" s="2">
        <v>40547</v>
      </c>
      <c r="C93">
        <v>1</v>
      </c>
      <c r="D93">
        <v>0</v>
      </c>
      <c r="E93">
        <v>1</v>
      </c>
      <c r="F93">
        <v>23</v>
      </c>
      <c r="G93" t="b">
        <v>0</v>
      </c>
      <c r="H93">
        <v>2</v>
      </c>
      <c r="I93">
        <v>1</v>
      </c>
      <c r="J93">
        <v>0.2</v>
      </c>
      <c r="K93">
        <v>0.2273</v>
      </c>
      <c r="L93">
        <v>0.69</v>
      </c>
      <c r="M93">
        <v>8.9599999999999999E-2</v>
      </c>
      <c r="N93">
        <v>2</v>
      </c>
      <c r="O93">
        <v>9</v>
      </c>
      <c r="P93">
        <v>11</v>
      </c>
    </row>
    <row r="94" spans="1:16">
      <c r="A94">
        <v>93</v>
      </c>
      <c r="B94" s="2">
        <v>40548</v>
      </c>
      <c r="C94">
        <v>1</v>
      </c>
      <c r="D94">
        <v>0</v>
      </c>
      <c r="E94">
        <v>1</v>
      </c>
      <c r="F94">
        <v>0</v>
      </c>
      <c r="G94" t="b">
        <v>0</v>
      </c>
      <c r="H94">
        <v>3</v>
      </c>
      <c r="I94">
        <v>1</v>
      </c>
      <c r="J94">
        <v>0.2</v>
      </c>
      <c r="K94">
        <v>0.2576</v>
      </c>
      <c r="L94">
        <v>0.64</v>
      </c>
      <c r="M94">
        <v>0</v>
      </c>
      <c r="N94">
        <v>0</v>
      </c>
      <c r="O94">
        <v>6</v>
      </c>
      <c r="P94">
        <v>6</v>
      </c>
    </row>
    <row r="95" spans="1:16">
      <c r="A95">
        <v>94</v>
      </c>
      <c r="B95" s="2">
        <v>40548</v>
      </c>
      <c r="C95">
        <v>1</v>
      </c>
      <c r="D95">
        <v>0</v>
      </c>
      <c r="E95">
        <v>1</v>
      </c>
      <c r="F95">
        <v>1</v>
      </c>
      <c r="G95" t="b">
        <v>0</v>
      </c>
      <c r="H95">
        <v>3</v>
      </c>
      <c r="I95">
        <v>1</v>
      </c>
      <c r="J95">
        <v>0.16</v>
      </c>
      <c r="K95">
        <v>0.19700000000000001</v>
      </c>
      <c r="L95">
        <v>0.74</v>
      </c>
      <c r="M95">
        <v>8.9599999999999999E-2</v>
      </c>
      <c r="N95">
        <v>0</v>
      </c>
      <c r="O95">
        <v>6</v>
      </c>
      <c r="P95">
        <v>6</v>
      </c>
    </row>
    <row r="96" spans="1:16">
      <c r="A96">
        <v>95</v>
      </c>
      <c r="B96" s="2">
        <v>40548</v>
      </c>
      <c r="C96">
        <v>1</v>
      </c>
      <c r="D96">
        <v>0</v>
      </c>
      <c r="E96">
        <v>1</v>
      </c>
      <c r="F96">
        <v>2</v>
      </c>
      <c r="G96" t="b">
        <v>0</v>
      </c>
      <c r="H96">
        <v>3</v>
      </c>
      <c r="I96">
        <v>1</v>
      </c>
      <c r="J96">
        <v>0.16</v>
      </c>
      <c r="K96">
        <v>0.19700000000000001</v>
      </c>
      <c r="L96">
        <v>0.74</v>
      </c>
      <c r="M96">
        <v>8.9599999999999999E-2</v>
      </c>
      <c r="N96">
        <v>0</v>
      </c>
      <c r="O96">
        <v>2</v>
      </c>
      <c r="P96">
        <v>2</v>
      </c>
    </row>
    <row r="97" spans="1:16">
      <c r="A97">
        <v>96</v>
      </c>
      <c r="B97" s="2">
        <v>40548</v>
      </c>
      <c r="C97">
        <v>1</v>
      </c>
      <c r="D97">
        <v>0</v>
      </c>
      <c r="E97">
        <v>1</v>
      </c>
      <c r="F97">
        <v>4</v>
      </c>
      <c r="G97" t="b">
        <v>0</v>
      </c>
      <c r="H97">
        <v>3</v>
      </c>
      <c r="I97">
        <v>1</v>
      </c>
      <c r="J97">
        <v>0.24</v>
      </c>
      <c r="K97">
        <v>0.2273</v>
      </c>
      <c r="L97">
        <v>0.48</v>
      </c>
      <c r="M97">
        <v>0.22389999999999999</v>
      </c>
      <c r="N97">
        <v>0</v>
      </c>
      <c r="O97">
        <v>2</v>
      </c>
      <c r="P97">
        <v>2</v>
      </c>
    </row>
    <row r="98" spans="1:16">
      <c r="A98">
        <v>97</v>
      </c>
      <c r="B98" s="2">
        <v>40548</v>
      </c>
      <c r="C98">
        <v>1</v>
      </c>
      <c r="D98">
        <v>0</v>
      </c>
      <c r="E98">
        <v>1</v>
      </c>
      <c r="F98">
        <v>5</v>
      </c>
      <c r="G98" t="b">
        <v>0</v>
      </c>
      <c r="H98">
        <v>3</v>
      </c>
      <c r="I98">
        <v>1</v>
      </c>
      <c r="J98">
        <v>0.22</v>
      </c>
      <c r="K98">
        <v>0.2273</v>
      </c>
      <c r="L98">
        <v>0.47</v>
      </c>
      <c r="M98">
        <v>0.16420000000000001</v>
      </c>
      <c r="N98">
        <v>0</v>
      </c>
      <c r="O98">
        <v>3</v>
      </c>
      <c r="P98">
        <v>3</v>
      </c>
    </row>
    <row r="99" spans="1:16">
      <c r="A99">
        <v>98</v>
      </c>
      <c r="B99" s="2">
        <v>40548</v>
      </c>
      <c r="C99">
        <v>1</v>
      </c>
      <c r="D99">
        <v>0</v>
      </c>
      <c r="E99">
        <v>1</v>
      </c>
      <c r="F99">
        <v>6</v>
      </c>
      <c r="G99" t="b">
        <v>0</v>
      </c>
      <c r="H99">
        <v>3</v>
      </c>
      <c r="I99">
        <v>1</v>
      </c>
      <c r="J99">
        <v>0.2</v>
      </c>
      <c r="K99">
        <v>0.19700000000000001</v>
      </c>
      <c r="L99">
        <v>0.47</v>
      </c>
      <c r="M99">
        <v>0.22389999999999999</v>
      </c>
      <c r="N99">
        <v>0</v>
      </c>
      <c r="O99">
        <v>33</v>
      </c>
      <c r="P99">
        <v>33</v>
      </c>
    </row>
    <row r="100" spans="1:16">
      <c r="A100">
        <v>99</v>
      </c>
      <c r="B100" s="2">
        <v>40548</v>
      </c>
      <c r="C100">
        <v>1</v>
      </c>
      <c r="D100">
        <v>0</v>
      </c>
      <c r="E100">
        <v>1</v>
      </c>
      <c r="F100">
        <v>7</v>
      </c>
      <c r="G100" t="b">
        <v>0</v>
      </c>
      <c r="H100">
        <v>3</v>
      </c>
      <c r="I100">
        <v>1</v>
      </c>
      <c r="J100">
        <v>0.18</v>
      </c>
      <c r="K100">
        <v>0.18179999999999999</v>
      </c>
      <c r="L100">
        <v>0.43</v>
      </c>
      <c r="M100">
        <v>0.19400000000000001</v>
      </c>
      <c r="N100">
        <v>1</v>
      </c>
      <c r="O100">
        <v>87</v>
      </c>
      <c r="P100">
        <v>88</v>
      </c>
    </row>
    <row r="101" spans="1:16">
      <c r="A101">
        <v>100</v>
      </c>
      <c r="B101" s="2">
        <v>40548</v>
      </c>
      <c r="C101">
        <v>1</v>
      </c>
      <c r="D101">
        <v>0</v>
      </c>
      <c r="E101">
        <v>1</v>
      </c>
      <c r="F101">
        <v>8</v>
      </c>
      <c r="G101" t="b">
        <v>0</v>
      </c>
      <c r="H101">
        <v>3</v>
      </c>
      <c r="I101">
        <v>1</v>
      </c>
      <c r="J101">
        <v>0.2</v>
      </c>
      <c r="K101">
        <v>0.18179999999999999</v>
      </c>
      <c r="L101">
        <v>0.4</v>
      </c>
      <c r="M101">
        <v>0.29849999999999999</v>
      </c>
      <c r="N101">
        <v>3</v>
      </c>
      <c r="O101">
        <v>192</v>
      </c>
      <c r="P101">
        <v>195</v>
      </c>
    </row>
    <row r="102" spans="1:16">
      <c r="A102">
        <v>101</v>
      </c>
      <c r="B102" s="2">
        <v>40548</v>
      </c>
      <c r="C102">
        <v>1</v>
      </c>
      <c r="D102">
        <v>0</v>
      </c>
      <c r="E102">
        <v>1</v>
      </c>
      <c r="F102">
        <v>9</v>
      </c>
      <c r="G102" t="b">
        <v>0</v>
      </c>
      <c r="H102">
        <v>3</v>
      </c>
      <c r="I102">
        <v>1</v>
      </c>
      <c r="J102">
        <v>0.22</v>
      </c>
      <c r="K102">
        <v>0.19700000000000001</v>
      </c>
      <c r="L102">
        <v>0.37</v>
      </c>
      <c r="M102">
        <v>0.32840000000000003</v>
      </c>
      <c r="N102">
        <v>6</v>
      </c>
      <c r="O102">
        <v>109</v>
      </c>
      <c r="P102">
        <v>115</v>
      </c>
    </row>
    <row r="103" spans="1:16">
      <c r="A103">
        <v>102</v>
      </c>
      <c r="B103" s="2">
        <v>40548</v>
      </c>
      <c r="C103">
        <v>1</v>
      </c>
      <c r="D103">
        <v>0</v>
      </c>
      <c r="E103">
        <v>1</v>
      </c>
      <c r="F103">
        <v>10</v>
      </c>
      <c r="G103" t="b">
        <v>0</v>
      </c>
      <c r="H103">
        <v>3</v>
      </c>
      <c r="I103">
        <v>1</v>
      </c>
      <c r="J103">
        <v>0.22</v>
      </c>
      <c r="K103">
        <v>0.19700000000000001</v>
      </c>
      <c r="L103">
        <v>0.37</v>
      </c>
      <c r="M103">
        <v>0.32840000000000003</v>
      </c>
      <c r="N103">
        <v>4</v>
      </c>
      <c r="O103">
        <v>53</v>
      </c>
      <c r="P103">
        <v>57</v>
      </c>
    </row>
    <row r="104" spans="1:16">
      <c r="A104">
        <v>103</v>
      </c>
      <c r="B104" s="2">
        <v>40548</v>
      </c>
      <c r="C104">
        <v>1</v>
      </c>
      <c r="D104">
        <v>0</v>
      </c>
      <c r="E104">
        <v>1</v>
      </c>
      <c r="F104">
        <v>11</v>
      </c>
      <c r="G104" t="b">
        <v>0</v>
      </c>
      <c r="H104">
        <v>3</v>
      </c>
      <c r="I104">
        <v>1</v>
      </c>
      <c r="J104">
        <v>0.26</v>
      </c>
      <c r="K104">
        <v>0.2273</v>
      </c>
      <c r="L104">
        <v>0.33</v>
      </c>
      <c r="M104">
        <v>0.32840000000000003</v>
      </c>
      <c r="N104">
        <v>12</v>
      </c>
      <c r="O104">
        <v>34</v>
      </c>
      <c r="P104">
        <v>46</v>
      </c>
    </row>
    <row r="105" spans="1:16">
      <c r="A105">
        <v>104</v>
      </c>
      <c r="B105" s="2">
        <v>40548</v>
      </c>
      <c r="C105">
        <v>1</v>
      </c>
      <c r="D105">
        <v>0</v>
      </c>
      <c r="E105">
        <v>1</v>
      </c>
      <c r="F105">
        <v>12</v>
      </c>
      <c r="G105" t="b">
        <v>0</v>
      </c>
      <c r="H105">
        <v>3</v>
      </c>
      <c r="I105">
        <v>1</v>
      </c>
      <c r="J105">
        <v>0.26</v>
      </c>
      <c r="K105">
        <v>0.2273</v>
      </c>
      <c r="L105">
        <v>0.33</v>
      </c>
      <c r="M105">
        <v>0.32840000000000003</v>
      </c>
      <c r="N105">
        <v>5</v>
      </c>
      <c r="O105">
        <v>74</v>
      </c>
      <c r="P105">
        <v>79</v>
      </c>
    </row>
    <row r="106" spans="1:16">
      <c r="A106">
        <v>105</v>
      </c>
      <c r="B106" s="2">
        <v>40548</v>
      </c>
      <c r="C106">
        <v>1</v>
      </c>
      <c r="D106">
        <v>0</v>
      </c>
      <c r="E106">
        <v>1</v>
      </c>
      <c r="F106">
        <v>13</v>
      </c>
      <c r="G106" t="b">
        <v>0</v>
      </c>
      <c r="H106">
        <v>3</v>
      </c>
      <c r="I106">
        <v>1</v>
      </c>
      <c r="J106">
        <v>0.28000000000000003</v>
      </c>
      <c r="K106">
        <v>0.2576</v>
      </c>
      <c r="L106">
        <v>0.3</v>
      </c>
      <c r="M106">
        <v>0.29849999999999999</v>
      </c>
      <c r="N106">
        <v>6</v>
      </c>
      <c r="O106">
        <v>65</v>
      </c>
      <c r="P106">
        <v>71</v>
      </c>
    </row>
    <row r="107" spans="1:16">
      <c r="A107">
        <v>106</v>
      </c>
      <c r="B107" s="2">
        <v>40548</v>
      </c>
      <c r="C107">
        <v>1</v>
      </c>
      <c r="D107">
        <v>0</v>
      </c>
      <c r="E107">
        <v>1</v>
      </c>
      <c r="F107">
        <v>14</v>
      </c>
      <c r="G107" t="b">
        <v>0</v>
      </c>
      <c r="H107">
        <v>3</v>
      </c>
      <c r="I107">
        <v>1</v>
      </c>
      <c r="J107">
        <v>0.3</v>
      </c>
      <c r="K107">
        <v>0.28789999999999999</v>
      </c>
      <c r="L107">
        <v>0.28000000000000003</v>
      </c>
      <c r="M107">
        <v>0.19400000000000001</v>
      </c>
      <c r="N107">
        <v>10</v>
      </c>
      <c r="O107">
        <v>52</v>
      </c>
      <c r="P107">
        <v>62</v>
      </c>
    </row>
    <row r="108" spans="1:16">
      <c r="A108">
        <v>107</v>
      </c>
      <c r="B108" s="2">
        <v>40548</v>
      </c>
      <c r="C108">
        <v>1</v>
      </c>
      <c r="D108">
        <v>0</v>
      </c>
      <c r="E108">
        <v>1</v>
      </c>
      <c r="F108">
        <v>15</v>
      </c>
      <c r="G108" t="b">
        <v>0</v>
      </c>
      <c r="H108">
        <v>3</v>
      </c>
      <c r="I108">
        <v>1</v>
      </c>
      <c r="J108">
        <v>0.3</v>
      </c>
      <c r="K108">
        <v>0.28789999999999999</v>
      </c>
      <c r="L108">
        <v>0.28000000000000003</v>
      </c>
      <c r="M108">
        <v>0.19400000000000001</v>
      </c>
      <c r="N108">
        <v>7</v>
      </c>
      <c r="O108">
        <v>55</v>
      </c>
      <c r="P108">
        <v>62</v>
      </c>
    </row>
    <row r="109" spans="1:16">
      <c r="A109">
        <v>108</v>
      </c>
      <c r="B109" s="2">
        <v>40548</v>
      </c>
      <c r="C109">
        <v>1</v>
      </c>
      <c r="D109">
        <v>0</v>
      </c>
      <c r="E109">
        <v>1</v>
      </c>
      <c r="F109">
        <v>16</v>
      </c>
      <c r="G109" t="b">
        <v>0</v>
      </c>
      <c r="H109">
        <v>3</v>
      </c>
      <c r="I109">
        <v>1</v>
      </c>
      <c r="J109">
        <v>0.3</v>
      </c>
      <c r="K109">
        <v>0.31819999999999998</v>
      </c>
      <c r="L109">
        <v>0.28000000000000003</v>
      </c>
      <c r="M109">
        <v>8.9599999999999999E-2</v>
      </c>
      <c r="N109">
        <v>4</v>
      </c>
      <c r="O109">
        <v>85</v>
      </c>
      <c r="P109">
        <v>89</v>
      </c>
    </row>
    <row r="110" spans="1:16">
      <c r="A110">
        <v>109</v>
      </c>
      <c r="B110" s="2">
        <v>40548</v>
      </c>
      <c r="C110">
        <v>1</v>
      </c>
      <c r="D110">
        <v>0</v>
      </c>
      <c r="E110">
        <v>1</v>
      </c>
      <c r="F110">
        <v>17</v>
      </c>
      <c r="G110" t="b">
        <v>0</v>
      </c>
      <c r="H110">
        <v>3</v>
      </c>
      <c r="I110">
        <v>1</v>
      </c>
      <c r="J110">
        <v>0.24</v>
      </c>
      <c r="K110">
        <v>0.2273</v>
      </c>
      <c r="L110">
        <v>0.38</v>
      </c>
      <c r="M110">
        <v>0.19400000000000001</v>
      </c>
      <c r="N110">
        <v>4</v>
      </c>
      <c r="O110">
        <v>186</v>
      </c>
      <c r="P110">
        <v>190</v>
      </c>
    </row>
    <row r="111" spans="1:16">
      <c r="A111">
        <v>110</v>
      </c>
      <c r="B111" s="2">
        <v>40548</v>
      </c>
      <c r="C111">
        <v>1</v>
      </c>
      <c r="D111">
        <v>0</v>
      </c>
      <c r="E111">
        <v>1</v>
      </c>
      <c r="F111">
        <v>18</v>
      </c>
      <c r="G111" t="b">
        <v>0</v>
      </c>
      <c r="H111">
        <v>3</v>
      </c>
      <c r="I111">
        <v>1</v>
      </c>
      <c r="J111">
        <v>0.24</v>
      </c>
      <c r="K111">
        <v>0.2424</v>
      </c>
      <c r="L111">
        <v>0.38</v>
      </c>
      <c r="M111">
        <v>0.1343</v>
      </c>
      <c r="N111">
        <v>3</v>
      </c>
      <c r="O111">
        <v>166</v>
      </c>
      <c r="P111">
        <v>169</v>
      </c>
    </row>
    <row r="112" spans="1:16">
      <c r="A112">
        <v>111</v>
      </c>
      <c r="B112" s="2">
        <v>40548</v>
      </c>
      <c r="C112">
        <v>1</v>
      </c>
      <c r="D112">
        <v>0</v>
      </c>
      <c r="E112">
        <v>1</v>
      </c>
      <c r="F112">
        <v>19</v>
      </c>
      <c r="G112" t="b">
        <v>0</v>
      </c>
      <c r="H112">
        <v>3</v>
      </c>
      <c r="I112">
        <v>1</v>
      </c>
      <c r="J112">
        <v>0.24</v>
      </c>
      <c r="K112">
        <v>0.2576</v>
      </c>
      <c r="L112">
        <v>0.38</v>
      </c>
      <c r="M112">
        <v>0.1045</v>
      </c>
      <c r="N112">
        <v>5</v>
      </c>
      <c r="O112">
        <v>127</v>
      </c>
      <c r="P112">
        <v>132</v>
      </c>
    </row>
    <row r="113" spans="1:16">
      <c r="A113">
        <v>112</v>
      </c>
      <c r="B113" s="2">
        <v>40548</v>
      </c>
      <c r="C113">
        <v>1</v>
      </c>
      <c r="D113">
        <v>0</v>
      </c>
      <c r="E113">
        <v>1</v>
      </c>
      <c r="F113">
        <v>20</v>
      </c>
      <c r="G113" t="b">
        <v>0</v>
      </c>
      <c r="H113">
        <v>3</v>
      </c>
      <c r="I113">
        <v>1</v>
      </c>
      <c r="J113">
        <v>0.22</v>
      </c>
      <c r="K113">
        <v>0.2273</v>
      </c>
      <c r="L113">
        <v>0.47</v>
      </c>
      <c r="M113">
        <v>0.16420000000000001</v>
      </c>
      <c r="N113">
        <v>7</v>
      </c>
      <c r="O113">
        <v>82</v>
      </c>
      <c r="P113">
        <v>89</v>
      </c>
    </row>
    <row r="114" spans="1:16">
      <c r="A114">
        <v>113</v>
      </c>
      <c r="B114" s="2">
        <v>40548</v>
      </c>
      <c r="C114">
        <v>1</v>
      </c>
      <c r="D114">
        <v>0</v>
      </c>
      <c r="E114">
        <v>1</v>
      </c>
      <c r="F114">
        <v>21</v>
      </c>
      <c r="G114" t="b">
        <v>0</v>
      </c>
      <c r="H114">
        <v>3</v>
      </c>
      <c r="I114">
        <v>1</v>
      </c>
      <c r="J114">
        <v>0.2</v>
      </c>
      <c r="K114">
        <v>0.19700000000000001</v>
      </c>
      <c r="L114">
        <v>0.51</v>
      </c>
      <c r="M114">
        <v>0.19400000000000001</v>
      </c>
      <c r="N114">
        <v>3</v>
      </c>
      <c r="O114">
        <v>40</v>
      </c>
      <c r="P114">
        <v>43</v>
      </c>
    </row>
    <row r="115" spans="1:16">
      <c r="A115">
        <v>114</v>
      </c>
      <c r="B115" s="2">
        <v>40548</v>
      </c>
      <c r="C115">
        <v>1</v>
      </c>
      <c r="D115">
        <v>0</v>
      </c>
      <c r="E115">
        <v>1</v>
      </c>
      <c r="F115">
        <v>22</v>
      </c>
      <c r="G115" t="b">
        <v>0</v>
      </c>
      <c r="H115">
        <v>3</v>
      </c>
      <c r="I115">
        <v>1</v>
      </c>
      <c r="J115">
        <v>0.18</v>
      </c>
      <c r="K115">
        <v>0.19700000000000001</v>
      </c>
      <c r="L115">
        <v>0.55000000000000004</v>
      </c>
      <c r="M115">
        <v>0.1343</v>
      </c>
      <c r="N115">
        <v>1</v>
      </c>
      <c r="O115">
        <v>41</v>
      </c>
      <c r="P115">
        <v>42</v>
      </c>
    </row>
    <row r="116" spans="1:16">
      <c r="A116">
        <v>115</v>
      </c>
      <c r="B116" s="2">
        <v>40548</v>
      </c>
      <c r="C116">
        <v>1</v>
      </c>
      <c r="D116">
        <v>0</v>
      </c>
      <c r="E116">
        <v>1</v>
      </c>
      <c r="F116">
        <v>23</v>
      </c>
      <c r="G116" t="b">
        <v>0</v>
      </c>
      <c r="H116">
        <v>3</v>
      </c>
      <c r="I116">
        <v>1</v>
      </c>
      <c r="J116">
        <v>0.2</v>
      </c>
      <c r="K116">
        <v>0.2576</v>
      </c>
      <c r="L116">
        <v>0.47</v>
      </c>
      <c r="M116">
        <v>0</v>
      </c>
      <c r="N116">
        <v>1</v>
      </c>
      <c r="O116">
        <v>18</v>
      </c>
      <c r="P116">
        <v>19</v>
      </c>
    </row>
    <row r="117" spans="1:16">
      <c r="A117">
        <v>116</v>
      </c>
      <c r="B117" s="2">
        <v>40549</v>
      </c>
      <c r="C117">
        <v>1</v>
      </c>
      <c r="D117">
        <v>0</v>
      </c>
      <c r="E117">
        <v>1</v>
      </c>
      <c r="F117">
        <v>0</v>
      </c>
      <c r="G117" t="b">
        <v>0</v>
      </c>
      <c r="H117">
        <v>4</v>
      </c>
      <c r="I117">
        <v>1</v>
      </c>
      <c r="J117">
        <v>0.18</v>
      </c>
      <c r="K117">
        <v>0.2424</v>
      </c>
      <c r="L117">
        <v>0.55000000000000004</v>
      </c>
      <c r="M117">
        <v>0</v>
      </c>
      <c r="N117">
        <v>0</v>
      </c>
      <c r="O117">
        <v>11</v>
      </c>
      <c r="P117">
        <v>11</v>
      </c>
    </row>
    <row r="118" spans="1:16">
      <c r="A118">
        <v>117</v>
      </c>
      <c r="B118" s="2">
        <v>40549</v>
      </c>
      <c r="C118">
        <v>1</v>
      </c>
      <c r="D118">
        <v>0</v>
      </c>
      <c r="E118">
        <v>1</v>
      </c>
      <c r="F118">
        <v>1</v>
      </c>
      <c r="G118" t="b">
        <v>0</v>
      </c>
      <c r="H118">
        <v>4</v>
      </c>
      <c r="I118">
        <v>1</v>
      </c>
      <c r="J118">
        <v>0.16</v>
      </c>
      <c r="K118">
        <v>0.2273</v>
      </c>
      <c r="L118">
        <v>0.64</v>
      </c>
      <c r="M118">
        <v>0</v>
      </c>
      <c r="N118">
        <v>0</v>
      </c>
      <c r="O118">
        <v>4</v>
      </c>
      <c r="P118">
        <v>4</v>
      </c>
    </row>
    <row r="119" spans="1:16">
      <c r="A119">
        <v>118</v>
      </c>
      <c r="B119" s="2">
        <v>40549</v>
      </c>
      <c r="C119">
        <v>1</v>
      </c>
      <c r="D119">
        <v>0</v>
      </c>
      <c r="E119">
        <v>1</v>
      </c>
      <c r="F119">
        <v>2</v>
      </c>
      <c r="G119" t="b">
        <v>0</v>
      </c>
      <c r="H119">
        <v>4</v>
      </c>
      <c r="I119">
        <v>1</v>
      </c>
      <c r="J119">
        <v>0.16</v>
      </c>
      <c r="K119">
        <v>0.2273</v>
      </c>
      <c r="L119">
        <v>0.64</v>
      </c>
      <c r="M119">
        <v>0</v>
      </c>
      <c r="N119">
        <v>0</v>
      </c>
      <c r="O119">
        <v>2</v>
      </c>
      <c r="P119">
        <v>2</v>
      </c>
    </row>
    <row r="120" spans="1:16">
      <c r="A120">
        <v>119</v>
      </c>
      <c r="B120" s="2">
        <v>40549</v>
      </c>
      <c r="C120">
        <v>1</v>
      </c>
      <c r="D120">
        <v>0</v>
      </c>
      <c r="E120">
        <v>1</v>
      </c>
      <c r="F120">
        <v>4</v>
      </c>
      <c r="G120" t="b">
        <v>0</v>
      </c>
      <c r="H120">
        <v>4</v>
      </c>
      <c r="I120">
        <v>2</v>
      </c>
      <c r="J120">
        <v>0.16</v>
      </c>
      <c r="K120">
        <v>0.19700000000000001</v>
      </c>
      <c r="L120">
        <v>0.64</v>
      </c>
      <c r="M120">
        <v>8.9599999999999999E-2</v>
      </c>
      <c r="N120">
        <v>0</v>
      </c>
      <c r="O120">
        <v>1</v>
      </c>
      <c r="P120">
        <v>1</v>
      </c>
    </row>
    <row r="121" spans="1:16">
      <c r="A121">
        <v>120</v>
      </c>
      <c r="B121" s="2">
        <v>40549</v>
      </c>
      <c r="C121">
        <v>1</v>
      </c>
      <c r="D121">
        <v>0</v>
      </c>
      <c r="E121">
        <v>1</v>
      </c>
      <c r="F121">
        <v>5</v>
      </c>
      <c r="G121" t="b">
        <v>0</v>
      </c>
      <c r="H121">
        <v>4</v>
      </c>
      <c r="I121">
        <v>2</v>
      </c>
      <c r="J121">
        <v>0.14000000000000001</v>
      </c>
      <c r="K121">
        <v>0.18179999999999999</v>
      </c>
      <c r="L121">
        <v>0.69</v>
      </c>
      <c r="M121">
        <v>8.9599999999999999E-2</v>
      </c>
      <c r="N121">
        <v>0</v>
      </c>
      <c r="O121">
        <v>4</v>
      </c>
      <c r="P121">
        <v>4</v>
      </c>
    </row>
    <row r="122" spans="1:16">
      <c r="A122">
        <v>121</v>
      </c>
      <c r="B122" s="2">
        <v>40549</v>
      </c>
      <c r="C122">
        <v>1</v>
      </c>
      <c r="D122">
        <v>0</v>
      </c>
      <c r="E122">
        <v>1</v>
      </c>
      <c r="F122">
        <v>6</v>
      </c>
      <c r="G122" t="b">
        <v>0</v>
      </c>
      <c r="H122">
        <v>4</v>
      </c>
      <c r="I122">
        <v>2</v>
      </c>
      <c r="J122">
        <v>0.14000000000000001</v>
      </c>
      <c r="K122">
        <v>0.16669999999999999</v>
      </c>
      <c r="L122">
        <v>0.63</v>
      </c>
      <c r="M122">
        <v>0.1045</v>
      </c>
      <c r="N122">
        <v>0</v>
      </c>
      <c r="O122">
        <v>36</v>
      </c>
      <c r="P122">
        <v>36</v>
      </c>
    </row>
    <row r="123" spans="1:16">
      <c r="A123">
        <v>122</v>
      </c>
      <c r="B123" s="2">
        <v>40549</v>
      </c>
      <c r="C123">
        <v>1</v>
      </c>
      <c r="D123">
        <v>0</v>
      </c>
      <c r="E123">
        <v>1</v>
      </c>
      <c r="F123">
        <v>7</v>
      </c>
      <c r="G123" t="b">
        <v>0</v>
      </c>
      <c r="H123">
        <v>4</v>
      </c>
      <c r="I123">
        <v>2</v>
      </c>
      <c r="J123">
        <v>0.16</v>
      </c>
      <c r="K123">
        <v>0.2273</v>
      </c>
      <c r="L123">
        <v>0.59</v>
      </c>
      <c r="M123">
        <v>0</v>
      </c>
      <c r="N123">
        <v>0</v>
      </c>
      <c r="O123">
        <v>95</v>
      </c>
      <c r="P123">
        <v>95</v>
      </c>
    </row>
    <row r="124" spans="1:16">
      <c r="A124">
        <v>123</v>
      </c>
      <c r="B124" s="2">
        <v>40549</v>
      </c>
      <c r="C124">
        <v>1</v>
      </c>
      <c r="D124">
        <v>0</v>
      </c>
      <c r="E124">
        <v>1</v>
      </c>
      <c r="F124">
        <v>8</v>
      </c>
      <c r="G124" t="b">
        <v>0</v>
      </c>
      <c r="H124">
        <v>4</v>
      </c>
      <c r="I124">
        <v>1</v>
      </c>
      <c r="J124">
        <v>0.16</v>
      </c>
      <c r="K124">
        <v>0.2273</v>
      </c>
      <c r="L124">
        <v>0.59</v>
      </c>
      <c r="M124">
        <v>0</v>
      </c>
      <c r="N124">
        <v>3</v>
      </c>
      <c r="O124">
        <v>216</v>
      </c>
      <c r="P124">
        <v>219</v>
      </c>
    </row>
    <row r="125" spans="1:16">
      <c r="A125">
        <v>124</v>
      </c>
      <c r="B125" s="2">
        <v>40549</v>
      </c>
      <c r="C125">
        <v>1</v>
      </c>
      <c r="D125">
        <v>0</v>
      </c>
      <c r="E125">
        <v>1</v>
      </c>
      <c r="F125">
        <v>9</v>
      </c>
      <c r="G125" t="b">
        <v>0</v>
      </c>
      <c r="H125">
        <v>4</v>
      </c>
      <c r="I125">
        <v>2</v>
      </c>
      <c r="J125">
        <v>0.18</v>
      </c>
      <c r="K125">
        <v>0.2424</v>
      </c>
      <c r="L125">
        <v>0.51</v>
      </c>
      <c r="M125">
        <v>0</v>
      </c>
      <c r="N125">
        <v>6</v>
      </c>
      <c r="O125">
        <v>116</v>
      </c>
      <c r="P125">
        <v>122</v>
      </c>
    </row>
    <row r="126" spans="1:16">
      <c r="A126">
        <v>125</v>
      </c>
      <c r="B126" s="2">
        <v>40549</v>
      </c>
      <c r="C126">
        <v>1</v>
      </c>
      <c r="D126">
        <v>0</v>
      </c>
      <c r="E126">
        <v>1</v>
      </c>
      <c r="F126">
        <v>10</v>
      </c>
      <c r="G126" t="b">
        <v>0</v>
      </c>
      <c r="H126">
        <v>4</v>
      </c>
      <c r="I126">
        <v>1</v>
      </c>
      <c r="J126">
        <v>0.2</v>
      </c>
      <c r="K126">
        <v>0.2576</v>
      </c>
      <c r="L126">
        <v>0.47</v>
      </c>
      <c r="M126">
        <v>0</v>
      </c>
      <c r="N126">
        <v>3</v>
      </c>
      <c r="O126">
        <v>42</v>
      </c>
      <c r="P126">
        <v>45</v>
      </c>
    </row>
    <row r="127" spans="1:16">
      <c r="A127">
        <v>126</v>
      </c>
      <c r="B127" s="2">
        <v>40549</v>
      </c>
      <c r="C127">
        <v>1</v>
      </c>
      <c r="D127">
        <v>0</v>
      </c>
      <c r="E127">
        <v>1</v>
      </c>
      <c r="F127">
        <v>11</v>
      </c>
      <c r="G127" t="b">
        <v>0</v>
      </c>
      <c r="H127">
        <v>4</v>
      </c>
      <c r="I127">
        <v>1</v>
      </c>
      <c r="J127">
        <v>0.22</v>
      </c>
      <c r="K127">
        <v>0.2576</v>
      </c>
      <c r="L127">
        <v>0.44</v>
      </c>
      <c r="M127">
        <v>8.9599999999999999E-2</v>
      </c>
      <c r="N127">
        <v>2</v>
      </c>
      <c r="O127">
        <v>57</v>
      </c>
      <c r="P127">
        <v>59</v>
      </c>
    </row>
    <row r="128" spans="1:16">
      <c r="A128">
        <v>127</v>
      </c>
      <c r="B128" s="2">
        <v>40549</v>
      </c>
      <c r="C128">
        <v>1</v>
      </c>
      <c r="D128">
        <v>0</v>
      </c>
      <c r="E128">
        <v>1</v>
      </c>
      <c r="F128">
        <v>12</v>
      </c>
      <c r="G128" t="b">
        <v>0</v>
      </c>
      <c r="H128">
        <v>4</v>
      </c>
      <c r="I128">
        <v>1</v>
      </c>
      <c r="J128">
        <v>0.26</v>
      </c>
      <c r="K128">
        <v>0.28789999999999999</v>
      </c>
      <c r="L128">
        <v>0.35</v>
      </c>
      <c r="M128">
        <v>0</v>
      </c>
      <c r="N128">
        <v>6</v>
      </c>
      <c r="O128">
        <v>78</v>
      </c>
      <c r="P128">
        <v>84</v>
      </c>
    </row>
    <row r="129" spans="1:16">
      <c r="A129">
        <v>128</v>
      </c>
      <c r="B129" s="2">
        <v>40549</v>
      </c>
      <c r="C129">
        <v>1</v>
      </c>
      <c r="D129">
        <v>0</v>
      </c>
      <c r="E129">
        <v>1</v>
      </c>
      <c r="F129">
        <v>13</v>
      </c>
      <c r="G129" t="b">
        <v>0</v>
      </c>
      <c r="H129">
        <v>4</v>
      </c>
      <c r="I129">
        <v>1</v>
      </c>
      <c r="J129">
        <v>0.26</v>
      </c>
      <c r="K129">
        <v>0.2727</v>
      </c>
      <c r="L129">
        <v>0.35</v>
      </c>
      <c r="M129">
        <v>0.1045</v>
      </c>
      <c r="N129">
        <v>12</v>
      </c>
      <c r="O129">
        <v>55</v>
      </c>
      <c r="P129">
        <v>67</v>
      </c>
    </row>
    <row r="130" spans="1:16">
      <c r="A130">
        <v>129</v>
      </c>
      <c r="B130" s="2">
        <v>40549</v>
      </c>
      <c r="C130">
        <v>1</v>
      </c>
      <c r="D130">
        <v>0</v>
      </c>
      <c r="E130">
        <v>1</v>
      </c>
      <c r="F130">
        <v>14</v>
      </c>
      <c r="G130" t="b">
        <v>0</v>
      </c>
      <c r="H130">
        <v>4</v>
      </c>
      <c r="I130">
        <v>1</v>
      </c>
      <c r="J130">
        <v>0.28000000000000003</v>
      </c>
      <c r="K130">
        <v>0.2727</v>
      </c>
      <c r="L130">
        <v>0.36</v>
      </c>
      <c r="M130">
        <v>0.16420000000000001</v>
      </c>
      <c r="N130">
        <v>11</v>
      </c>
      <c r="O130">
        <v>59</v>
      </c>
      <c r="P130">
        <v>70</v>
      </c>
    </row>
    <row r="131" spans="1:16">
      <c r="A131">
        <v>130</v>
      </c>
      <c r="B131" s="2">
        <v>40549</v>
      </c>
      <c r="C131">
        <v>1</v>
      </c>
      <c r="D131">
        <v>0</v>
      </c>
      <c r="E131">
        <v>1</v>
      </c>
      <c r="F131">
        <v>15</v>
      </c>
      <c r="G131" t="b">
        <v>0</v>
      </c>
      <c r="H131">
        <v>4</v>
      </c>
      <c r="I131">
        <v>1</v>
      </c>
      <c r="J131">
        <v>0.28000000000000003</v>
      </c>
      <c r="K131">
        <v>0.2727</v>
      </c>
      <c r="L131">
        <v>0.36</v>
      </c>
      <c r="M131">
        <v>0</v>
      </c>
      <c r="N131">
        <v>8</v>
      </c>
      <c r="O131">
        <v>54</v>
      </c>
      <c r="P131">
        <v>62</v>
      </c>
    </row>
    <row r="132" spans="1:16">
      <c r="A132">
        <v>131</v>
      </c>
      <c r="B132" s="2">
        <v>40549</v>
      </c>
      <c r="C132">
        <v>1</v>
      </c>
      <c r="D132">
        <v>0</v>
      </c>
      <c r="E132">
        <v>1</v>
      </c>
      <c r="F132">
        <v>16</v>
      </c>
      <c r="G132" t="b">
        <v>0</v>
      </c>
      <c r="H132">
        <v>4</v>
      </c>
      <c r="I132">
        <v>1</v>
      </c>
      <c r="J132">
        <v>0.26</v>
      </c>
      <c r="K132">
        <v>0.2576</v>
      </c>
      <c r="L132">
        <v>0.38</v>
      </c>
      <c r="M132">
        <v>0.16420000000000001</v>
      </c>
      <c r="N132">
        <v>12</v>
      </c>
      <c r="O132">
        <v>74</v>
      </c>
      <c r="P132">
        <v>86</v>
      </c>
    </row>
    <row r="133" spans="1:16">
      <c r="A133">
        <v>132</v>
      </c>
      <c r="B133" s="2">
        <v>40549</v>
      </c>
      <c r="C133">
        <v>1</v>
      </c>
      <c r="D133">
        <v>0</v>
      </c>
      <c r="E133">
        <v>1</v>
      </c>
      <c r="F133">
        <v>17</v>
      </c>
      <c r="G133" t="b">
        <v>0</v>
      </c>
      <c r="H133">
        <v>4</v>
      </c>
      <c r="I133">
        <v>1</v>
      </c>
      <c r="J133">
        <v>0.22</v>
      </c>
      <c r="K133">
        <v>0.2273</v>
      </c>
      <c r="L133">
        <v>0.51</v>
      </c>
      <c r="M133">
        <v>0.16420000000000001</v>
      </c>
      <c r="N133">
        <v>9</v>
      </c>
      <c r="O133">
        <v>163</v>
      </c>
      <c r="P133">
        <v>172</v>
      </c>
    </row>
    <row r="134" spans="1:16">
      <c r="A134">
        <v>133</v>
      </c>
      <c r="B134" s="2">
        <v>40549</v>
      </c>
      <c r="C134">
        <v>1</v>
      </c>
      <c r="D134">
        <v>0</v>
      </c>
      <c r="E134">
        <v>1</v>
      </c>
      <c r="F134">
        <v>18</v>
      </c>
      <c r="G134" t="b">
        <v>0</v>
      </c>
      <c r="H134">
        <v>4</v>
      </c>
      <c r="I134">
        <v>1</v>
      </c>
      <c r="J134">
        <v>0.22</v>
      </c>
      <c r="K134">
        <v>0.2273</v>
      </c>
      <c r="L134">
        <v>0.51</v>
      </c>
      <c r="M134">
        <v>0.1343</v>
      </c>
      <c r="N134">
        <v>5</v>
      </c>
      <c r="O134">
        <v>158</v>
      </c>
      <c r="P134">
        <v>163</v>
      </c>
    </row>
    <row r="135" spans="1:16">
      <c r="A135">
        <v>134</v>
      </c>
      <c r="B135" s="2">
        <v>40549</v>
      </c>
      <c r="C135">
        <v>1</v>
      </c>
      <c r="D135">
        <v>0</v>
      </c>
      <c r="E135">
        <v>1</v>
      </c>
      <c r="F135">
        <v>19</v>
      </c>
      <c r="G135" t="b">
        <v>0</v>
      </c>
      <c r="H135">
        <v>4</v>
      </c>
      <c r="I135">
        <v>1</v>
      </c>
      <c r="J135">
        <v>0.22</v>
      </c>
      <c r="K135">
        <v>0.2576</v>
      </c>
      <c r="L135">
        <v>0.55000000000000004</v>
      </c>
      <c r="M135">
        <v>8.9599999999999999E-2</v>
      </c>
      <c r="N135">
        <v>3</v>
      </c>
      <c r="O135">
        <v>109</v>
      </c>
      <c r="P135">
        <v>112</v>
      </c>
    </row>
    <row r="136" spans="1:16">
      <c r="A136">
        <v>135</v>
      </c>
      <c r="B136" s="2">
        <v>40549</v>
      </c>
      <c r="C136">
        <v>1</v>
      </c>
      <c r="D136">
        <v>0</v>
      </c>
      <c r="E136">
        <v>1</v>
      </c>
      <c r="F136">
        <v>20</v>
      </c>
      <c r="G136" t="b">
        <v>0</v>
      </c>
      <c r="H136">
        <v>4</v>
      </c>
      <c r="I136">
        <v>1</v>
      </c>
      <c r="J136">
        <v>0.2</v>
      </c>
      <c r="K136">
        <v>0.21210000000000001</v>
      </c>
      <c r="L136">
        <v>0.51</v>
      </c>
      <c r="M136">
        <v>0.16420000000000001</v>
      </c>
      <c r="N136">
        <v>3</v>
      </c>
      <c r="O136">
        <v>66</v>
      </c>
      <c r="P136">
        <v>69</v>
      </c>
    </row>
    <row r="137" spans="1:16">
      <c r="A137">
        <v>136</v>
      </c>
      <c r="B137" s="2">
        <v>40549</v>
      </c>
      <c r="C137">
        <v>1</v>
      </c>
      <c r="D137">
        <v>0</v>
      </c>
      <c r="E137">
        <v>1</v>
      </c>
      <c r="F137">
        <v>21</v>
      </c>
      <c r="G137" t="b">
        <v>0</v>
      </c>
      <c r="H137">
        <v>4</v>
      </c>
      <c r="I137">
        <v>2</v>
      </c>
      <c r="J137">
        <v>0.22</v>
      </c>
      <c r="K137">
        <v>0.21210000000000001</v>
      </c>
      <c r="L137">
        <v>0.55000000000000004</v>
      </c>
      <c r="M137">
        <v>0.22389999999999999</v>
      </c>
      <c r="N137">
        <v>0</v>
      </c>
      <c r="O137">
        <v>48</v>
      </c>
      <c r="P137">
        <v>48</v>
      </c>
    </row>
    <row r="138" spans="1:16">
      <c r="A138">
        <v>137</v>
      </c>
      <c r="B138" s="2">
        <v>40549</v>
      </c>
      <c r="C138">
        <v>1</v>
      </c>
      <c r="D138">
        <v>0</v>
      </c>
      <c r="E138">
        <v>1</v>
      </c>
      <c r="F138">
        <v>22</v>
      </c>
      <c r="G138" t="b">
        <v>0</v>
      </c>
      <c r="H138">
        <v>4</v>
      </c>
      <c r="I138">
        <v>2</v>
      </c>
      <c r="J138">
        <v>0.22</v>
      </c>
      <c r="K138">
        <v>0.21210000000000001</v>
      </c>
      <c r="L138">
        <v>0.51</v>
      </c>
      <c r="M138">
        <v>0.28360000000000002</v>
      </c>
      <c r="N138">
        <v>1</v>
      </c>
      <c r="O138">
        <v>51</v>
      </c>
      <c r="P138">
        <v>52</v>
      </c>
    </row>
    <row r="139" spans="1:16">
      <c r="A139">
        <v>138</v>
      </c>
      <c r="B139" s="2">
        <v>40549</v>
      </c>
      <c r="C139">
        <v>1</v>
      </c>
      <c r="D139">
        <v>0</v>
      </c>
      <c r="E139">
        <v>1</v>
      </c>
      <c r="F139">
        <v>23</v>
      </c>
      <c r="G139" t="b">
        <v>0</v>
      </c>
      <c r="H139">
        <v>4</v>
      </c>
      <c r="I139">
        <v>2</v>
      </c>
      <c r="J139">
        <v>0.2</v>
      </c>
      <c r="K139">
        <v>0.19700000000000001</v>
      </c>
      <c r="L139">
        <v>0.59</v>
      </c>
      <c r="M139">
        <v>0.19400000000000001</v>
      </c>
      <c r="N139">
        <v>4</v>
      </c>
      <c r="O139">
        <v>19</v>
      </c>
      <c r="P139">
        <v>23</v>
      </c>
    </row>
    <row r="140" spans="1:16">
      <c r="A140">
        <v>139</v>
      </c>
      <c r="B140" s="2">
        <v>40550</v>
      </c>
      <c r="C140">
        <v>1</v>
      </c>
      <c r="D140">
        <v>0</v>
      </c>
      <c r="E140">
        <v>1</v>
      </c>
      <c r="F140">
        <v>0</v>
      </c>
      <c r="G140" t="b">
        <v>0</v>
      </c>
      <c r="H140">
        <v>5</v>
      </c>
      <c r="I140">
        <v>2</v>
      </c>
      <c r="J140">
        <v>0.2</v>
      </c>
      <c r="K140">
        <v>0.19700000000000001</v>
      </c>
      <c r="L140">
        <v>0.64</v>
      </c>
      <c r="M140">
        <v>0.19400000000000001</v>
      </c>
      <c r="N140">
        <v>4</v>
      </c>
      <c r="O140">
        <v>13</v>
      </c>
      <c r="P140">
        <v>17</v>
      </c>
    </row>
    <row r="141" spans="1:16">
      <c r="A141">
        <v>140</v>
      </c>
      <c r="B141" s="2">
        <v>40550</v>
      </c>
      <c r="C141">
        <v>1</v>
      </c>
      <c r="D141">
        <v>0</v>
      </c>
      <c r="E141">
        <v>1</v>
      </c>
      <c r="F141">
        <v>1</v>
      </c>
      <c r="G141" t="b">
        <v>0</v>
      </c>
      <c r="H141">
        <v>5</v>
      </c>
      <c r="I141">
        <v>2</v>
      </c>
      <c r="J141">
        <v>0.2</v>
      </c>
      <c r="K141">
        <v>0.19700000000000001</v>
      </c>
      <c r="L141">
        <v>0.69</v>
      </c>
      <c r="M141">
        <v>0.22389999999999999</v>
      </c>
      <c r="N141">
        <v>2</v>
      </c>
      <c r="O141">
        <v>5</v>
      </c>
      <c r="P141">
        <v>7</v>
      </c>
    </row>
    <row r="142" spans="1:16">
      <c r="A142">
        <v>141</v>
      </c>
      <c r="B142" s="2">
        <v>40550</v>
      </c>
      <c r="C142">
        <v>1</v>
      </c>
      <c r="D142">
        <v>0</v>
      </c>
      <c r="E142">
        <v>1</v>
      </c>
      <c r="F142">
        <v>2</v>
      </c>
      <c r="G142" t="b">
        <v>0</v>
      </c>
      <c r="H142">
        <v>5</v>
      </c>
      <c r="I142">
        <v>2</v>
      </c>
      <c r="J142">
        <v>0.2</v>
      </c>
      <c r="K142">
        <v>0.19700000000000001</v>
      </c>
      <c r="L142">
        <v>0.69</v>
      </c>
      <c r="M142">
        <v>0.22389999999999999</v>
      </c>
      <c r="N142">
        <v>0</v>
      </c>
      <c r="O142">
        <v>1</v>
      </c>
      <c r="P142">
        <v>1</v>
      </c>
    </row>
    <row r="143" spans="1:16">
      <c r="A143">
        <v>142</v>
      </c>
      <c r="B143" s="2">
        <v>40550</v>
      </c>
      <c r="C143">
        <v>1</v>
      </c>
      <c r="D143">
        <v>0</v>
      </c>
      <c r="E143">
        <v>1</v>
      </c>
      <c r="F143">
        <v>4</v>
      </c>
      <c r="G143" t="b">
        <v>0</v>
      </c>
      <c r="H143">
        <v>5</v>
      </c>
      <c r="I143">
        <v>2</v>
      </c>
      <c r="J143">
        <v>0.2</v>
      </c>
      <c r="K143">
        <v>0.21210000000000001</v>
      </c>
      <c r="L143">
        <v>0.69</v>
      </c>
      <c r="M143">
        <v>0.1343</v>
      </c>
      <c r="N143">
        <v>0</v>
      </c>
      <c r="O143">
        <v>1</v>
      </c>
      <c r="P143">
        <v>1</v>
      </c>
    </row>
    <row r="144" spans="1:16">
      <c r="A144">
        <v>143</v>
      </c>
      <c r="B144" s="2">
        <v>40550</v>
      </c>
      <c r="C144">
        <v>1</v>
      </c>
      <c r="D144">
        <v>0</v>
      </c>
      <c r="E144">
        <v>1</v>
      </c>
      <c r="F144">
        <v>5</v>
      </c>
      <c r="G144" t="b">
        <v>0</v>
      </c>
      <c r="H144">
        <v>5</v>
      </c>
      <c r="I144">
        <v>3</v>
      </c>
      <c r="J144">
        <v>0.22</v>
      </c>
      <c r="K144">
        <v>0.2727</v>
      </c>
      <c r="L144">
        <v>0.55000000000000004</v>
      </c>
      <c r="M144">
        <v>0</v>
      </c>
      <c r="N144">
        <v>0</v>
      </c>
      <c r="O144">
        <v>5</v>
      </c>
      <c r="P144">
        <v>5</v>
      </c>
    </row>
    <row r="145" spans="1:16">
      <c r="A145">
        <v>144</v>
      </c>
      <c r="B145" s="2">
        <v>40550</v>
      </c>
      <c r="C145">
        <v>1</v>
      </c>
      <c r="D145">
        <v>0</v>
      </c>
      <c r="E145">
        <v>1</v>
      </c>
      <c r="F145">
        <v>6</v>
      </c>
      <c r="G145" t="b">
        <v>0</v>
      </c>
      <c r="H145">
        <v>5</v>
      </c>
      <c r="I145">
        <v>2</v>
      </c>
      <c r="J145">
        <v>0.2</v>
      </c>
      <c r="K145">
        <v>0.2576</v>
      </c>
      <c r="L145">
        <v>0.69</v>
      </c>
      <c r="M145">
        <v>0</v>
      </c>
      <c r="N145">
        <v>8</v>
      </c>
      <c r="O145">
        <v>26</v>
      </c>
      <c r="P145">
        <v>34</v>
      </c>
    </row>
    <row r="146" spans="1:16">
      <c r="A146">
        <v>145</v>
      </c>
      <c r="B146" s="2">
        <v>40550</v>
      </c>
      <c r="C146">
        <v>1</v>
      </c>
      <c r="D146">
        <v>0</v>
      </c>
      <c r="E146">
        <v>1</v>
      </c>
      <c r="F146">
        <v>7</v>
      </c>
      <c r="G146" t="b">
        <v>0</v>
      </c>
      <c r="H146">
        <v>5</v>
      </c>
      <c r="I146">
        <v>1</v>
      </c>
      <c r="J146">
        <v>0.2</v>
      </c>
      <c r="K146">
        <v>0.21210000000000001</v>
      </c>
      <c r="L146">
        <v>0.69</v>
      </c>
      <c r="M146">
        <v>0.1343</v>
      </c>
      <c r="N146">
        <v>8</v>
      </c>
      <c r="O146">
        <v>76</v>
      </c>
      <c r="P146">
        <v>84</v>
      </c>
    </row>
    <row r="147" spans="1:16">
      <c r="A147">
        <v>146</v>
      </c>
      <c r="B147" s="2">
        <v>40550</v>
      </c>
      <c r="C147">
        <v>1</v>
      </c>
      <c r="D147">
        <v>0</v>
      </c>
      <c r="E147">
        <v>1</v>
      </c>
      <c r="F147">
        <v>8</v>
      </c>
      <c r="G147" t="b">
        <v>0</v>
      </c>
      <c r="H147">
        <v>5</v>
      </c>
      <c r="I147">
        <v>1</v>
      </c>
      <c r="J147">
        <v>0.2</v>
      </c>
      <c r="K147">
        <v>0.19700000000000001</v>
      </c>
      <c r="L147">
        <v>0.51</v>
      </c>
      <c r="M147">
        <v>0.25369999999999998</v>
      </c>
      <c r="N147">
        <v>20</v>
      </c>
      <c r="O147">
        <v>190</v>
      </c>
      <c r="P147">
        <v>210</v>
      </c>
    </row>
    <row r="148" spans="1:16">
      <c r="A148">
        <v>147</v>
      </c>
      <c r="B148" s="2">
        <v>40550</v>
      </c>
      <c r="C148">
        <v>1</v>
      </c>
      <c r="D148">
        <v>0</v>
      </c>
      <c r="E148">
        <v>1</v>
      </c>
      <c r="F148">
        <v>9</v>
      </c>
      <c r="G148" t="b">
        <v>0</v>
      </c>
      <c r="H148">
        <v>5</v>
      </c>
      <c r="I148">
        <v>1</v>
      </c>
      <c r="J148">
        <v>0.2</v>
      </c>
      <c r="K148">
        <v>0.18179999999999999</v>
      </c>
      <c r="L148">
        <v>0.47</v>
      </c>
      <c r="M148">
        <v>0.29849999999999999</v>
      </c>
      <c r="N148">
        <v>9</v>
      </c>
      <c r="O148">
        <v>125</v>
      </c>
      <c r="P148">
        <v>134</v>
      </c>
    </row>
    <row r="149" spans="1:16">
      <c r="A149">
        <v>148</v>
      </c>
      <c r="B149" s="2">
        <v>40550</v>
      </c>
      <c r="C149">
        <v>1</v>
      </c>
      <c r="D149">
        <v>0</v>
      </c>
      <c r="E149">
        <v>1</v>
      </c>
      <c r="F149">
        <v>10</v>
      </c>
      <c r="G149" t="b">
        <v>0</v>
      </c>
      <c r="H149">
        <v>5</v>
      </c>
      <c r="I149">
        <v>1</v>
      </c>
      <c r="J149">
        <v>0.22</v>
      </c>
      <c r="K149">
        <v>0.19700000000000001</v>
      </c>
      <c r="L149">
        <v>0.37</v>
      </c>
      <c r="M149">
        <v>0.32840000000000003</v>
      </c>
      <c r="N149">
        <v>16</v>
      </c>
      <c r="O149">
        <v>47</v>
      </c>
      <c r="P149">
        <v>63</v>
      </c>
    </row>
    <row r="150" spans="1:16">
      <c r="A150">
        <v>149</v>
      </c>
      <c r="B150" s="2">
        <v>40550</v>
      </c>
      <c r="C150">
        <v>1</v>
      </c>
      <c r="D150">
        <v>0</v>
      </c>
      <c r="E150">
        <v>1</v>
      </c>
      <c r="F150">
        <v>11</v>
      </c>
      <c r="G150" t="b">
        <v>0</v>
      </c>
      <c r="H150">
        <v>5</v>
      </c>
      <c r="I150">
        <v>2</v>
      </c>
      <c r="J150">
        <v>0.2</v>
      </c>
      <c r="K150">
        <v>0.19700000000000001</v>
      </c>
      <c r="L150">
        <v>0.4</v>
      </c>
      <c r="M150">
        <v>0.22389999999999999</v>
      </c>
      <c r="N150">
        <v>19</v>
      </c>
      <c r="O150">
        <v>48</v>
      </c>
      <c r="P150">
        <v>67</v>
      </c>
    </row>
    <row r="151" spans="1:16">
      <c r="A151">
        <v>150</v>
      </c>
      <c r="B151" s="2">
        <v>40550</v>
      </c>
      <c r="C151">
        <v>1</v>
      </c>
      <c r="D151">
        <v>0</v>
      </c>
      <c r="E151">
        <v>1</v>
      </c>
      <c r="F151">
        <v>12</v>
      </c>
      <c r="G151" t="b">
        <v>0</v>
      </c>
      <c r="H151">
        <v>5</v>
      </c>
      <c r="I151">
        <v>2</v>
      </c>
      <c r="J151">
        <v>0.2</v>
      </c>
      <c r="K151">
        <v>0.19700000000000001</v>
      </c>
      <c r="L151">
        <v>0.37</v>
      </c>
      <c r="M151">
        <v>0.25369999999999998</v>
      </c>
      <c r="N151">
        <v>9</v>
      </c>
      <c r="O151">
        <v>50</v>
      </c>
      <c r="P151">
        <v>59</v>
      </c>
    </row>
    <row r="152" spans="1:16">
      <c r="A152">
        <v>151</v>
      </c>
      <c r="B152" s="2">
        <v>40550</v>
      </c>
      <c r="C152">
        <v>1</v>
      </c>
      <c r="D152">
        <v>0</v>
      </c>
      <c r="E152">
        <v>1</v>
      </c>
      <c r="F152">
        <v>13</v>
      </c>
      <c r="G152" t="b">
        <v>0</v>
      </c>
      <c r="H152">
        <v>5</v>
      </c>
      <c r="I152">
        <v>2</v>
      </c>
      <c r="J152">
        <v>0.2</v>
      </c>
      <c r="K152">
        <v>0.18179999999999999</v>
      </c>
      <c r="L152">
        <v>0.37</v>
      </c>
      <c r="M152">
        <v>0.28360000000000002</v>
      </c>
      <c r="N152">
        <v>9</v>
      </c>
      <c r="O152">
        <v>64</v>
      </c>
      <c r="P152">
        <v>73</v>
      </c>
    </row>
    <row r="153" spans="1:16">
      <c r="A153">
        <v>152</v>
      </c>
      <c r="B153" s="2">
        <v>40550</v>
      </c>
      <c r="C153">
        <v>1</v>
      </c>
      <c r="D153">
        <v>0</v>
      </c>
      <c r="E153">
        <v>1</v>
      </c>
      <c r="F153">
        <v>14</v>
      </c>
      <c r="G153" t="b">
        <v>0</v>
      </c>
      <c r="H153">
        <v>5</v>
      </c>
      <c r="I153">
        <v>2</v>
      </c>
      <c r="J153">
        <v>0.2</v>
      </c>
      <c r="K153">
        <v>0.19700000000000001</v>
      </c>
      <c r="L153">
        <v>0.4</v>
      </c>
      <c r="M153">
        <v>0.25369999999999998</v>
      </c>
      <c r="N153">
        <v>7</v>
      </c>
      <c r="O153">
        <v>43</v>
      </c>
      <c r="P153">
        <v>50</v>
      </c>
    </row>
    <row r="154" spans="1:16">
      <c r="A154">
        <v>153</v>
      </c>
      <c r="B154" s="2">
        <v>40550</v>
      </c>
      <c r="C154">
        <v>1</v>
      </c>
      <c r="D154">
        <v>0</v>
      </c>
      <c r="E154">
        <v>1</v>
      </c>
      <c r="F154">
        <v>15</v>
      </c>
      <c r="G154" t="b">
        <v>0</v>
      </c>
      <c r="H154">
        <v>5</v>
      </c>
      <c r="I154">
        <v>2</v>
      </c>
      <c r="J154">
        <v>0.2</v>
      </c>
      <c r="K154">
        <v>0.21210000000000001</v>
      </c>
      <c r="L154">
        <v>0.37</v>
      </c>
      <c r="M154">
        <v>0.16420000000000001</v>
      </c>
      <c r="N154">
        <v>9</v>
      </c>
      <c r="O154">
        <v>63</v>
      </c>
      <c r="P154">
        <v>72</v>
      </c>
    </row>
    <row r="155" spans="1:16">
      <c r="A155">
        <v>154</v>
      </c>
      <c r="B155" s="2">
        <v>40550</v>
      </c>
      <c r="C155">
        <v>1</v>
      </c>
      <c r="D155">
        <v>0</v>
      </c>
      <c r="E155">
        <v>1</v>
      </c>
      <c r="F155">
        <v>16</v>
      </c>
      <c r="G155" t="b">
        <v>0</v>
      </c>
      <c r="H155">
        <v>5</v>
      </c>
      <c r="I155">
        <v>2</v>
      </c>
      <c r="J155">
        <v>0.2</v>
      </c>
      <c r="K155">
        <v>0.21210000000000001</v>
      </c>
      <c r="L155">
        <v>0.37</v>
      </c>
      <c r="M155">
        <v>0.16420000000000001</v>
      </c>
      <c r="N155">
        <v>5</v>
      </c>
      <c r="O155">
        <v>82</v>
      </c>
      <c r="P155">
        <v>87</v>
      </c>
    </row>
    <row r="156" spans="1:16">
      <c r="A156">
        <v>155</v>
      </c>
      <c r="B156" s="2">
        <v>40550</v>
      </c>
      <c r="C156">
        <v>1</v>
      </c>
      <c r="D156">
        <v>0</v>
      </c>
      <c r="E156">
        <v>1</v>
      </c>
      <c r="F156">
        <v>17</v>
      </c>
      <c r="G156" t="b">
        <v>0</v>
      </c>
      <c r="H156">
        <v>5</v>
      </c>
      <c r="I156">
        <v>2</v>
      </c>
      <c r="J156">
        <v>0.2</v>
      </c>
      <c r="K156">
        <v>0.2576</v>
      </c>
      <c r="L156">
        <v>0.37</v>
      </c>
      <c r="M156">
        <v>0</v>
      </c>
      <c r="N156">
        <v>9</v>
      </c>
      <c r="O156">
        <v>178</v>
      </c>
      <c r="P156">
        <v>187</v>
      </c>
    </row>
    <row r="157" spans="1:16">
      <c r="A157">
        <v>156</v>
      </c>
      <c r="B157" s="2">
        <v>40550</v>
      </c>
      <c r="C157">
        <v>1</v>
      </c>
      <c r="D157">
        <v>0</v>
      </c>
      <c r="E157">
        <v>1</v>
      </c>
      <c r="F157">
        <v>18</v>
      </c>
      <c r="G157" t="b">
        <v>0</v>
      </c>
      <c r="H157">
        <v>5</v>
      </c>
      <c r="I157">
        <v>1</v>
      </c>
      <c r="J157">
        <v>0.2</v>
      </c>
      <c r="K157">
        <v>0.2273</v>
      </c>
      <c r="L157">
        <v>0.4</v>
      </c>
      <c r="M157">
        <v>8.9599999999999999E-2</v>
      </c>
      <c r="N157">
        <v>7</v>
      </c>
      <c r="O157">
        <v>116</v>
      </c>
      <c r="P157">
        <v>123</v>
      </c>
    </row>
    <row r="158" spans="1:16">
      <c r="A158">
        <v>157</v>
      </c>
      <c r="B158" s="2">
        <v>40550</v>
      </c>
      <c r="C158">
        <v>1</v>
      </c>
      <c r="D158">
        <v>0</v>
      </c>
      <c r="E158">
        <v>1</v>
      </c>
      <c r="F158">
        <v>19</v>
      </c>
      <c r="G158" t="b">
        <v>0</v>
      </c>
      <c r="H158">
        <v>5</v>
      </c>
      <c r="I158">
        <v>1</v>
      </c>
      <c r="J158">
        <v>0.16</v>
      </c>
      <c r="K158">
        <v>0.19700000000000001</v>
      </c>
      <c r="L158">
        <v>0.55000000000000004</v>
      </c>
      <c r="M158">
        <v>8.9599999999999999E-2</v>
      </c>
      <c r="N158">
        <v>3</v>
      </c>
      <c r="O158">
        <v>92</v>
      </c>
      <c r="P158">
        <v>95</v>
      </c>
    </row>
    <row r="159" spans="1:16">
      <c r="A159">
        <v>158</v>
      </c>
      <c r="B159" s="2">
        <v>40550</v>
      </c>
      <c r="C159">
        <v>1</v>
      </c>
      <c r="D159">
        <v>0</v>
      </c>
      <c r="E159">
        <v>1</v>
      </c>
      <c r="F159">
        <v>20</v>
      </c>
      <c r="G159" t="b">
        <v>0</v>
      </c>
      <c r="H159">
        <v>5</v>
      </c>
      <c r="I159">
        <v>1</v>
      </c>
      <c r="J159">
        <v>0.18</v>
      </c>
      <c r="K159">
        <v>0.21210000000000001</v>
      </c>
      <c r="L159">
        <v>0.47</v>
      </c>
      <c r="M159">
        <v>0.1045</v>
      </c>
      <c r="N159">
        <v>1</v>
      </c>
      <c r="O159">
        <v>50</v>
      </c>
      <c r="P159">
        <v>51</v>
      </c>
    </row>
    <row r="160" spans="1:16">
      <c r="A160">
        <v>159</v>
      </c>
      <c r="B160" s="2">
        <v>40550</v>
      </c>
      <c r="C160">
        <v>1</v>
      </c>
      <c r="D160">
        <v>0</v>
      </c>
      <c r="E160">
        <v>1</v>
      </c>
      <c r="F160">
        <v>21</v>
      </c>
      <c r="G160" t="b">
        <v>0</v>
      </c>
      <c r="H160">
        <v>5</v>
      </c>
      <c r="I160">
        <v>1</v>
      </c>
      <c r="J160">
        <v>0.18</v>
      </c>
      <c r="K160">
        <v>0.19700000000000001</v>
      </c>
      <c r="L160">
        <v>0.47</v>
      </c>
      <c r="M160">
        <v>0.1343</v>
      </c>
      <c r="N160">
        <v>0</v>
      </c>
      <c r="O160">
        <v>39</v>
      </c>
      <c r="P160">
        <v>39</v>
      </c>
    </row>
    <row r="161" spans="1:16">
      <c r="A161">
        <v>160</v>
      </c>
      <c r="B161" s="2">
        <v>40550</v>
      </c>
      <c r="C161">
        <v>1</v>
      </c>
      <c r="D161">
        <v>0</v>
      </c>
      <c r="E161">
        <v>1</v>
      </c>
      <c r="F161">
        <v>22</v>
      </c>
      <c r="G161" t="b">
        <v>0</v>
      </c>
      <c r="H161">
        <v>5</v>
      </c>
      <c r="I161">
        <v>2</v>
      </c>
      <c r="J161">
        <v>0.18</v>
      </c>
      <c r="K161">
        <v>0.19700000000000001</v>
      </c>
      <c r="L161">
        <v>0.43</v>
      </c>
      <c r="M161">
        <v>0.16420000000000001</v>
      </c>
      <c r="N161">
        <v>2</v>
      </c>
      <c r="O161">
        <v>34</v>
      </c>
      <c r="P161">
        <v>36</v>
      </c>
    </row>
    <row r="162" spans="1:16">
      <c r="A162">
        <v>161</v>
      </c>
      <c r="B162" s="2">
        <v>40550</v>
      </c>
      <c r="C162">
        <v>1</v>
      </c>
      <c r="D162">
        <v>0</v>
      </c>
      <c r="E162">
        <v>1</v>
      </c>
      <c r="F162">
        <v>23</v>
      </c>
      <c r="G162" t="b">
        <v>0</v>
      </c>
      <c r="H162">
        <v>5</v>
      </c>
      <c r="I162">
        <v>2</v>
      </c>
      <c r="J162">
        <v>0.18</v>
      </c>
      <c r="K162">
        <v>0.19700000000000001</v>
      </c>
      <c r="L162">
        <v>0.51</v>
      </c>
      <c r="M162">
        <v>0.16420000000000001</v>
      </c>
      <c r="N162">
        <v>1</v>
      </c>
      <c r="O162">
        <v>14</v>
      </c>
      <c r="P162">
        <v>15</v>
      </c>
    </row>
    <row r="163" spans="1:16">
      <c r="A163">
        <v>162</v>
      </c>
      <c r="B163" s="2">
        <v>40551</v>
      </c>
      <c r="C163">
        <v>1</v>
      </c>
      <c r="D163">
        <v>0</v>
      </c>
      <c r="E163">
        <v>1</v>
      </c>
      <c r="F163">
        <v>0</v>
      </c>
      <c r="G163" t="b">
        <v>0</v>
      </c>
      <c r="H163">
        <v>6</v>
      </c>
      <c r="I163">
        <v>2</v>
      </c>
      <c r="J163">
        <v>0.18</v>
      </c>
      <c r="K163">
        <v>0.19700000000000001</v>
      </c>
      <c r="L163">
        <v>0.51</v>
      </c>
      <c r="M163">
        <v>0.16420000000000001</v>
      </c>
      <c r="N163">
        <v>1</v>
      </c>
      <c r="O163">
        <v>24</v>
      </c>
      <c r="P163">
        <v>25</v>
      </c>
    </row>
    <row r="164" spans="1:16">
      <c r="A164">
        <v>163</v>
      </c>
      <c r="B164" s="2">
        <v>40551</v>
      </c>
      <c r="C164">
        <v>1</v>
      </c>
      <c r="D164">
        <v>0</v>
      </c>
      <c r="E164">
        <v>1</v>
      </c>
      <c r="F164">
        <v>1</v>
      </c>
      <c r="G164" t="b">
        <v>0</v>
      </c>
      <c r="H164">
        <v>6</v>
      </c>
      <c r="I164">
        <v>2</v>
      </c>
      <c r="J164">
        <v>0.18</v>
      </c>
      <c r="K164">
        <v>0.21210000000000001</v>
      </c>
      <c r="L164">
        <v>0.55000000000000004</v>
      </c>
      <c r="M164">
        <v>8.9599999999999999E-2</v>
      </c>
      <c r="N164">
        <v>1</v>
      </c>
      <c r="O164">
        <v>15</v>
      </c>
      <c r="P164">
        <v>16</v>
      </c>
    </row>
    <row r="165" spans="1:16">
      <c r="A165">
        <v>164</v>
      </c>
      <c r="B165" s="2">
        <v>40551</v>
      </c>
      <c r="C165">
        <v>1</v>
      </c>
      <c r="D165">
        <v>0</v>
      </c>
      <c r="E165">
        <v>1</v>
      </c>
      <c r="F165">
        <v>2</v>
      </c>
      <c r="G165" t="b">
        <v>0</v>
      </c>
      <c r="H165">
        <v>6</v>
      </c>
      <c r="I165">
        <v>2</v>
      </c>
      <c r="J165">
        <v>0.18</v>
      </c>
      <c r="K165">
        <v>0.2424</v>
      </c>
      <c r="L165">
        <v>0.55000000000000004</v>
      </c>
      <c r="M165">
        <v>0</v>
      </c>
      <c r="N165">
        <v>3</v>
      </c>
      <c r="O165">
        <v>13</v>
      </c>
      <c r="P165">
        <v>16</v>
      </c>
    </row>
    <row r="166" spans="1:16">
      <c r="A166">
        <v>165</v>
      </c>
      <c r="B166" s="2">
        <v>40551</v>
      </c>
      <c r="C166">
        <v>1</v>
      </c>
      <c r="D166">
        <v>0</v>
      </c>
      <c r="E166">
        <v>1</v>
      </c>
      <c r="F166">
        <v>3</v>
      </c>
      <c r="G166" t="b">
        <v>0</v>
      </c>
      <c r="H166">
        <v>6</v>
      </c>
      <c r="I166">
        <v>3</v>
      </c>
      <c r="J166">
        <v>0.18</v>
      </c>
      <c r="K166">
        <v>0.19700000000000001</v>
      </c>
      <c r="L166">
        <v>0.55000000000000004</v>
      </c>
      <c r="M166">
        <v>0.16420000000000001</v>
      </c>
      <c r="N166">
        <v>0</v>
      </c>
      <c r="O166">
        <v>7</v>
      </c>
      <c r="P166">
        <v>7</v>
      </c>
    </row>
    <row r="167" spans="1:16">
      <c r="A167">
        <v>166</v>
      </c>
      <c r="B167" s="2">
        <v>40551</v>
      </c>
      <c r="C167">
        <v>1</v>
      </c>
      <c r="D167">
        <v>0</v>
      </c>
      <c r="E167">
        <v>1</v>
      </c>
      <c r="F167">
        <v>4</v>
      </c>
      <c r="G167" t="b">
        <v>0</v>
      </c>
      <c r="H167">
        <v>6</v>
      </c>
      <c r="I167">
        <v>3</v>
      </c>
      <c r="J167">
        <v>0.18</v>
      </c>
      <c r="K167">
        <v>0.19700000000000001</v>
      </c>
      <c r="L167">
        <v>0.55000000000000004</v>
      </c>
      <c r="M167">
        <v>0.16420000000000001</v>
      </c>
      <c r="N167">
        <v>0</v>
      </c>
      <c r="O167">
        <v>1</v>
      </c>
      <c r="P167">
        <v>1</v>
      </c>
    </row>
    <row r="168" spans="1:16">
      <c r="A168">
        <v>167</v>
      </c>
      <c r="B168" s="2">
        <v>40551</v>
      </c>
      <c r="C168">
        <v>1</v>
      </c>
      <c r="D168">
        <v>0</v>
      </c>
      <c r="E168">
        <v>1</v>
      </c>
      <c r="F168">
        <v>5</v>
      </c>
      <c r="G168" t="b">
        <v>0</v>
      </c>
      <c r="H168">
        <v>6</v>
      </c>
      <c r="I168">
        <v>2</v>
      </c>
      <c r="J168">
        <v>0.16</v>
      </c>
      <c r="K168">
        <v>0.16669999999999999</v>
      </c>
      <c r="L168">
        <v>0.74</v>
      </c>
      <c r="M168">
        <v>0.16420000000000001</v>
      </c>
      <c r="N168">
        <v>0</v>
      </c>
      <c r="O168">
        <v>5</v>
      </c>
      <c r="P168">
        <v>5</v>
      </c>
    </row>
    <row r="169" spans="1:16">
      <c r="A169">
        <v>168</v>
      </c>
      <c r="B169" s="2">
        <v>40551</v>
      </c>
      <c r="C169">
        <v>1</v>
      </c>
      <c r="D169">
        <v>0</v>
      </c>
      <c r="E169">
        <v>1</v>
      </c>
      <c r="F169">
        <v>6</v>
      </c>
      <c r="G169" t="b">
        <v>0</v>
      </c>
      <c r="H169">
        <v>6</v>
      </c>
      <c r="I169">
        <v>2</v>
      </c>
      <c r="J169">
        <v>0.16</v>
      </c>
      <c r="K169">
        <v>0.16669999999999999</v>
      </c>
      <c r="L169">
        <v>0.74</v>
      </c>
      <c r="M169">
        <v>0.16420000000000001</v>
      </c>
      <c r="N169">
        <v>0</v>
      </c>
      <c r="O169">
        <v>2</v>
      </c>
      <c r="P169">
        <v>2</v>
      </c>
    </row>
    <row r="170" spans="1:16">
      <c r="A170">
        <v>169</v>
      </c>
      <c r="B170" s="2">
        <v>40551</v>
      </c>
      <c r="C170">
        <v>1</v>
      </c>
      <c r="D170">
        <v>0</v>
      </c>
      <c r="E170">
        <v>1</v>
      </c>
      <c r="F170">
        <v>7</v>
      </c>
      <c r="G170" t="b">
        <v>0</v>
      </c>
      <c r="H170">
        <v>6</v>
      </c>
      <c r="I170">
        <v>2</v>
      </c>
      <c r="J170">
        <v>0.16</v>
      </c>
      <c r="K170">
        <v>0.18179999999999999</v>
      </c>
      <c r="L170">
        <v>0.74</v>
      </c>
      <c r="M170">
        <v>0.1045</v>
      </c>
      <c r="N170">
        <v>1</v>
      </c>
      <c r="O170">
        <v>8</v>
      </c>
      <c r="P170">
        <v>9</v>
      </c>
    </row>
    <row r="171" spans="1:16">
      <c r="A171">
        <v>170</v>
      </c>
      <c r="B171" s="2">
        <v>40551</v>
      </c>
      <c r="C171">
        <v>1</v>
      </c>
      <c r="D171">
        <v>0</v>
      </c>
      <c r="E171">
        <v>1</v>
      </c>
      <c r="F171">
        <v>8</v>
      </c>
      <c r="G171" t="b">
        <v>0</v>
      </c>
      <c r="H171">
        <v>6</v>
      </c>
      <c r="I171">
        <v>3</v>
      </c>
      <c r="J171">
        <v>0.16</v>
      </c>
      <c r="K171">
        <v>0.18179999999999999</v>
      </c>
      <c r="L171">
        <v>0.93</v>
      </c>
      <c r="M171">
        <v>0.1045</v>
      </c>
      <c r="N171">
        <v>0</v>
      </c>
      <c r="O171">
        <v>15</v>
      </c>
      <c r="P171">
        <v>15</v>
      </c>
    </row>
    <row r="172" spans="1:16">
      <c r="A172">
        <v>171</v>
      </c>
      <c r="B172" s="2">
        <v>40551</v>
      </c>
      <c r="C172">
        <v>1</v>
      </c>
      <c r="D172">
        <v>0</v>
      </c>
      <c r="E172">
        <v>1</v>
      </c>
      <c r="F172">
        <v>9</v>
      </c>
      <c r="G172" t="b">
        <v>0</v>
      </c>
      <c r="H172">
        <v>6</v>
      </c>
      <c r="I172">
        <v>3</v>
      </c>
      <c r="J172">
        <v>0.16</v>
      </c>
      <c r="K172">
        <v>0.18179999999999999</v>
      </c>
      <c r="L172">
        <v>0.93</v>
      </c>
      <c r="M172">
        <v>0.1045</v>
      </c>
      <c r="N172">
        <v>0</v>
      </c>
      <c r="O172">
        <v>20</v>
      </c>
      <c r="P172">
        <v>20</v>
      </c>
    </row>
    <row r="173" spans="1:16">
      <c r="A173">
        <v>172</v>
      </c>
      <c r="B173" s="2">
        <v>40551</v>
      </c>
      <c r="C173">
        <v>1</v>
      </c>
      <c r="D173">
        <v>0</v>
      </c>
      <c r="E173">
        <v>1</v>
      </c>
      <c r="F173">
        <v>10</v>
      </c>
      <c r="G173" t="b">
        <v>0</v>
      </c>
      <c r="H173">
        <v>6</v>
      </c>
      <c r="I173">
        <v>2</v>
      </c>
      <c r="J173">
        <v>0.18</v>
      </c>
      <c r="K173">
        <v>0.19700000000000001</v>
      </c>
      <c r="L173">
        <v>0.8</v>
      </c>
      <c r="M173">
        <v>0.16420000000000001</v>
      </c>
      <c r="N173">
        <v>5</v>
      </c>
      <c r="O173">
        <v>56</v>
      </c>
      <c r="P173">
        <v>61</v>
      </c>
    </row>
    <row r="174" spans="1:16">
      <c r="A174">
        <v>173</v>
      </c>
      <c r="B174" s="2">
        <v>40551</v>
      </c>
      <c r="C174">
        <v>1</v>
      </c>
      <c r="D174">
        <v>0</v>
      </c>
      <c r="E174">
        <v>1</v>
      </c>
      <c r="F174">
        <v>11</v>
      </c>
      <c r="G174" t="b">
        <v>0</v>
      </c>
      <c r="H174">
        <v>6</v>
      </c>
      <c r="I174">
        <v>2</v>
      </c>
      <c r="J174">
        <v>0.2</v>
      </c>
      <c r="K174">
        <v>0.18179999999999999</v>
      </c>
      <c r="L174">
        <v>0.69</v>
      </c>
      <c r="M174">
        <v>0.3881</v>
      </c>
      <c r="N174">
        <v>2</v>
      </c>
      <c r="O174">
        <v>60</v>
      </c>
      <c r="P174">
        <v>62</v>
      </c>
    </row>
    <row r="175" spans="1:16">
      <c r="A175">
        <v>174</v>
      </c>
      <c r="B175" s="2">
        <v>40551</v>
      </c>
      <c r="C175">
        <v>1</v>
      </c>
      <c r="D175">
        <v>0</v>
      </c>
      <c r="E175">
        <v>1</v>
      </c>
      <c r="F175">
        <v>12</v>
      </c>
      <c r="G175" t="b">
        <v>0</v>
      </c>
      <c r="H175">
        <v>6</v>
      </c>
      <c r="I175">
        <v>2</v>
      </c>
      <c r="J175">
        <v>0.2</v>
      </c>
      <c r="K175">
        <v>0.18179999999999999</v>
      </c>
      <c r="L175">
        <v>0.59</v>
      </c>
      <c r="M175">
        <v>0.35820000000000002</v>
      </c>
      <c r="N175">
        <v>8</v>
      </c>
      <c r="O175">
        <v>90</v>
      </c>
      <c r="P175">
        <v>98</v>
      </c>
    </row>
    <row r="176" spans="1:16">
      <c r="A176">
        <v>175</v>
      </c>
      <c r="B176" s="2">
        <v>40551</v>
      </c>
      <c r="C176">
        <v>1</v>
      </c>
      <c r="D176">
        <v>0</v>
      </c>
      <c r="E176">
        <v>1</v>
      </c>
      <c r="F176">
        <v>13</v>
      </c>
      <c r="G176" t="b">
        <v>0</v>
      </c>
      <c r="H176">
        <v>6</v>
      </c>
      <c r="I176">
        <v>1</v>
      </c>
      <c r="J176">
        <v>0.2</v>
      </c>
      <c r="K176">
        <v>0.18179999999999999</v>
      </c>
      <c r="L176">
        <v>0.44</v>
      </c>
      <c r="M176">
        <v>0.32840000000000003</v>
      </c>
      <c r="N176">
        <v>7</v>
      </c>
      <c r="O176">
        <v>95</v>
      </c>
      <c r="P176">
        <v>102</v>
      </c>
    </row>
    <row r="177" spans="1:16">
      <c r="A177">
        <v>176</v>
      </c>
      <c r="B177" s="2">
        <v>40551</v>
      </c>
      <c r="C177">
        <v>1</v>
      </c>
      <c r="D177">
        <v>0</v>
      </c>
      <c r="E177">
        <v>1</v>
      </c>
      <c r="F177">
        <v>14</v>
      </c>
      <c r="G177" t="b">
        <v>0</v>
      </c>
      <c r="H177">
        <v>6</v>
      </c>
      <c r="I177">
        <v>1</v>
      </c>
      <c r="J177">
        <v>0.2</v>
      </c>
      <c r="K177">
        <v>0.16669999999999999</v>
      </c>
      <c r="L177">
        <v>0.32</v>
      </c>
      <c r="M177">
        <v>0.49249999999999999</v>
      </c>
      <c r="N177">
        <v>12</v>
      </c>
      <c r="O177">
        <v>83</v>
      </c>
      <c r="P177">
        <v>95</v>
      </c>
    </row>
    <row r="178" spans="1:16">
      <c r="A178">
        <v>177</v>
      </c>
      <c r="B178" s="2">
        <v>40551</v>
      </c>
      <c r="C178">
        <v>1</v>
      </c>
      <c r="D178">
        <v>0</v>
      </c>
      <c r="E178">
        <v>1</v>
      </c>
      <c r="F178">
        <v>15</v>
      </c>
      <c r="G178" t="b">
        <v>0</v>
      </c>
      <c r="H178">
        <v>6</v>
      </c>
      <c r="I178">
        <v>1</v>
      </c>
      <c r="J178">
        <v>0.2</v>
      </c>
      <c r="K178">
        <v>0.16669999999999999</v>
      </c>
      <c r="L178">
        <v>0.32</v>
      </c>
      <c r="M178">
        <v>0.44779999999999998</v>
      </c>
      <c r="N178">
        <v>5</v>
      </c>
      <c r="O178">
        <v>69</v>
      </c>
      <c r="P178">
        <v>74</v>
      </c>
    </row>
    <row r="179" spans="1:16">
      <c r="A179">
        <v>178</v>
      </c>
      <c r="B179" s="2">
        <v>40551</v>
      </c>
      <c r="C179">
        <v>1</v>
      </c>
      <c r="D179">
        <v>0</v>
      </c>
      <c r="E179">
        <v>1</v>
      </c>
      <c r="F179">
        <v>16</v>
      </c>
      <c r="G179" t="b">
        <v>0</v>
      </c>
      <c r="H179">
        <v>6</v>
      </c>
      <c r="I179">
        <v>1</v>
      </c>
      <c r="J179">
        <v>0.18</v>
      </c>
      <c r="K179">
        <v>0.13639999999999999</v>
      </c>
      <c r="L179">
        <v>0.28999999999999998</v>
      </c>
      <c r="M179">
        <v>0.44779999999999998</v>
      </c>
      <c r="N179">
        <v>8</v>
      </c>
      <c r="O179">
        <v>68</v>
      </c>
      <c r="P179">
        <v>76</v>
      </c>
    </row>
    <row r="180" spans="1:16">
      <c r="A180">
        <v>179</v>
      </c>
      <c r="B180" s="2">
        <v>40551</v>
      </c>
      <c r="C180">
        <v>1</v>
      </c>
      <c r="D180">
        <v>0</v>
      </c>
      <c r="E180">
        <v>1</v>
      </c>
      <c r="F180">
        <v>17</v>
      </c>
      <c r="G180" t="b">
        <v>0</v>
      </c>
      <c r="H180">
        <v>6</v>
      </c>
      <c r="I180">
        <v>1</v>
      </c>
      <c r="J180">
        <v>0.16</v>
      </c>
      <c r="K180">
        <v>0.1212</v>
      </c>
      <c r="L180">
        <v>0.37</v>
      </c>
      <c r="M180">
        <v>0.55220000000000002</v>
      </c>
      <c r="N180">
        <v>5</v>
      </c>
      <c r="O180">
        <v>64</v>
      </c>
      <c r="P180">
        <v>69</v>
      </c>
    </row>
    <row r="181" spans="1:16">
      <c r="A181">
        <v>180</v>
      </c>
      <c r="B181" s="2">
        <v>40551</v>
      </c>
      <c r="C181">
        <v>1</v>
      </c>
      <c r="D181">
        <v>0</v>
      </c>
      <c r="E181">
        <v>1</v>
      </c>
      <c r="F181">
        <v>18</v>
      </c>
      <c r="G181" t="b">
        <v>0</v>
      </c>
      <c r="H181">
        <v>6</v>
      </c>
      <c r="I181">
        <v>1</v>
      </c>
      <c r="J181">
        <v>0.14000000000000001</v>
      </c>
      <c r="K181">
        <v>0.1212</v>
      </c>
      <c r="L181">
        <v>0.39</v>
      </c>
      <c r="M181">
        <v>0.29849999999999999</v>
      </c>
      <c r="N181">
        <v>3</v>
      </c>
      <c r="O181">
        <v>52</v>
      </c>
      <c r="P181">
        <v>55</v>
      </c>
    </row>
    <row r="182" spans="1:16">
      <c r="A182">
        <v>181</v>
      </c>
      <c r="B182" s="2">
        <v>40551</v>
      </c>
      <c r="C182">
        <v>1</v>
      </c>
      <c r="D182">
        <v>0</v>
      </c>
      <c r="E182">
        <v>1</v>
      </c>
      <c r="F182">
        <v>19</v>
      </c>
      <c r="G182" t="b">
        <v>0</v>
      </c>
      <c r="H182">
        <v>6</v>
      </c>
      <c r="I182">
        <v>1</v>
      </c>
      <c r="J182">
        <v>0.14000000000000001</v>
      </c>
      <c r="K182">
        <v>0.1212</v>
      </c>
      <c r="L182">
        <v>0.36</v>
      </c>
      <c r="M182">
        <v>0.25369999999999998</v>
      </c>
      <c r="N182">
        <v>4</v>
      </c>
      <c r="O182">
        <v>26</v>
      </c>
      <c r="P182">
        <v>30</v>
      </c>
    </row>
    <row r="183" spans="1:16">
      <c r="A183">
        <v>182</v>
      </c>
      <c r="B183" s="2">
        <v>40551</v>
      </c>
      <c r="C183">
        <v>1</v>
      </c>
      <c r="D183">
        <v>0</v>
      </c>
      <c r="E183">
        <v>1</v>
      </c>
      <c r="F183">
        <v>20</v>
      </c>
      <c r="G183" t="b">
        <v>0</v>
      </c>
      <c r="H183">
        <v>6</v>
      </c>
      <c r="I183">
        <v>1</v>
      </c>
      <c r="J183">
        <v>0.12</v>
      </c>
      <c r="K183">
        <v>0.1212</v>
      </c>
      <c r="L183">
        <v>0.36</v>
      </c>
      <c r="M183">
        <v>0.25369999999999998</v>
      </c>
      <c r="N183">
        <v>0</v>
      </c>
      <c r="O183">
        <v>28</v>
      </c>
      <c r="P183">
        <v>28</v>
      </c>
    </row>
    <row r="184" spans="1:16">
      <c r="A184">
        <v>183</v>
      </c>
      <c r="B184" s="2">
        <v>40551</v>
      </c>
      <c r="C184">
        <v>1</v>
      </c>
      <c r="D184">
        <v>0</v>
      </c>
      <c r="E184">
        <v>1</v>
      </c>
      <c r="F184">
        <v>21</v>
      </c>
      <c r="G184" t="b">
        <v>0</v>
      </c>
      <c r="H184">
        <v>6</v>
      </c>
      <c r="I184">
        <v>1</v>
      </c>
      <c r="J184">
        <v>0.12</v>
      </c>
      <c r="K184">
        <v>0.1061</v>
      </c>
      <c r="L184">
        <v>0.39</v>
      </c>
      <c r="M184">
        <v>0.35820000000000002</v>
      </c>
      <c r="N184">
        <v>2</v>
      </c>
      <c r="O184">
        <v>35</v>
      </c>
      <c r="P184">
        <v>37</v>
      </c>
    </row>
    <row r="185" spans="1:16">
      <c r="A185">
        <v>184</v>
      </c>
      <c r="B185" s="2">
        <v>40551</v>
      </c>
      <c r="C185">
        <v>1</v>
      </c>
      <c r="D185">
        <v>0</v>
      </c>
      <c r="E185">
        <v>1</v>
      </c>
      <c r="F185">
        <v>22</v>
      </c>
      <c r="G185" t="b">
        <v>0</v>
      </c>
      <c r="H185">
        <v>6</v>
      </c>
      <c r="I185">
        <v>1</v>
      </c>
      <c r="J185">
        <v>0.12</v>
      </c>
      <c r="K185">
        <v>0.1061</v>
      </c>
      <c r="L185">
        <v>0.36</v>
      </c>
      <c r="M185">
        <v>0.3881</v>
      </c>
      <c r="N185">
        <v>1</v>
      </c>
      <c r="O185">
        <v>33</v>
      </c>
      <c r="P185">
        <v>34</v>
      </c>
    </row>
    <row r="186" spans="1:16">
      <c r="A186">
        <v>185</v>
      </c>
      <c r="B186" s="2">
        <v>40551</v>
      </c>
      <c r="C186">
        <v>1</v>
      </c>
      <c r="D186">
        <v>0</v>
      </c>
      <c r="E186">
        <v>1</v>
      </c>
      <c r="F186">
        <v>23</v>
      </c>
      <c r="G186" t="b">
        <v>0</v>
      </c>
      <c r="H186">
        <v>6</v>
      </c>
      <c r="I186">
        <v>1</v>
      </c>
      <c r="J186">
        <v>0.1</v>
      </c>
      <c r="K186">
        <v>6.0600000000000001E-2</v>
      </c>
      <c r="L186">
        <v>0.39</v>
      </c>
      <c r="M186">
        <v>0.44779999999999998</v>
      </c>
      <c r="N186">
        <v>0</v>
      </c>
      <c r="O186">
        <v>22</v>
      </c>
      <c r="P186">
        <v>22</v>
      </c>
    </row>
    <row r="187" spans="1:16">
      <c r="A187">
        <v>186</v>
      </c>
      <c r="B187" s="2">
        <v>40552</v>
      </c>
      <c r="C187">
        <v>1</v>
      </c>
      <c r="D187">
        <v>0</v>
      </c>
      <c r="E187">
        <v>1</v>
      </c>
      <c r="F187">
        <v>0</v>
      </c>
      <c r="G187" t="b">
        <v>0</v>
      </c>
      <c r="H187">
        <v>0</v>
      </c>
      <c r="I187">
        <v>1</v>
      </c>
      <c r="J187">
        <v>0.1</v>
      </c>
      <c r="K187">
        <v>7.5800000000000006E-2</v>
      </c>
      <c r="L187">
        <v>0.42</v>
      </c>
      <c r="M187">
        <v>0.3881</v>
      </c>
      <c r="N187">
        <v>1</v>
      </c>
      <c r="O187">
        <v>24</v>
      </c>
      <c r="P187">
        <v>25</v>
      </c>
    </row>
    <row r="188" spans="1:16">
      <c r="A188">
        <v>187</v>
      </c>
      <c r="B188" s="2">
        <v>40552</v>
      </c>
      <c r="C188">
        <v>1</v>
      </c>
      <c r="D188">
        <v>0</v>
      </c>
      <c r="E188">
        <v>1</v>
      </c>
      <c r="F188">
        <v>1</v>
      </c>
      <c r="G188" t="b">
        <v>0</v>
      </c>
      <c r="H188">
        <v>0</v>
      </c>
      <c r="I188">
        <v>1</v>
      </c>
      <c r="J188">
        <v>0.1</v>
      </c>
      <c r="K188">
        <v>6.0600000000000001E-2</v>
      </c>
      <c r="L188">
        <v>0.42</v>
      </c>
      <c r="M188">
        <v>0.4627</v>
      </c>
      <c r="N188">
        <v>0</v>
      </c>
      <c r="O188">
        <v>12</v>
      </c>
      <c r="P188">
        <v>12</v>
      </c>
    </row>
    <row r="189" spans="1:16">
      <c r="A189">
        <v>188</v>
      </c>
      <c r="B189" s="2">
        <v>40552</v>
      </c>
      <c r="C189">
        <v>1</v>
      </c>
      <c r="D189">
        <v>0</v>
      </c>
      <c r="E189">
        <v>1</v>
      </c>
      <c r="F189">
        <v>2</v>
      </c>
      <c r="G189" t="b">
        <v>0</v>
      </c>
      <c r="H189">
        <v>0</v>
      </c>
      <c r="I189">
        <v>1</v>
      </c>
      <c r="J189">
        <v>0.1</v>
      </c>
      <c r="K189">
        <v>6.0600000000000001E-2</v>
      </c>
      <c r="L189">
        <v>0.46</v>
      </c>
      <c r="M189">
        <v>0.4627</v>
      </c>
      <c r="N189">
        <v>0</v>
      </c>
      <c r="O189">
        <v>11</v>
      </c>
      <c r="P189">
        <v>11</v>
      </c>
    </row>
    <row r="190" spans="1:16">
      <c r="A190">
        <v>189</v>
      </c>
      <c r="B190" s="2">
        <v>40552</v>
      </c>
      <c r="C190">
        <v>1</v>
      </c>
      <c r="D190">
        <v>0</v>
      </c>
      <c r="E190">
        <v>1</v>
      </c>
      <c r="F190">
        <v>3</v>
      </c>
      <c r="G190" t="b">
        <v>0</v>
      </c>
      <c r="H190">
        <v>0</v>
      </c>
      <c r="I190">
        <v>1</v>
      </c>
      <c r="J190">
        <v>0.1</v>
      </c>
      <c r="K190">
        <v>7.5800000000000006E-2</v>
      </c>
      <c r="L190">
        <v>0.46</v>
      </c>
      <c r="M190">
        <v>0.41789999999999999</v>
      </c>
      <c r="N190">
        <v>0</v>
      </c>
      <c r="O190">
        <v>4</v>
      </c>
      <c r="P190">
        <v>4</v>
      </c>
    </row>
    <row r="191" spans="1:16">
      <c r="A191">
        <v>190</v>
      </c>
      <c r="B191" s="2">
        <v>40552</v>
      </c>
      <c r="C191">
        <v>1</v>
      </c>
      <c r="D191">
        <v>0</v>
      </c>
      <c r="E191">
        <v>1</v>
      </c>
      <c r="F191">
        <v>4</v>
      </c>
      <c r="G191" t="b">
        <v>0</v>
      </c>
      <c r="H191">
        <v>0</v>
      </c>
      <c r="I191">
        <v>1</v>
      </c>
      <c r="J191">
        <v>0.08</v>
      </c>
      <c r="K191">
        <v>9.0899999999999995E-2</v>
      </c>
      <c r="L191">
        <v>0.53</v>
      </c>
      <c r="M191">
        <v>0.19400000000000001</v>
      </c>
      <c r="N191">
        <v>0</v>
      </c>
      <c r="O191">
        <v>1</v>
      </c>
      <c r="P191">
        <v>1</v>
      </c>
    </row>
    <row r="192" spans="1:16">
      <c r="A192">
        <v>191</v>
      </c>
      <c r="B192" s="2">
        <v>40552</v>
      </c>
      <c r="C192">
        <v>1</v>
      </c>
      <c r="D192">
        <v>0</v>
      </c>
      <c r="E192">
        <v>1</v>
      </c>
      <c r="F192">
        <v>5</v>
      </c>
      <c r="G192" t="b">
        <v>0</v>
      </c>
      <c r="H192">
        <v>0</v>
      </c>
      <c r="I192">
        <v>1</v>
      </c>
      <c r="J192">
        <v>0.08</v>
      </c>
      <c r="K192">
        <v>9.0899999999999995E-2</v>
      </c>
      <c r="L192">
        <v>0.53</v>
      </c>
      <c r="M192">
        <v>0.19400000000000001</v>
      </c>
      <c r="N192">
        <v>0</v>
      </c>
      <c r="O192">
        <v>1</v>
      </c>
      <c r="P192">
        <v>1</v>
      </c>
    </row>
    <row r="193" spans="1:16">
      <c r="A193">
        <v>192</v>
      </c>
      <c r="B193" s="2">
        <v>40552</v>
      </c>
      <c r="C193">
        <v>1</v>
      </c>
      <c r="D193">
        <v>0</v>
      </c>
      <c r="E193">
        <v>1</v>
      </c>
      <c r="F193">
        <v>6</v>
      </c>
      <c r="G193" t="b">
        <v>0</v>
      </c>
      <c r="H193">
        <v>0</v>
      </c>
      <c r="I193">
        <v>1</v>
      </c>
      <c r="J193">
        <v>0.1</v>
      </c>
      <c r="K193">
        <v>9.0899999999999995E-2</v>
      </c>
      <c r="L193">
        <v>0.49</v>
      </c>
      <c r="M193">
        <v>0.28360000000000002</v>
      </c>
      <c r="N193">
        <v>0</v>
      </c>
      <c r="O193">
        <v>1</v>
      </c>
      <c r="P193">
        <v>1</v>
      </c>
    </row>
    <row r="194" spans="1:16">
      <c r="A194">
        <v>193</v>
      </c>
      <c r="B194" s="2">
        <v>40552</v>
      </c>
      <c r="C194">
        <v>1</v>
      </c>
      <c r="D194">
        <v>0</v>
      </c>
      <c r="E194">
        <v>1</v>
      </c>
      <c r="F194">
        <v>7</v>
      </c>
      <c r="G194" t="b">
        <v>0</v>
      </c>
      <c r="H194">
        <v>0</v>
      </c>
      <c r="I194">
        <v>1</v>
      </c>
      <c r="J194">
        <v>0.08</v>
      </c>
      <c r="K194">
        <v>9.0899999999999995E-2</v>
      </c>
      <c r="L194">
        <v>0.53</v>
      </c>
      <c r="M194">
        <v>0.19400000000000001</v>
      </c>
      <c r="N194">
        <v>1</v>
      </c>
      <c r="O194">
        <v>5</v>
      </c>
      <c r="P194">
        <v>6</v>
      </c>
    </row>
    <row r="195" spans="1:16">
      <c r="A195">
        <v>194</v>
      </c>
      <c r="B195" s="2">
        <v>40552</v>
      </c>
      <c r="C195">
        <v>1</v>
      </c>
      <c r="D195">
        <v>0</v>
      </c>
      <c r="E195">
        <v>1</v>
      </c>
      <c r="F195">
        <v>8</v>
      </c>
      <c r="G195" t="b">
        <v>0</v>
      </c>
      <c r="H195">
        <v>0</v>
      </c>
      <c r="I195">
        <v>1</v>
      </c>
      <c r="J195">
        <v>0.1</v>
      </c>
      <c r="K195">
        <v>9.0899999999999995E-2</v>
      </c>
      <c r="L195">
        <v>0.49</v>
      </c>
      <c r="M195">
        <v>0.28360000000000002</v>
      </c>
      <c r="N195">
        <v>0</v>
      </c>
      <c r="O195">
        <v>10</v>
      </c>
      <c r="P195">
        <v>10</v>
      </c>
    </row>
    <row r="196" spans="1:16">
      <c r="A196">
        <v>195</v>
      </c>
      <c r="B196" s="2">
        <v>40552</v>
      </c>
      <c r="C196">
        <v>1</v>
      </c>
      <c r="D196">
        <v>0</v>
      </c>
      <c r="E196">
        <v>1</v>
      </c>
      <c r="F196">
        <v>9</v>
      </c>
      <c r="G196" t="b">
        <v>0</v>
      </c>
      <c r="H196">
        <v>0</v>
      </c>
      <c r="I196">
        <v>1</v>
      </c>
      <c r="J196">
        <v>0.12</v>
      </c>
      <c r="K196">
        <v>7.5800000000000006E-2</v>
      </c>
      <c r="L196">
        <v>0.46</v>
      </c>
      <c r="M196">
        <v>0.52239999999999998</v>
      </c>
      <c r="N196">
        <v>0</v>
      </c>
      <c r="O196">
        <v>19</v>
      </c>
      <c r="P196">
        <v>19</v>
      </c>
    </row>
    <row r="197" spans="1:16">
      <c r="A197">
        <v>196</v>
      </c>
      <c r="B197" s="2">
        <v>40552</v>
      </c>
      <c r="C197">
        <v>1</v>
      </c>
      <c r="D197">
        <v>0</v>
      </c>
      <c r="E197">
        <v>1</v>
      </c>
      <c r="F197">
        <v>10</v>
      </c>
      <c r="G197" t="b">
        <v>0</v>
      </c>
      <c r="H197">
        <v>0</v>
      </c>
      <c r="I197">
        <v>1</v>
      </c>
      <c r="J197">
        <v>0.14000000000000001</v>
      </c>
      <c r="K197">
        <v>0.1061</v>
      </c>
      <c r="L197">
        <v>0.43</v>
      </c>
      <c r="M197">
        <v>0.3881</v>
      </c>
      <c r="N197">
        <v>0</v>
      </c>
      <c r="O197">
        <v>49</v>
      </c>
      <c r="P197">
        <v>49</v>
      </c>
    </row>
    <row r="198" spans="1:16">
      <c r="A198">
        <v>197</v>
      </c>
      <c r="B198" s="2">
        <v>40552</v>
      </c>
      <c r="C198">
        <v>1</v>
      </c>
      <c r="D198">
        <v>0</v>
      </c>
      <c r="E198">
        <v>1</v>
      </c>
      <c r="F198">
        <v>11</v>
      </c>
      <c r="G198" t="b">
        <v>0</v>
      </c>
      <c r="H198">
        <v>0</v>
      </c>
      <c r="I198">
        <v>1</v>
      </c>
      <c r="J198">
        <v>0.16</v>
      </c>
      <c r="K198">
        <v>0.1212</v>
      </c>
      <c r="L198">
        <v>0.4</v>
      </c>
      <c r="M198">
        <v>0.52239999999999998</v>
      </c>
      <c r="N198">
        <v>2</v>
      </c>
      <c r="O198">
        <v>47</v>
      </c>
      <c r="P198">
        <v>49</v>
      </c>
    </row>
    <row r="199" spans="1:16">
      <c r="A199">
        <v>198</v>
      </c>
      <c r="B199" s="2">
        <v>40552</v>
      </c>
      <c r="C199">
        <v>1</v>
      </c>
      <c r="D199">
        <v>0</v>
      </c>
      <c r="E199">
        <v>1</v>
      </c>
      <c r="F199">
        <v>12</v>
      </c>
      <c r="G199" t="b">
        <v>0</v>
      </c>
      <c r="H199">
        <v>0</v>
      </c>
      <c r="I199">
        <v>1</v>
      </c>
      <c r="J199">
        <v>0.18</v>
      </c>
      <c r="K199">
        <v>0.13639999999999999</v>
      </c>
      <c r="L199">
        <v>0.37</v>
      </c>
      <c r="M199">
        <v>0.44779999999999998</v>
      </c>
      <c r="N199">
        <v>4</v>
      </c>
      <c r="O199">
        <v>79</v>
      </c>
      <c r="P199">
        <v>83</v>
      </c>
    </row>
    <row r="200" spans="1:16">
      <c r="A200">
        <v>199</v>
      </c>
      <c r="B200" s="2">
        <v>40552</v>
      </c>
      <c r="C200">
        <v>1</v>
      </c>
      <c r="D200">
        <v>0</v>
      </c>
      <c r="E200">
        <v>1</v>
      </c>
      <c r="F200">
        <v>13</v>
      </c>
      <c r="G200" t="b">
        <v>0</v>
      </c>
      <c r="H200">
        <v>0</v>
      </c>
      <c r="I200">
        <v>1</v>
      </c>
      <c r="J200">
        <v>0.2</v>
      </c>
      <c r="K200">
        <v>0.16669999999999999</v>
      </c>
      <c r="L200">
        <v>0.34</v>
      </c>
      <c r="M200">
        <v>0.44779999999999998</v>
      </c>
      <c r="N200">
        <v>6</v>
      </c>
      <c r="O200">
        <v>69</v>
      </c>
      <c r="P200">
        <v>75</v>
      </c>
    </row>
    <row r="201" spans="1:16">
      <c r="A201">
        <v>200</v>
      </c>
      <c r="B201" s="2">
        <v>40552</v>
      </c>
      <c r="C201">
        <v>1</v>
      </c>
      <c r="D201">
        <v>0</v>
      </c>
      <c r="E201">
        <v>1</v>
      </c>
      <c r="F201">
        <v>14</v>
      </c>
      <c r="G201" t="b">
        <v>0</v>
      </c>
      <c r="H201">
        <v>0</v>
      </c>
      <c r="I201">
        <v>1</v>
      </c>
      <c r="J201">
        <v>0.22</v>
      </c>
      <c r="K201">
        <v>0.18179999999999999</v>
      </c>
      <c r="L201">
        <v>0.32</v>
      </c>
      <c r="M201">
        <v>0.4627</v>
      </c>
      <c r="N201">
        <v>8</v>
      </c>
      <c r="O201">
        <v>64</v>
      </c>
      <c r="P201">
        <v>72</v>
      </c>
    </row>
    <row r="202" spans="1:16">
      <c r="A202">
        <v>201</v>
      </c>
      <c r="B202" s="2">
        <v>40552</v>
      </c>
      <c r="C202">
        <v>1</v>
      </c>
      <c r="D202">
        <v>0</v>
      </c>
      <c r="E202">
        <v>1</v>
      </c>
      <c r="F202">
        <v>15</v>
      </c>
      <c r="G202" t="b">
        <v>0</v>
      </c>
      <c r="H202">
        <v>0</v>
      </c>
      <c r="I202">
        <v>1</v>
      </c>
      <c r="J202">
        <v>0.22</v>
      </c>
      <c r="K202">
        <v>0.19700000000000001</v>
      </c>
      <c r="L202">
        <v>0.35</v>
      </c>
      <c r="M202">
        <v>0.35820000000000002</v>
      </c>
      <c r="N202">
        <v>5</v>
      </c>
      <c r="O202">
        <v>77</v>
      </c>
      <c r="P202">
        <v>82</v>
      </c>
    </row>
    <row r="203" spans="1:16">
      <c r="A203">
        <v>202</v>
      </c>
      <c r="B203" s="2">
        <v>40552</v>
      </c>
      <c r="C203">
        <v>1</v>
      </c>
      <c r="D203">
        <v>0</v>
      </c>
      <c r="E203">
        <v>1</v>
      </c>
      <c r="F203">
        <v>16</v>
      </c>
      <c r="G203" t="b">
        <v>0</v>
      </c>
      <c r="H203">
        <v>0</v>
      </c>
      <c r="I203">
        <v>1</v>
      </c>
      <c r="J203">
        <v>0.2</v>
      </c>
      <c r="K203">
        <v>0.16669999999999999</v>
      </c>
      <c r="L203">
        <v>0.34</v>
      </c>
      <c r="M203">
        <v>0.44779999999999998</v>
      </c>
      <c r="N203">
        <v>13</v>
      </c>
      <c r="O203">
        <v>79</v>
      </c>
      <c r="P203">
        <v>92</v>
      </c>
    </row>
    <row r="204" spans="1:16">
      <c r="A204">
        <v>203</v>
      </c>
      <c r="B204" s="2">
        <v>40552</v>
      </c>
      <c r="C204">
        <v>1</v>
      </c>
      <c r="D204">
        <v>0</v>
      </c>
      <c r="E204">
        <v>1</v>
      </c>
      <c r="F204">
        <v>17</v>
      </c>
      <c r="G204" t="b">
        <v>0</v>
      </c>
      <c r="H204">
        <v>0</v>
      </c>
      <c r="I204">
        <v>1</v>
      </c>
      <c r="J204">
        <v>0.18</v>
      </c>
      <c r="K204">
        <v>0.1515</v>
      </c>
      <c r="L204">
        <v>0.37</v>
      </c>
      <c r="M204">
        <v>0.3881</v>
      </c>
      <c r="N204">
        <v>3</v>
      </c>
      <c r="O204">
        <v>59</v>
      </c>
      <c r="P204">
        <v>62</v>
      </c>
    </row>
    <row r="205" spans="1:16">
      <c r="A205">
        <v>204</v>
      </c>
      <c r="B205" s="2">
        <v>40552</v>
      </c>
      <c r="C205">
        <v>1</v>
      </c>
      <c r="D205">
        <v>0</v>
      </c>
      <c r="E205">
        <v>1</v>
      </c>
      <c r="F205">
        <v>18</v>
      </c>
      <c r="G205" t="b">
        <v>0</v>
      </c>
      <c r="H205">
        <v>0</v>
      </c>
      <c r="I205">
        <v>1</v>
      </c>
      <c r="J205">
        <v>0.16</v>
      </c>
      <c r="K205">
        <v>0.13639999999999999</v>
      </c>
      <c r="L205">
        <v>0.4</v>
      </c>
      <c r="M205">
        <v>0.32840000000000003</v>
      </c>
      <c r="N205">
        <v>4</v>
      </c>
      <c r="O205">
        <v>44</v>
      </c>
      <c r="P205">
        <v>48</v>
      </c>
    </row>
    <row r="206" spans="1:16">
      <c r="A206">
        <v>205</v>
      </c>
      <c r="B206" s="2">
        <v>40552</v>
      </c>
      <c r="C206">
        <v>1</v>
      </c>
      <c r="D206">
        <v>0</v>
      </c>
      <c r="E206">
        <v>1</v>
      </c>
      <c r="F206">
        <v>19</v>
      </c>
      <c r="G206" t="b">
        <v>0</v>
      </c>
      <c r="H206">
        <v>0</v>
      </c>
      <c r="I206">
        <v>1</v>
      </c>
      <c r="J206">
        <v>0.16</v>
      </c>
      <c r="K206">
        <v>0.13639999999999999</v>
      </c>
      <c r="L206">
        <v>0.43</v>
      </c>
      <c r="M206">
        <v>0.32840000000000003</v>
      </c>
      <c r="N206">
        <v>1</v>
      </c>
      <c r="O206">
        <v>40</v>
      </c>
      <c r="P206">
        <v>41</v>
      </c>
    </row>
    <row r="207" spans="1:16">
      <c r="A207">
        <v>206</v>
      </c>
      <c r="B207" s="2">
        <v>40552</v>
      </c>
      <c r="C207">
        <v>1</v>
      </c>
      <c r="D207">
        <v>0</v>
      </c>
      <c r="E207">
        <v>1</v>
      </c>
      <c r="F207">
        <v>20</v>
      </c>
      <c r="G207" t="b">
        <v>0</v>
      </c>
      <c r="H207">
        <v>0</v>
      </c>
      <c r="I207">
        <v>1</v>
      </c>
      <c r="J207">
        <v>0.14000000000000001</v>
      </c>
      <c r="K207">
        <v>0.1212</v>
      </c>
      <c r="L207">
        <v>0.46</v>
      </c>
      <c r="M207">
        <v>0.25369999999999998</v>
      </c>
      <c r="N207">
        <v>0</v>
      </c>
      <c r="O207">
        <v>38</v>
      </c>
      <c r="P207">
        <v>38</v>
      </c>
    </row>
    <row r="208" spans="1:16">
      <c r="A208">
        <v>207</v>
      </c>
      <c r="B208" s="2">
        <v>40552</v>
      </c>
      <c r="C208">
        <v>1</v>
      </c>
      <c r="D208">
        <v>0</v>
      </c>
      <c r="E208">
        <v>1</v>
      </c>
      <c r="F208">
        <v>21</v>
      </c>
      <c r="G208" t="b">
        <v>0</v>
      </c>
      <c r="H208">
        <v>0</v>
      </c>
      <c r="I208">
        <v>1</v>
      </c>
      <c r="J208">
        <v>0.14000000000000001</v>
      </c>
      <c r="K208">
        <v>0.1061</v>
      </c>
      <c r="L208">
        <v>0.46</v>
      </c>
      <c r="M208">
        <v>0.41789999999999999</v>
      </c>
      <c r="N208">
        <v>1</v>
      </c>
      <c r="O208">
        <v>19</v>
      </c>
      <c r="P208">
        <v>20</v>
      </c>
    </row>
    <row r="209" spans="1:16">
      <c r="A209">
        <v>208</v>
      </c>
      <c r="B209" s="2">
        <v>40552</v>
      </c>
      <c r="C209">
        <v>1</v>
      </c>
      <c r="D209">
        <v>0</v>
      </c>
      <c r="E209">
        <v>1</v>
      </c>
      <c r="F209">
        <v>22</v>
      </c>
      <c r="G209" t="b">
        <v>0</v>
      </c>
      <c r="H209">
        <v>0</v>
      </c>
      <c r="I209">
        <v>1</v>
      </c>
      <c r="J209">
        <v>0.14000000000000001</v>
      </c>
      <c r="K209">
        <v>0.1212</v>
      </c>
      <c r="L209">
        <v>0.46</v>
      </c>
      <c r="M209">
        <v>0.29849999999999999</v>
      </c>
      <c r="N209">
        <v>5</v>
      </c>
      <c r="O209">
        <v>10</v>
      </c>
      <c r="P209">
        <v>15</v>
      </c>
    </row>
    <row r="210" spans="1:16">
      <c r="A210">
        <v>209</v>
      </c>
      <c r="B210" s="2">
        <v>40552</v>
      </c>
      <c r="C210">
        <v>1</v>
      </c>
      <c r="D210">
        <v>0</v>
      </c>
      <c r="E210">
        <v>1</v>
      </c>
      <c r="F210">
        <v>23</v>
      </c>
      <c r="G210" t="b">
        <v>0</v>
      </c>
      <c r="H210">
        <v>0</v>
      </c>
      <c r="I210">
        <v>1</v>
      </c>
      <c r="J210">
        <v>0.12</v>
      </c>
      <c r="K210">
        <v>0.13639999999999999</v>
      </c>
      <c r="L210">
        <v>0.5</v>
      </c>
      <c r="M210">
        <v>0.19400000000000001</v>
      </c>
      <c r="N210">
        <v>0</v>
      </c>
      <c r="O210">
        <v>6</v>
      </c>
      <c r="P210">
        <v>6</v>
      </c>
    </row>
    <row r="211" spans="1:16">
      <c r="A211">
        <v>210</v>
      </c>
      <c r="B211" s="2">
        <v>40553</v>
      </c>
      <c r="C211">
        <v>1</v>
      </c>
      <c r="D211">
        <v>0</v>
      </c>
      <c r="E211">
        <v>1</v>
      </c>
      <c r="F211">
        <v>0</v>
      </c>
      <c r="G211" t="b">
        <v>0</v>
      </c>
      <c r="H211">
        <v>1</v>
      </c>
      <c r="I211">
        <v>1</v>
      </c>
      <c r="J211">
        <v>0.12</v>
      </c>
      <c r="K211">
        <v>0.1212</v>
      </c>
      <c r="L211">
        <v>0.5</v>
      </c>
      <c r="M211">
        <v>0.28360000000000002</v>
      </c>
      <c r="N211">
        <v>2</v>
      </c>
      <c r="O211">
        <v>3</v>
      </c>
      <c r="P211">
        <v>5</v>
      </c>
    </row>
    <row r="212" spans="1:16">
      <c r="A212">
        <v>211</v>
      </c>
      <c r="B212" s="2">
        <v>40553</v>
      </c>
      <c r="C212">
        <v>1</v>
      </c>
      <c r="D212">
        <v>0</v>
      </c>
      <c r="E212">
        <v>1</v>
      </c>
      <c r="F212">
        <v>1</v>
      </c>
      <c r="G212" t="b">
        <v>0</v>
      </c>
      <c r="H212">
        <v>1</v>
      </c>
      <c r="I212">
        <v>1</v>
      </c>
      <c r="J212">
        <v>0.12</v>
      </c>
      <c r="K212">
        <v>0.1212</v>
      </c>
      <c r="L212">
        <v>0.5</v>
      </c>
      <c r="M212">
        <v>0.28360000000000002</v>
      </c>
      <c r="N212">
        <v>1</v>
      </c>
      <c r="O212">
        <v>0</v>
      </c>
      <c r="P212">
        <v>1</v>
      </c>
    </row>
    <row r="213" spans="1:16">
      <c r="A213">
        <v>212</v>
      </c>
      <c r="B213" s="2">
        <v>40553</v>
      </c>
      <c r="C213">
        <v>1</v>
      </c>
      <c r="D213">
        <v>0</v>
      </c>
      <c r="E213">
        <v>1</v>
      </c>
      <c r="F213">
        <v>2</v>
      </c>
      <c r="G213" t="b">
        <v>0</v>
      </c>
      <c r="H213">
        <v>1</v>
      </c>
      <c r="I213">
        <v>1</v>
      </c>
      <c r="J213">
        <v>0.12</v>
      </c>
      <c r="K213">
        <v>0.1212</v>
      </c>
      <c r="L213">
        <v>0.5</v>
      </c>
      <c r="M213">
        <v>0.22389999999999999</v>
      </c>
      <c r="N213">
        <v>0</v>
      </c>
      <c r="O213">
        <v>3</v>
      </c>
      <c r="P213">
        <v>3</v>
      </c>
    </row>
    <row r="214" spans="1:16">
      <c r="A214">
        <v>213</v>
      </c>
      <c r="B214" s="2">
        <v>40553</v>
      </c>
      <c r="C214">
        <v>1</v>
      </c>
      <c r="D214">
        <v>0</v>
      </c>
      <c r="E214">
        <v>1</v>
      </c>
      <c r="F214">
        <v>3</v>
      </c>
      <c r="G214" t="b">
        <v>0</v>
      </c>
      <c r="H214">
        <v>1</v>
      </c>
      <c r="I214">
        <v>1</v>
      </c>
      <c r="J214">
        <v>0.12</v>
      </c>
      <c r="K214">
        <v>0.1212</v>
      </c>
      <c r="L214">
        <v>0.5</v>
      </c>
      <c r="M214">
        <v>0.22389999999999999</v>
      </c>
      <c r="N214">
        <v>0</v>
      </c>
      <c r="O214">
        <v>1</v>
      </c>
      <c r="P214">
        <v>1</v>
      </c>
    </row>
    <row r="215" spans="1:16">
      <c r="A215">
        <v>214</v>
      </c>
      <c r="B215" s="2">
        <v>40553</v>
      </c>
      <c r="C215">
        <v>1</v>
      </c>
      <c r="D215">
        <v>0</v>
      </c>
      <c r="E215">
        <v>1</v>
      </c>
      <c r="F215">
        <v>4</v>
      </c>
      <c r="G215" t="b">
        <v>0</v>
      </c>
      <c r="H215">
        <v>1</v>
      </c>
      <c r="I215">
        <v>1</v>
      </c>
      <c r="J215">
        <v>0.1</v>
      </c>
      <c r="K215">
        <v>0.1212</v>
      </c>
      <c r="L215">
        <v>0.54</v>
      </c>
      <c r="M215">
        <v>0.1343</v>
      </c>
      <c r="N215">
        <v>1</v>
      </c>
      <c r="O215">
        <v>2</v>
      </c>
      <c r="P215">
        <v>3</v>
      </c>
    </row>
    <row r="216" spans="1:16">
      <c r="A216">
        <v>215</v>
      </c>
      <c r="B216" s="2">
        <v>40553</v>
      </c>
      <c r="C216">
        <v>1</v>
      </c>
      <c r="D216">
        <v>0</v>
      </c>
      <c r="E216">
        <v>1</v>
      </c>
      <c r="F216">
        <v>5</v>
      </c>
      <c r="G216" t="b">
        <v>0</v>
      </c>
      <c r="H216">
        <v>1</v>
      </c>
      <c r="I216">
        <v>1</v>
      </c>
      <c r="J216">
        <v>0.1</v>
      </c>
      <c r="K216">
        <v>0.1061</v>
      </c>
      <c r="L216">
        <v>0.54</v>
      </c>
      <c r="M216">
        <v>0.25369999999999998</v>
      </c>
      <c r="N216">
        <v>0</v>
      </c>
      <c r="O216">
        <v>3</v>
      </c>
      <c r="P216">
        <v>3</v>
      </c>
    </row>
    <row r="217" spans="1:16">
      <c r="A217">
        <v>216</v>
      </c>
      <c r="B217" s="2">
        <v>40553</v>
      </c>
      <c r="C217">
        <v>1</v>
      </c>
      <c r="D217">
        <v>0</v>
      </c>
      <c r="E217">
        <v>1</v>
      </c>
      <c r="F217">
        <v>6</v>
      </c>
      <c r="G217" t="b">
        <v>0</v>
      </c>
      <c r="H217">
        <v>1</v>
      </c>
      <c r="I217">
        <v>1</v>
      </c>
      <c r="J217">
        <v>0.12</v>
      </c>
      <c r="K217">
        <v>0.1212</v>
      </c>
      <c r="L217">
        <v>0.5</v>
      </c>
      <c r="M217">
        <v>0.28360000000000002</v>
      </c>
      <c r="N217">
        <v>0</v>
      </c>
      <c r="O217">
        <v>31</v>
      </c>
      <c r="P217">
        <v>31</v>
      </c>
    </row>
    <row r="218" spans="1:16">
      <c r="A218">
        <v>217</v>
      </c>
      <c r="B218" s="2">
        <v>40553</v>
      </c>
      <c r="C218">
        <v>1</v>
      </c>
      <c r="D218">
        <v>0</v>
      </c>
      <c r="E218">
        <v>1</v>
      </c>
      <c r="F218">
        <v>7</v>
      </c>
      <c r="G218" t="b">
        <v>0</v>
      </c>
      <c r="H218">
        <v>1</v>
      </c>
      <c r="I218">
        <v>1</v>
      </c>
      <c r="J218">
        <v>0.12</v>
      </c>
      <c r="K218">
        <v>0.1212</v>
      </c>
      <c r="L218">
        <v>0.5</v>
      </c>
      <c r="M218">
        <v>0.22389999999999999</v>
      </c>
      <c r="N218">
        <v>2</v>
      </c>
      <c r="O218">
        <v>75</v>
      </c>
      <c r="P218">
        <v>77</v>
      </c>
    </row>
    <row r="219" spans="1:16">
      <c r="A219">
        <v>218</v>
      </c>
      <c r="B219" s="2">
        <v>40553</v>
      </c>
      <c r="C219">
        <v>1</v>
      </c>
      <c r="D219">
        <v>0</v>
      </c>
      <c r="E219">
        <v>1</v>
      </c>
      <c r="F219">
        <v>8</v>
      </c>
      <c r="G219" t="b">
        <v>0</v>
      </c>
      <c r="H219">
        <v>1</v>
      </c>
      <c r="I219">
        <v>2</v>
      </c>
      <c r="J219">
        <v>0.12</v>
      </c>
      <c r="K219">
        <v>0.1212</v>
      </c>
      <c r="L219">
        <v>0.5</v>
      </c>
      <c r="M219">
        <v>0.28360000000000002</v>
      </c>
      <c r="N219">
        <v>4</v>
      </c>
      <c r="O219">
        <v>184</v>
      </c>
      <c r="P219">
        <v>188</v>
      </c>
    </row>
    <row r="220" spans="1:16">
      <c r="A220">
        <v>219</v>
      </c>
      <c r="B220" s="2">
        <v>40553</v>
      </c>
      <c r="C220">
        <v>1</v>
      </c>
      <c r="D220">
        <v>0</v>
      </c>
      <c r="E220">
        <v>1</v>
      </c>
      <c r="F220">
        <v>9</v>
      </c>
      <c r="G220" t="b">
        <v>0</v>
      </c>
      <c r="H220">
        <v>1</v>
      </c>
      <c r="I220">
        <v>2</v>
      </c>
      <c r="J220">
        <v>0.14000000000000001</v>
      </c>
      <c r="K220">
        <v>0.1212</v>
      </c>
      <c r="L220">
        <v>0.5</v>
      </c>
      <c r="M220">
        <v>0.25369999999999998</v>
      </c>
      <c r="N220">
        <v>2</v>
      </c>
      <c r="O220">
        <v>92</v>
      </c>
      <c r="P220">
        <v>94</v>
      </c>
    </row>
    <row r="221" spans="1:16">
      <c r="A221">
        <v>220</v>
      </c>
      <c r="B221" s="2">
        <v>40553</v>
      </c>
      <c r="C221">
        <v>1</v>
      </c>
      <c r="D221">
        <v>0</v>
      </c>
      <c r="E221">
        <v>1</v>
      </c>
      <c r="F221">
        <v>10</v>
      </c>
      <c r="G221" t="b">
        <v>0</v>
      </c>
      <c r="H221">
        <v>1</v>
      </c>
      <c r="I221">
        <v>2</v>
      </c>
      <c r="J221">
        <v>0.14000000000000001</v>
      </c>
      <c r="K221">
        <v>0.1212</v>
      </c>
      <c r="L221">
        <v>0.5</v>
      </c>
      <c r="M221">
        <v>0.29849999999999999</v>
      </c>
      <c r="N221">
        <v>0</v>
      </c>
      <c r="O221">
        <v>31</v>
      </c>
      <c r="P221">
        <v>31</v>
      </c>
    </row>
    <row r="222" spans="1:16">
      <c r="A222">
        <v>221</v>
      </c>
      <c r="B222" s="2">
        <v>40553</v>
      </c>
      <c r="C222">
        <v>1</v>
      </c>
      <c r="D222">
        <v>0</v>
      </c>
      <c r="E222">
        <v>1</v>
      </c>
      <c r="F222">
        <v>11</v>
      </c>
      <c r="G222" t="b">
        <v>0</v>
      </c>
      <c r="H222">
        <v>1</v>
      </c>
      <c r="I222">
        <v>2</v>
      </c>
      <c r="J222">
        <v>0.16</v>
      </c>
      <c r="K222">
        <v>0.13639999999999999</v>
      </c>
      <c r="L222">
        <v>0.47</v>
      </c>
      <c r="M222">
        <v>0.28360000000000002</v>
      </c>
      <c r="N222">
        <v>2</v>
      </c>
      <c r="O222">
        <v>28</v>
      </c>
      <c r="P222">
        <v>30</v>
      </c>
    </row>
    <row r="223" spans="1:16">
      <c r="A223">
        <v>222</v>
      </c>
      <c r="B223" s="2">
        <v>40553</v>
      </c>
      <c r="C223">
        <v>1</v>
      </c>
      <c r="D223">
        <v>0</v>
      </c>
      <c r="E223">
        <v>1</v>
      </c>
      <c r="F223">
        <v>12</v>
      </c>
      <c r="G223" t="b">
        <v>0</v>
      </c>
      <c r="H223">
        <v>1</v>
      </c>
      <c r="I223">
        <v>2</v>
      </c>
      <c r="J223">
        <v>0.2</v>
      </c>
      <c r="K223">
        <v>0.18179999999999999</v>
      </c>
      <c r="L223">
        <v>0.4</v>
      </c>
      <c r="M223">
        <v>0.28360000000000002</v>
      </c>
      <c r="N223">
        <v>5</v>
      </c>
      <c r="O223">
        <v>47</v>
      </c>
      <c r="P223">
        <v>52</v>
      </c>
    </row>
    <row r="224" spans="1:16">
      <c r="A224">
        <v>223</v>
      </c>
      <c r="B224" s="2">
        <v>40553</v>
      </c>
      <c r="C224">
        <v>1</v>
      </c>
      <c r="D224">
        <v>0</v>
      </c>
      <c r="E224">
        <v>1</v>
      </c>
      <c r="F224">
        <v>13</v>
      </c>
      <c r="G224" t="b">
        <v>0</v>
      </c>
      <c r="H224">
        <v>1</v>
      </c>
      <c r="I224">
        <v>2</v>
      </c>
      <c r="J224">
        <v>0.2</v>
      </c>
      <c r="K224">
        <v>0.18179999999999999</v>
      </c>
      <c r="L224">
        <v>0.4</v>
      </c>
      <c r="M224">
        <v>0.28360000000000002</v>
      </c>
      <c r="N224">
        <v>4</v>
      </c>
      <c r="O224">
        <v>50</v>
      </c>
      <c r="P224">
        <v>54</v>
      </c>
    </row>
    <row r="225" spans="1:16">
      <c r="A225">
        <v>224</v>
      </c>
      <c r="B225" s="2">
        <v>40553</v>
      </c>
      <c r="C225">
        <v>1</v>
      </c>
      <c r="D225">
        <v>0</v>
      </c>
      <c r="E225">
        <v>1</v>
      </c>
      <c r="F225">
        <v>14</v>
      </c>
      <c r="G225" t="b">
        <v>0</v>
      </c>
      <c r="H225">
        <v>1</v>
      </c>
      <c r="I225">
        <v>2</v>
      </c>
      <c r="J225">
        <v>0.2</v>
      </c>
      <c r="K225">
        <v>0.19700000000000001</v>
      </c>
      <c r="L225">
        <v>0.4</v>
      </c>
      <c r="M225">
        <v>0.22389999999999999</v>
      </c>
      <c r="N225">
        <v>0</v>
      </c>
      <c r="O225">
        <v>47</v>
      </c>
      <c r="P225">
        <v>47</v>
      </c>
    </row>
    <row r="226" spans="1:16">
      <c r="A226">
        <v>225</v>
      </c>
      <c r="B226" s="2">
        <v>40553</v>
      </c>
      <c r="C226">
        <v>1</v>
      </c>
      <c r="D226">
        <v>0</v>
      </c>
      <c r="E226">
        <v>1</v>
      </c>
      <c r="F226">
        <v>15</v>
      </c>
      <c r="G226" t="b">
        <v>0</v>
      </c>
      <c r="H226">
        <v>1</v>
      </c>
      <c r="I226">
        <v>2</v>
      </c>
      <c r="J226">
        <v>0.2</v>
      </c>
      <c r="K226">
        <v>0.19700000000000001</v>
      </c>
      <c r="L226">
        <v>0.4</v>
      </c>
      <c r="M226">
        <v>0.22389999999999999</v>
      </c>
      <c r="N226">
        <v>2</v>
      </c>
      <c r="O226">
        <v>43</v>
      </c>
      <c r="P226">
        <v>45</v>
      </c>
    </row>
    <row r="227" spans="1:16">
      <c r="A227">
        <v>226</v>
      </c>
      <c r="B227" s="2">
        <v>40553</v>
      </c>
      <c r="C227">
        <v>1</v>
      </c>
      <c r="D227">
        <v>0</v>
      </c>
      <c r="E227">
        <v>1</v>
      </c>
      <c r="F227">
        <v>16</v>
      </c>
      <c r="G227" t="b">
        <v>0</v>
      </c>
      <c r="H227">
        <v>1</v>
      </c>
      <c r="I227">
        <v>1</v>
      </c>
      <c r="J227">
        <v>0.2</v>
      </c>
      <c r="K227">
        <v>0.21210000000000001</v>
      </c>
      <c r="L227">
        <v>0.4</v>
      </c>
      <c r="M227">
        <v>0.1343</v>
      </c>
      <c r="N227">
        <v>4</v>
      </c>
      <c r="O227">
        <v>70</v>
      </c>
      <c r="P227">
        <v>74</v>
      </c>
    </row>
    <row r="228" spans="1:16">
      <c r="A228">
        <v>227</v>
      </c>
      <c r="B228" s="2">
        <v>40553</v>
      </c>
      <c r="C228">
        <v>1</v>
      </c>
      <c r="D228">
        <v>0</v>
      </c>
      <c r="E228">
        <v>1</v>
      </c>
      <c r="F228">
        <v>17</v>
      </c>
      <c r="G228" t="b">
        <v>0</v>
      </c>
      <c r="H228">
        <v>1</v>
      </c>
      <c r="I228">
        <v>1</v>
      </c>
      <c r="J228">
        <v>0.2</v>
      </c>
      <c r="K228">
        <v>0.2273</v>
      </c>
      <c r="L228">
        <v>0.4</v>
      </c>
      <c r="M228">
        <v>0.1045</v>
      </c>
      <c r="N228">
        <v>4</v>
      </c>
      <c r="O228">
        <v>174</v>
      </c>
      <c r="P228">
        <v>178</v>
      </c>
    </row>
    <row r="229" spans="1:16">
      <c r="A229">
        <v>228</v>
      </c>
      <c r="B229" s="2">
        <v>40553</v>
      </c>
      <c r="C229">
        <v>1</v>
      </c>
      <c r="D229">
        <v>0</v>
      </c>
      <c r="E229">
        <v>1</v>
      </c>
      <c r="F229">
        <v>18</v>
      </c>
      <c r="G229" t="b">
        <v>0</v>
      </c>
      <c r="H229">
        <v>1</v>
      </c>
      <c r="I229">
        <v>1</v>
      </c>
      <c r="J229">
        <v>0.2</v>
      </c>
      <c r="K229">
        <v>0.19700000000000001</v>
      </c>
      <c r="L229">
        <v>0.4</v>
      </c>
      <c r="M229">
        <v>0.22389999999999999</v>
      </c>
      <c r="N229">
        <v>1</v>
      </c>
      <c r="O229">
        <v>154</v>
      </c>
      <c r="P229">
        <v>155</v>
      </c>
    </row>
    <row r="230" spans="1:16">
      <c r="A230">
        <v>229</v>
      </c>
      <c r="B230" s="2">
        <v>40553</v>
      </c>
      <c r="C230">
        <v>1</v>
      </c>
      <c r="D230">
        <v>0</v>
      </c>
      <c r="E230">
        <v>1</v>
      </c>
      <c r="F230">
        <v>19</v>
      </c>
      <c r="G230" t="b">
        <v>0</v>
      </c>
      <c r="H230">
        <v>1</v>
      </c>
      <c r="I230">
        <v>1</v>
      </c>
      <c r="J230">
        <v>0.16</v>
      </c>
      <c r="K230">
        <v>0.16669999999999999</v>
      </c>
      <c r="L230">
        <v>0.47</v>
      </c>
      <c r="M230">
        <v>0.16420000000000001</v>
      </c>
      <c r="N230">
        <v>3</v>
      </c>
      <c r="O230">
        <v>92</v>
      </c>
      <c r="P230">
        <v>95</v>
      </c>
    </row>
    <row r="231" spans="1:16">
      <c r="A231">
        <v>230</v>
      </c>
      <c r="B231" s="2">
        <v>40553</v>
      </c>
      <c r="C231">
        <v>1</v>
      </c>
      <c r="D231">
        <v>0</v>
      </c>
      <c r="E231">
        <v>1</v>
      </c>
      <c r="F231">
        <v>20</v>
      </c>
      <c r="G231" t="b">
        <v>0</v>
      </c>
      <c r="H231">
        <v>1</v>
      </c>
      <c r="I231">
        <v>1</v>
      </c>
      <c r="J231">
        <v>0.16</v>
      </c>
      <c r="K231">
        <v>0.16669999999999999</v>
      </c>
      <c r="L231">
        <v>0.5</v>
      </c>
      <c r="M231">
        <v>0.16420000000000001</v>
      </c>
      <c r="N231">
        <v>1</v>
      </c>
      <c r="O231">
        <v>73</v>
      </c>
      <c r="P231">
        <v>74</v>
      </c>
    </row>
    <row r="232" spans="1:16">
      <c r="A232">
        <v>231</v>
      </c>
      <c r="B232" s="2">
        <v>40553</v>
      </c>
      <c r="C232">
        <v>1</v>
      </c>
      <c r="D232">
        <v>0</v>
      </c>
      <c r="E232">
        <v>1</v>
      </c>
      <c r="F232">
        <v>21</v>
      </c>
      <c r="G232" t="b">
        <v>0</v>
      </c>
      <c r="H232">
        <v>1</v>
      </c>
      <c r="I232">
        <v>1</v>
      </c>
      <c r="J232">
        <v>0.14000000000000001</v>
      </c>
      <c r="K232">
        <v>0.13639999999999999</v>
      </c>
      <c r="L232">
        <v>0.59</v>
      </c>
      <c r="M232">
        <v>0.19400000000000001</v>
      </c>
      <c r="N232">
        <v>1</v>
      </c>
      <c r="O232">
        <v>37</v>
      </c>
      <c r="P232">
        <v>38</v>
      </c>
    </row>
    <row r="233" spans="1:16">
      <c r="A233">
        <v>232</v>
      </c>
      <c r="B233" s="2">
        <v>40553</v>
      </c>
      <c r="C233">
        <v>1</v>
      </c>
      <c r="D233">
        <v>0</v>
      </c>
      <c r="E233">
        <v>1</v>
      </c>
      <c r="F233">
        <v>22</v>
      </c>
      <c r="G233" t="b">
        <v>0</v>
      </c>
      <c r="H233">
        <v>1</v>
      </c>
      <c r="I233">
        <v>1</v>
      </c>
      <c r="J233">
        <v>0.14000000000000001</v>
      </c>
      <c r="K233">
        <v>0.1515</v>
      </c>
      <c r="L233">
        <v>0.59</v>
      </c>
      <c r="M233">
        <v>0.16420000000000001</v>
      </c>
      <c r="N233">
        <v>2</v>
      </c>
      <c r="O233">
        <v>22</v>
      </c>
      <c r="P233">
        <v>24</v>
      </c>
    </row>
    <row r="234" spans="1:16">
      <c r="A234">
        <v>233</v>
      </c>
      <c r="B234" s="2">
        <v>40553</v>
      </c>
      <c r="C234">
        <v>1</v>
      </c>
      <c r="D234">
        <v>0</v>
      </c>
      <c r="E234">
        <v>1</v>
      </c>
      <c r="F234">
        <v>23</v>
      </c>
      <c r="G234" t="b">
        <v>0</v>
      </c>
      <c r="H234">
        <v>1</v>
      </c>
      <c r="I234">
        <v>1</v>
      </c>
      <c r="J234">
        <v>0.14000000000000001</v>
      </c>
      <c r="K234">
        <v>0.1515</v>
      </c>
      <c r="L234">
        <v>0.59</v>
      </c>
      <c r="M234">
        <v>0.16420000000000001</v>
      </c>
      <c r="N234">
        <v>0</v>
      </c>
      <c r="O234">
        <v>18</v>
      </c>
      <c r="P234">
        <v>18</v>
      </c>
    </row>
    <row r="235" spans="1:16">
      <c r="A235">
        <v>234</v>
      </c>
      <c r="B235" s="2">
        <v>40554</v>
      </c>
      <c r="C235">
        <v>1</v>
      </c>
      <c r="D235">
        <v>0</v>
      </c>
      <c r="E235">
        <v>1</v>
      </c>
      <c r="F235">
        <v>0</v>
      </c>
      <c r="G235" t="b">
        <v>0</v>
      </c>
      <c r="H235">
        <v>2</v>
      </c>
      <c r="I235">
        <v>1</v>
      </c>
      <c r="J235">
        <v>0.14000000000000001</v>
      </c>
      <c r="K235">
        <v>0.16669999999999999</v>
      </c>
      <c r="L235">
        <v>0.59</v>
      </c>
      <c r="M235">
        <v>0.1045</v>
      </c>
      <c r="N235">
        <v>2</v>
      </c>
      <c r="O235">
        <v>10</v>
      </c>
      <c r="P235">
        <v>12</v>
      </c>
    </row>
    <row r="236" spans="1:16">
      <c r="A236">
        <v>235</v>
      </c>
      <c r="B236" s="2">
        <v>40554</v>
      </c>
      <c r="C236">
        <v>1</v>
      </c>
      <c r="D236">
        <v>0</v>
      </c>
      <c r="E236">
        <v>1</v>
      </c>
      <c r="F236">
        <v>1</v>
      </c>
      <c r="G236" t="b">
        <v>0</v>
      </c>
      <c r="H236">
        <v>2</v>
      </c>
      <c r="I236">
        <v>1</v>
      </c>
      <c r="J236">
        <v>0.14000000000000001</v>
      </c>
      <c r="K236">
        <v>0.1515</v>
      </c>
      <c r="L236">
        <v>0.59</v>
      </c>
      <c r="M236">
        <v>0.16420000000000001</v>
      </c>
      <c r="N236">
        <v>0</v>
      </c>
      <c r="O236">
        <v>3</v>
      </c>
      <c r="P236">
        <v>3</v>
      </c>
    </row>
    <row r="237" spans="1:16">
      <c r="A237">
        <v>236</v>
      </c>
      <c r="B237" s="2">
        <v>40554</v>
      </c>
      <c r="C237">
        <v>1</v>
      </c>
      <c r="D237">
        <v>0</v>
      </c>
      <c r="E237">
        <v>1</v>
      </c>
      <c r="F237">
        <v>2</v>
      </c>
      <c r="G237" t="b">
        <v>0</v>
      </c>
      <c r="H237">
        <v>2</v>
      </c>
      <c r="I237">
        <v>2</v>
      </c>
      <c r="J237">
        <v>0.16</v>
      </c>
      <c r="K237">
        <v>0.1515</v>
      </c>
      <c r="L237">
        <v>0.55000000000000004</v>
      </c>
      <c r="M237">
        <v>0.19400000000000001</v>
      </c>
      <c r="N237">
        <v>0</v>
      </c>
      <c r="O237">
        <v>3</v>
      </c>
      <c r="P237">
        <v>3</v>
      </c>
    </row>
    <row r="238" spans="1:16">
      <c r="A238">
        <v>237</v>
      </c>
      <c r="B238" s="2">
        <v>40554</v>
      </c>
      <c r="C238">
        <v>1</v>
      </c>
      <c r="D238">
        <v>0</v>
      </c>
      <c r="E238">
        <v>1</v>
      </c>
      <c r="F238">
        <v>5</v>
      </c>
      <c r="G238" t="b">
        <v>0</v>
      </c>
      <c r="H238">
        <v>2</v>
      </c>
      <c r="I238">
        <v>2</v>
      </c>
      <c r="J238">
        <v>0.16</v>
      </c>
      <c r="K238">
        <v>0.18179999999999999</v>
      </c>
      <c r="L238">
        <v>0.55000000000000004</v>
      </c>
      <c r="M238">
        <v>0.1343</v>
      </c>
      <c r="N238">
        <v>0</v>
      </c>
      <c r="O238">
        <v>6</v>
      </c>
      <c r="P238">
        <v>6</v>
      </c>
    </row>
    <row r="239" spans="1:16">
      <c r="A239">
        <v>238</v>
      </c>
      <c r="B239" s="2">
        <v>40554</v>
      </c>
      <c r="C239">
        <v>1</v>
      </c>
      <c r="D239">
        <v>0</v>
      </c>
      <c r="E239">
        <v>1</v>
      </c>
      <c r="F239">
        <v>6</v>
      </c>
      <c r="G239" t="b">
        <v>0</v>
      </c>
      <c r="H239">
        <v>2</v>
      </c>
      <c r="I239">
        <v>2</v>
      </c>
      <c r="J239">
        <v>0.16</v>
      </c>
      <c r="K239">
        <v>0.18179999999999999</v>
      </c>
      <c r="L239">
        <v>0.55000000000000004</v>
      </c>
      <c r="M239">
        <v>0.1343</v>
      </c>
      <c r="N239">
        <v>0</v>
      </c>
      <c r="O239">
        <v>27</v>
      </c>
      <c r="P239">
        <v>27</v>
      </c>
    </row>
    <row r="240" spans="1:16">
      <c r="A240">
        <v>239</v>
      </c>
      <c r="B240" s="2">
        <v>40554</v>
      </c>
      <c r="C240">
        <v>1</v>
      </c>
      <c r="D240">
        <v>0</v>
      </c>
      <c r="E240">
        <v>1</v>
      </c>
      <c r="F240">
        <v>7</v>
      </c>
      <c r="G240" t="b">
        <v>0</v>
      </c>
      <c r="H240">
        <v>2</v>
      </c>
      <c r="I240">
        <v>2</v>
      </c>
      <c r="J240">
        <v>0.16</v>
      </c>
      <c r="K240">
        <v>0.2273</v>
      </c>
      <c r="L240">
        <v>0.55000000000000004</v>
      </c>
      <c r="M240">
        <v>0</v>
      </c>
      <c r="N240">
        <v>2</v>
      </c>
      <c r="O240">
        <v>97</v>
      </c>
      <c r="P240">
        <v>99</v>
      </c>
    </row>
    <row r="241" spans="1:16">
      <c r="A241">
        <v>240</v>
      </c>
      <c r="B241" s="2">
        <v>40554</v>
      </c>
      <c r="C241">
        <v>1</v>
      </c>
      <c r="D241">
        <v>0</v>
      </c>
      <c r="E241">
        <v>1</v>
      </c>
      <c r="F241">
        <v>8</v>
      </c>
      <c r="G241" t="b">
        <v>0</v>
      </c>
      <c r="H241">
        <v>2</v>
      </c>
      <c r="I241">
        <v>2</v>
      </c>
      <c r="J241">
        <v>0.18</v>
      </c>
      <c r="K241">
        <v>0.21210000000000001</v>
      </c>
      <c r="L241">
        <v>0.51</v>
      </c>
      <c r="M241">
        <v>8.9599999999999999E-2</v>
      </c>
      <c r="N241">
        <v>3</v>
      </c>
      <c r="O241">
        <v>214</v>
      </c>
      <c r="P241">
        <v>217</v>
      </c>
    </row>
    <row r="242" spans="1:16">
      <c r="A242">
        <v>241</v>
      </c>
      <c r="B242" s="2">
        <v>40554</v>
      </c>
      <c r="C242">
        <v>1</v>
      </c>
      <c r="D242">
        <v>0</v>
      </c>
      <c r="E242">
        <v>1</v>
      </c>
      <c r="F242">
        <v>9</v>
      </c>
      <c r="G242" t="b">
        <v>0</v>
      </c>
      <c r="H242">
        <v>2</v>
      </c>
      <c r="I242">
        <v>2</v>
      </c>
      <c r="J242">
        <v>0.18</v>
      </c>
      <c r="K242">
        <v>0.19700000000000001</v>
      </c>
      <c r="L242">
        <v>0.51</v>
      </c>
      <c r="M242">
        <v>0.16420000000000001</v>
      </c>
      <c r="N242">
        <v>3</v>
      </c>
      <c r="O242">
        <v>127</v>
      </c>
      <c r="P242">
        <v>130</v>
      </c>
    </row>
    <row r="243" spans="1:16">
      <c r="A243">
        <v>242</v>
      </c>
      <c r="B243" s="2">
        <v>40554</v>
      </c>
      <c r="C243">
        <v>1</v>
      </c>
      <c r="D243">
        <v>0</v>
      </c>
      <c r="E243">
        <v>1</v>
      </c>
      <c r="F243">
        <v>10</v>
      </c>
      <c r="G243" t="b">
        <v>0</v>
      </c>
      <c r="H243">
        <v>2</v>
      </c>
      <c r="I243">
        <v>2</v>
      </c>
      <c r="J243">
        <v>0.2</v>
      </c>
      <c r="K243">
        <v>0.21210000000000001</v>
      </c>
      <c r="L243">
        <v>0.51</v>
      </c>
      <c r="M243">
        <v>0.16420000000000001</v>
      </c>
      <c r="N243">
        <v>3</v>
      </c>
      <c r="O243">
        <v>51</v>
      </c>
      <c r="P243">
        <v>54</v>
      </c>
    </row>
    <row r="244" spans="1:16">
      <c r="A244">
        <v>243</v>
      </c>
      <c r="B244" s="2">
        <v>40554</v>
      </c>
      <c r="C244">
        <v>1</v>
      </c>
      <c r="D244">
        <v>0</v>
      </c>
      <c r="E244">
        <v>1</v>
      </c>
      <c r="F244">
        <v>11</v>
      </c>
      <c r="G244" t="b">
        <v>0</v>
      </c>
      <c r="H244">
        <v>2</v>
      </c>
      <c r="I244">
        <v>2</v>
      </c>
      <c r="J244">
        <v>0.2</v>
      </c>
      <c r="K244">
        <v>0.21210000000000001</v>
      </c>
      <c r="L244">
        <v>0.47</v>
      </c>
      <c r="M244">
        <v>0.1343</v>
      </c>
      <c r="N244">
        <v>4</v>
      </c>
      <c r="O244">
        <v>31</v>
      </c>
      <c r="P244">
        <v>35</v>
      </c>
    </row>
    <row r="245" spans="1:16">
      <c r="A245">
        <v>244</v>
      </c>
      <c r="B245" s="2">
        <v>40554</v>
      </c>
      <c r="C245">
        <v>1</v>
      </c>
      <c r="D245">
        <v>0</v>
      </c>
      <c r="E245">
        <v>1</v>
      </c>
      <c r="F245">
        <v>12</v>
      </c>
      <c r="G245" t="b">
        <v>0</v>
      </c>
      <c r="H245">
        <v>2</v>
      </c>
      <c r="I245">
        <v>2</v>
      </c>
      <c r="J245">
        <v>0.2</v>
      </c>
      <c r="K245">
        <v>0.2273</v>
      </c>
      <c r="L245">
        <v>0.51</v>
      </c>
      <c r="M245">
        <v>0.1045</v>
      </c>
      <c r="N245">
        <v>2</v>
      </c>
      <c r="O245">
        <v>55</v>
      </c>
      <c r="P245">
        <v>57</v>
      </c>
    </row>
    <row r="246" spans="1:16">
      <c r="A246">
        <v>245</v>
      </c>
      <c r="B246" s="2">
        <v>40554</v>
      </c>
      <c r="C246">
        <v>1</v>
      </c>
      <c r="D246">
        <v>0</v>
      </c>
      <c r="E246">
        <v>1</v>
      </c>
      <c r="F246">
        <v>13</v>
      </c>
      <c r="G246" t="b">
        <v>0</v>
      </c>
      <c r="H246">
        <v>2</v>
      </c>
      <c r="I246">
        <v>2</v>
      </c>
      <c r="J246">
        <v>0.2</v>
      </c>
      <c r="K246">
        <v>0.2273</v>
      </c>
      <c r="L246">
        <v>0.59</v>
      </c>
      <c r="M246">
        <v>8.9599999999999999E-2</v>
      </c>
      <c r="N246">
        <v>6</v>
      </c>
      <c r="O246">
        <v>46</v>
      </c>
      <c r="P246">
        <v>52</v>
      </c>
    </row>
    <row r="247" spans="1:16">
      <c r="A247">
        <v>246</v>
      </c>
      <c r="B247" s="2">
        <v>40554</v>
      </c>
      <c r="C247">
        <v>1</v>
      </c>
      <c r="D247">
        <v>0</v>
      </c>
      <c r="E247">
        <v>1</v>
      </c>
      <c r="F247">
        <v>14</v>
      </c>
      <c r="G247" t="b">
        <v>0</v>
      </c>
      <c r="H247">
        <v>2</v>
      </c>
      <c r="I247">
        <v>2</v>
      </c>
      <c r="J247">
        <v>0.2</v>
      </c>
      <c r="K247">
        <v>0.2273</v>
      </c>
      <c r="L247">
        <v>0.59</v>
      </c>
      <c r="M247">
        <v>8.9599999999999999E-2</v>
      </c>
      <c r="N247">
        <v>3</v>
      </c>
      <c r="O247">
        <v>60</v>
      </c>
      <c r="P247">
        <v>63</v>
      </c>
    </row>
    <row r="248" spans="1:16">
      <c r="A248">
        <v>247</v>
      </c>
      <c r="B248" s="2">
        <v>40554</v>
      </c>
      <c r="C248">
        <v>1</v>
      </c>
      <c r="D248">
        <v>0</v>
      </c>
      <c r="E248">
        <v>1</v>
      </c>
      <c r="F248">
        <v>15</v>
      </c>
      <c r="G248" t="b">
        <v>0</v>
      </c>
      <c r="H248">
        <v>2</v>
      </c>
      <c r="I248">
        <v>2</v>
      </c>
      <c r="J248">
        <v>0.16</v>
      </c>
      <c r="K248">
        <v>0.19700000000000001</v>
      </c>
      <c r="L248">
        <v>0.8</v>
      </c>
      <c r="M248">
        <v>8.9599999999999999E-2</v>
      </c>
      <c r="N248">
        <v>2</v>
      </c>
      <c r="O248">
        <v>45</v>
      </c>
      <c r="P248">
        <v>47</v>
      </c>
    </row>
    <row r="249" spans="1:16">
      <c r="A249">
        <v>248</v>
      </c>
      <c r="B249" s="2">
        <v>40554</v>
      </c>
      <c r="C249">
        <v>1</v>
      </c>
      <c r="D249">
        <v>0</v>
      </c>
      <c r="E249">
        <v>1</v>
      </c>
      <c r="F249">
        <v>16</v>
      </c>
      <c r="G249" t="b">
        <v>0</v>
      </c>
      <c r="H249">
        <v>2</v>
      </c>
      <c r="I249">
        <v>2</v>
      </c>
      <c r="J249">
        <v>0.16</v>
      </c>
      <c r="K249">
        <v>0.1515</v>
      </c>
      <c r="L249">
        <v>0.86</v>
      </c>
      <c r="M249">
        <v>0.22389999999999999</v>
      </c>
      <c r="N249">
        <v>4</v>
      </c>
      <c r="O249">
        <v>72</v>
      </c>
      <c r="P249">
        <v>76</v>
      </c>
    </row>
    <row r="250" spans="1:16">
      <c r="A250">
        <v>249</v>
      </c>
      <c r="B250" s="2">
        <v>40554</v>
      </c>
      <c r="C250">
        <v>1</v>
      </c>
      <c r="D250">
        <v>0</v>
      </c>
      <c r="E250">
        <v>1</v>
      </c>
      <c r="F250">
        <v>17</v>
      </c>
      <c r="G250" t="b">
        <v>0</v>
      </c>
      <c r="H250">
        <v>2</v>
      </c>
      <c r="I250">
        <v>2</v>
      </c>
      <c r="J250">
        <v>0.16</v>
      </c>
      <c r="K250">
        <v>0.1515</v>
      </c>
      <c r="L250">
        <v>0.86</v>
      </c>
      <c r="M250">
        <v>0.22389999999999999</v>
      </c>
      <c r="N250">
        <v>6</v>
      </c>
      <c r="O250">
        <v>130</v>
      </c>
      <c r="P250">
        <v>136</v>
      </c>
    </row>
    <row r="251" spans="1:16">
      <c r="A251">
        <v>250</v>
      </c>
      <c r="B251" s="2">
        <v>40554</v>
      </c>
      <c r="C251">
        <v>1</v>
      </c>
      <c r="D251">
        <v>0</v>
      </c>
      <c r="E251">
        <v>1</v>
      </c>
      <c r="F251">
        <v>18</v>
      </c>
      <c r="G251" t="b">
        <v>0</v>
      </c>
      <c r="H251">
        <v>2</v>
      </c>
      <c r="I251">
        <v>3</v>
      </c>
      <c r="J251">
        <v>0.16</v>
      </c>
      <c r="K251">
        <v>0.18179999999999999</v>
      </c>
      <c r="L251">
        <v>0.93</v>
      </c>
      <c r="M251">
        <v>0.1045</v>
      </c>
      <c r="N251">
        <v>1</v>
      </c>
      <c r="O251">
        <v>94</v>
      </c>
      <c r="P251">
        <v>95</v>
      </c>
    </row>
    <row r="252" spans="1:16">
      <c r="A252">
        <v>251</v>
      </c>
      <c r="B252" s="2">
        <v>40554</v>
      </c>
      <c r="C252">
        <v>1</v>
      </c>
      <c r="D252">
        <v>0</v>
      </c>
      <c r="E252">
        <v>1</v>
      </c>
      <c r="F252">
        <v>19</v>
      </c>
      <c r="G252" t="b">
        <v>0</v>
      </c>
      <c r="H252">
        <v>2</v>
      </c>
      <c r="I252">
        <v>3</v>
      </c>
      <c r="J252">
        <v>0.16</v>
      </c>
      <c r="K252">
        <v>0.2273</v>
      </c>
      <c r="L252">
        <v>0.93</v>
      </c>
      <c r="M252">
        <v>0</v>
      </c>
      <c r="N252">
        <v>0</v>
      </c>
      <c r="O252">
        <v>51</v>
      </c>
      <c r="P252">
        <v>51</v>
      </c>
    </row>
    <row r="253" spans="1:16">
      <c r="A253">
        <v>252</v>
      </c>
      <c r="B253" s="2">
        <v>40554</v>
      </c>
      <c r="C253">
        <v>1</v>
      </c>
      <c r="D253">
        <v>0</v>
      </c>
      <c r="E253">
        <v>1</v>
      </c>
      <c r="F253">
        <v>20</v>
      </c>
      <c r="G253" t="b">
        <v>0</v>
      </c>
      <c r="H253">
        <v>2</v>
      </c>
      <c r="I253">
        <v>3</v>
      </c>
      <c r="J253">
        <v>0.16</v>
      </c>
      <c r="K253">
        <v>0.1515</v>
      </c>
      <c r="L253">
        <v>0.93</v>
      </c>
      <c r="M253">
        <v>0.19400000000000001</v>
      </c>
      <c r="N253">
        <v>0</v>
      </c>
      <c r="O253">
        <v>32</v>
      </c>
      <c r="P253">
        <v>32</v>
      </c>
    </row>
    <row r="254" spans="1:16">
      <c r="A254">
        <v>253</v>
      </c>
      <c r="B254" s="2">
        <v>40554</v>
      </c>
      <c r="C254">
        <v>1</v>
      </c>
      <c r="D254">
        <v>0</v>
      </c>
      <c r="E254">
        <v>1</v>
      </c>
      <c r="F254">
        <v>21</v>
      </c>
      <c r="G254" t="b">
        <v>0</v>
      </c>
      <c r="H254">
        <v>2</v>
      </c>
      <c r="I254">
        <v>3</v>
      </c>
      <c r="J254">
        <v>0.16</v>
      </c>
      <c r="K254">
        <v>0.19700000000000001</v>
      </c>
      <c r="L254">
        <v>0.86</v>
      </c>
      <c r="M254">
        <v>8.9599999999999999E-2</v>
      </c>
      <c r="N254">
        <v>0</v>
      </c>
      <c r="O254">
        <v>20</v>
      </c>
      <c r="P254">
        <v>20</v>
      </c>
    </row>
    <row r="255" spans="1:16">
      <c r="A255">
        <v>254</v>
      </c>
      <c r="B255" s="2">
        <v>40554</v>
      </c>
      <c r="C255">
        <v>1</v>
      </c>
      <c r="D255">
        <v>0</v>
      </c>
      <c r="E255">
        <v>1</v>
      </c>
      <c r="F255">
        <v>22</v>
      </c>
      <c r="G255" t="b">
        <v>0</v>
      </c>
      <c r="H255">
        <v>2</v>
      </c>
      <c r="I255">
        <v>3</v>
      </c>
      <c r="J255">
        <v>0.16</v>
      </c>
      <c r="K255">
        <v>0.18179999999999999</v>
      </c>
      <c r="L255">
        <v>0.93</v>
      </c>
      <c r="M255">
        <v>0.1045</v>
      </c>
      <c r="N255">
        <v>1</v>
      </c>
      <c r="O255">
        <v>28</v>
      </c>
      <c r="P255">
        <v>29</v>
      </c>
    </row>
    <row r="256" spans="1:16">
      <c r="A256">
        <v>255</v>
      </c>
      <c r="B256" s="2">
        <v>40554</v>
      </c>
      <c r="C256">
        <v>1</v>
      </c>
      <c r="D256">
        <v>0</v>
      </c>
      <c r="E256">
        <v>1</v>
      </c>
      <c r="F256">
        <v>23</v>
      </c>
      <c r="G256" t="b">
        <v>0</v>
      </c>
      <c r="H256">
        <v>2</v>
      </c>
      <c r="I256">
        <v>3</v>
      </c>
      <c r="J256">
        <v>0.16</v>
      </c>
      <c r="K256">
        <v>0.19700000000000001</v>
      </c>
      <c r="L256">
        <v>0.93</v>
      </c>
      <c r="M256">
        <v>8.9599999999999999E-2</v>
      </c>
      <c r="N256">
        <v>1</v>
      </c>
      <c r="O256">
        <v>18</v>
      </c>
      <c r="P256">
        <v>19</v>
      </c>
    </row>
    <row r="257" spans="1:16">
      <c r="A257">
        <v>256</v>
      </c>
      <c r="B257" s="2">
        <v>40555</v>
      </c>
      <c r="C257">
        <v>1</v>
      </c>
      <c r="D257">
        <v>0</v>
      </c>
      <c r="E257">
        <v>1</v>
      </c>
      <c r="F257">
        <v>0</v>
      </c>
      <c r="G257" t="b">
        <v>0</v>
      </c>
      <c r="H257">
        <v>3</v>
      </c>
      <c r="I257">
        <v>2</v>
      </c>
      <c r="J257">
        <v>0.16</v>
      </c>
      <c r="K257">
        <v>0.19700000000000001</v>
      </c>
      <c r="L257">
        <v>0.86</v>
      </c>
      <c r="M257">
        <v>8.9599999999999999E-2</v>
      </c>
      <c r="N257">
        <v>0</v>
      </c>
      <c r="O257">
        <v>7</v>
      </c>
      <c r="P257">
        <v>7</v>
      </c>
    </row>
    <row r="258" spans="1:16">
      <c r="A258">
        <v>257</v>
      </c>
      <c r="B258" s="2">
        <v>40555</v>
      </c>
      <c r="C258">
        <v>1</v>
      </c>
      <c r="D258">
        <v>0</v>
      </c>
      <c r="E258">
        <v>1</v>
      </c>
      <c r="F258">
        <v>1</v>
      </c>
      <c r="G258" t="b">
        <v>0</v>
      </c>
      <c r="H258">
        <v>3</v>
      </c>
      <c r="I258">
        <v>2</v>
      </c>
      <c r="J258">
        <v>0.16</v>
      </c>
      <c r="K258">
        <v>0.18179999999999999</v>
      </c>
      <c r="L258">
        <v>0.86</v>
      </c>
      <c r="M258">
        <v>0.1045</v>
      </c>
      <c r="N258">
        <v>0</v>
      </c>
      <c r="O258">
        <v>6</v>
      </c>
      <c r="P258">
        <v>6</v>
      </c>
    </row>
    <row r="259" spans="1:16">
      <c r="A259">
        <v>258</v>
      </c>
      <c r="B259" s="2">
        <v>40555</v>
      </c>
      <c r="C259">
        <v>1</v>
      </c>
      <c r="D259">
        <v>0</v>
      </c>
      <c r="E259">
        <v>1</v>
      </c>
      <c r="F259">
        <v>2</v>
      </c>
      <c r="G259" t="b">
        <v>0</v>
      </c>
      <c r="H259">
        <v>3</v>
      </c>
      <c r="I259">
        <v>1</v>
      </c>
      <c r="J259">
        <v>0.14000000000000001</v>
      </c>
      <c r="K259">
        <v>0.1515</v>
      </c>
      <c r="L259">
        <v>0.86</v>
      </c>
      <c r="M259">
        <v>0.1343</v>
      </c>
      <c r="N259">
        <v>0</v>
      </c>
      <c r="O259">
        <v>1</v>
      </c>
      <c r="P259">
        <v>1</v>
      </c>
    </row>
    <row r="260" spans="1:16">
      <c r="A260">
        <v>259</v>
      </c>
      <c r="B260" s="2">
        <v>40555</v>
      </c>
      <c r="C260">
        <v>1</v>
      </c>
      <c r="D260">
        <v>0</v>
      </c>
      <c r="E260">
        <v>1</v>
      </c>
      <c r="F260">
        <v>5</v>
      </c>
      <c r="G260" t="b">
        <v>0</v>
      </c>
      <c r="H260">
        <v>3</v>
      </c>
      <c r="I260">
        <v>1</v>
      </c>
      <c r="J260">
        <v>0.14000000000000001</v>
      </c>
      <c r="K260">
        <v>0.1515</v>
      </c>
      <c r="L260">
        <v>0.86</v>
      </c>
      <c r="M260">
        <v>0.16420000000000001</v>
      </c>
      <c r="N260">
        <v>0</v>
      </c>
      <c r="O260">
        <v>5</v>
      </c>
      <c r="P260">
        <v>5</v>
      </c>
    </row>
    <row r="261" spans="1:16">
      <c r="A261">
        <v>260</v>
      </c>
      <c r="B261" s="2">
        <v>40555</v>
      </c>
      <c r="C261">
        <v>1</v>
      </c>
      <c r="D261">
        <v>0</v>
      </c>
      <c r="E261">
        <v>1</v>
      </c>
      <c r="F261">
        <v>6</v>
      </c>
      <c r="G261" t="b">
        <v>0</v>
      </c>
      <c r="H261">
        <v>3</v>
      </c>
      <c r="I261">
        <v>1</v>
      </c>
      <c r="J261">
        <v>0.12</v>
      </c>
      <c r="K261">
        <v>0.1515</v>
      </c>
      <c r="L261">
        <v>0.93</v>
      </c>
      <c r="M261">
        <v>0.1343</v>
      </c>
      <c r="N261">
        <v>0</v>
      </c>
      <c r="O261">
        <v>16</v>
      </c>
      <c r="P261">
        <v>16</v>
      </c>
    </row>
    <row r="262" spans="1:16">
      <c r="A262">
        <v>261</v>
      </c>
      <c r="B262" s="2">
        <v>40555</v>
      </c>
      <c r="C262">
        <v>1</v>
      </c>
      <c r="D262">
        <v>0</v>
      </c>
      <c r="E262">
        <v>1</v>
      </c>
      <c r="F262">
        <v>7</v>
      </c>
      <c r="G262" t="b">
        <v>0</v>
      </c>
      <c r="H262">
        <v>3</v>
      </c>
      <c r="I262">
        <v>1</v>
      </c>
      <c r="J262">
        <v>0.14000000000000001</v>
      </c>
      <c r="K262">
        <v>0.1515</v>
      </c>
      <c r="L262">
        <v>0.69</v>
      </c>
      <c r="M262">
        <v>0.1343</v>
      </c>
      <c r="N262">
        <v>0</v>
      </c>
      <c r="O262">
        <v>54</v>
      </c>
      <c r="P262">
        <v>54</v>
      </c>
    </row>
    <row r="263" spans="1:16">
      <c r="A263">
        <v>262</v>
      </c>
      <c r="B263" s="2">
        <v>40555</v>
      </c>
      <c r="C263">
        <v>1</v>
      </c>
      <c r="D263">
        <v>0</v>
      </c>
      <c r="E263">
        <v>1</v>
      </c>
      <c r="F263">
        <v>8</v>
      </c>
      <c r="G263" t="b">
        <v>0</v>
      </c>
      <c r="H263">
        <v>3</v>
      </c>
      <c r="I263">
        <v>1</v>
      </c>
      <c r="J263">
        <v>0.16</v>
      </c>
      <c r="K263">
        <v>0.16669999999999999</v>
      </c>
      <c r="L263">
        <v>0.59</v>
      </c>
      <c r="M263">
        <v>0.16420000000000001</v>
      </c>
      <c r="N263">
        <v>3</v>
      </c>
      <c r="O263">
        <v>125</v>
      </c>
      <c r="P263">
        <v>128</v>
      </c>
    </row>
    <row r="264" spans="1:16">
      <c r="A264">
        <v>263</v>
      </c>
      <c r="B264" s="2">
        <v>40555</v>
      </c>
      <c r="C264">
        <v>1</v>
      </c>
      <c r="D264">
        <v>0</v>
      </c>
      <c r="E264">
        <v>1</v>
      </c>
      <c r="F264">
        <v>9</v>
      </c>
      <c r="G264" t="b">
        <v>0</v>
      </c>
      <c r="H264">
        <v>3</v>
      </c>
      <c r="I264">
        <v>1</v>
      </c>
      <c r="J264">
        <v>0.16</v>
      </c>
      <c r="K264">
        <v>0.13639999999999999</v>
      </c>
      <c r="L264">
        <v>0.59</v>
      </c>
      <c r="M264">
        <v>0.32840000000000003</v>
      </c>
      <c r="N264">
        <v>3</v>
      </c>
      <c r="O264">
        <v>78</v>
      </c>
      <c r="P264">
        <v>81</v>
      </c>
    </row>
    <row r="265" spans="1:16">
      <c r="A265">
        <v>264</v>
      </c>
      <c r="B265" s="2">
        <v>40555</v>
      </c>
      <c r="C265">
        <v>1</v>
      </c>
      <c r="D265">
        <v>0</v>
      </c>
      <c r="E265">
        <v>1</v>
      </c>
      <c r="F265">
        <v>10</v>
      </c>
      <c r="G265" t="b">
        <v>0</v>
      </c>
      <c r="H265">
        <v>3</v>
      </c>
      <c r="I265">
        <v>1</v>
      </c>
      <c r="J265">
        <v>0.18</v>
      </c>
      <c r="K265">
        <v>0.18179999999999999</v>
      </c>
      <c r="L265">
        <v>0.55000000000000004</v>
      </c>
      <c r="M265">
        <v>0.22389999999999999</v>
      </c>
      <c r="N265">
        <v>0</v>
      </c>
      <c r="O265">
        <v>39</v>
      </c>
      <c r="P265">
        <v>39</v>
      </c>
    </row>
    <row r="266" spans="1:16">
      <c r="A266">
        <v>265</v>
      </c>
      <c r="B266" s="2">
        <v>40555</v>
      </c>
      <c r="C266">
        <v>1</v>
      </c>
      <c r="D266">
        <v>0</v>
      </c>
      <c r="E266">
        <v>1</v>
      </c>
      <c r="F266">
        <v>11</v>
      </c>
      <c r="G266" t="b">
        <v>0</v>
      </c>
      <c r="H266">
        <v>3</v>
      </c>
      <c r="I266">
        <v>1</v>
      </c>
      <c r="J266">
        <v>0.2</v>
      </c>
      <c r="K266">
        <v>0.18179999999999999</v>
      </c>
      <c r="L266">
        <v>0.51</v>
      </c>
      <c r="M266">
        <v>0.3881</v>
      </c>
      <c r="N266">
        <v>3</v>
      </c>
      <c r="O266">
        <v>32</v>
      </c>
      <c r="P266">
        <v>35</v>
      </c>
    </row>
    <row r="267" spans="1:16">
      <c r="A267">
        <v>266</v>
      </c>
      <c r="B267" s="2">
        <v>40555</v>
      </c>
      <c r="C267">
        <v>1</v>
      </c>
      <c r="D267">
        <v>0</v>
      </c>
      <c r="E267">
        <v>1</v>
      </c>
      <c r="F267">
        <v>12</v>
      </c>
      <c r="G267" t="b">
        <v>0</v>
      </c>
      <c r="H267">
        <v>3</v>
      </c>
      <c r="I267">
        <v>1</v>
      </c>
      <c r="J267">
        <v>0.2</v>
      </c>
      <c r="K267">
        <v>0.1515</v>
      </c>
      <c r="L267">
        <v>0.47</v>
      </c>
      <c r="M267">
        <v>0.58209999999999995</v>
      </c>
      <c r="N267">
        <v>3</v>
      </c>
      <c r="O267">
        <v>52</v>
      </c>
      <c r="P267">
        <v>55</v>
      </c>
    </row>
    <row r="268" spans="1:16">
      <c r="A268">
        <v>267</v>
      </c>
      <c r="B268" s="2">
        <v>40555</v>
      </c>
      <c r="C268">
        <v>1</v>
      </c>
      <c r="D268">
        <v>0</v>
      </c>
      <c r="E268">
        <v>1</v>
      </c>
      <c r="F268">
        <v>13</v>
      </c>
      <c r="G268" t="b">
        <v>0</v>
      </c>
      <c r="H268">
        <v>3</v>
      </c>
      <c r="I268">
        <v>1</v>
      </c>
      <c r="J268">
        <v>0.22</v>
      </c>
      <c r="K268">
        <v>0.19700000000000001</v>
      </c>
      <c r="L268">
        <v>0.44</v>
      </c>
      <c r="M268">
        <v>0.35820000000000002</v>
      </c>
      <c r="N268">
        <v>0</v>
      </c>
      <c r="O268">
        <v>49</v>
      </c>
      <c r="P268">
        <v>49</v>
      </c>
    </row>
    <row r="269" spans="1:16">
      <c r="A269">
        <v>268</v>
      </c>
      <c r="B269" s="2">
        <v>40555</v>
      </c>
      <c r="C269">
        <v>1</v>
      </c>
      <c r="D269">
        <v>0</v>
      </c>
      <c r="E269">
        <v>1</v>
      </c>
      <c r="F269">
        <v>14</v>
      </c>
      <c r="G269" t="b">
        <v>0</v>
      </c>
      <c r="H269">
        <v>3</v>
      </c>
      <c r="I269">
        <v>1</v>
      </c>
      <c r="J269">
        <v>0.2</v>
      </c>
      <c r="K269">
        <v>0.18179999999999999</v>
      </c>
      <c r="L269">
        <v>0.47</v>
      </c>
      <c r="M269">
        <v>0.32840000000000003</v>
      </c>
      <c r="N269">
        <v>0</v>
      </c>
      <c r="O269">
        <v>44</v>
      </c>
      <c r="P269">
        <v>44</v>
      </c>
    </row>
    <row r="270" spans="1:16">
      <c r="A270">
        <v>269</v>
      </c>
      <c r="B270" s="2">
        <v>40555</v>
      </c>
      <c r="C270">
        <v>1</v>
      </c>
      <c r="D270">
        <v>0</v>
      </c>
      <c r="E270">
        <v>1</v>
      </c>
      <c r="F270">
        <v>15</v>
      </c>
      <c r="G270" t="b">
        <v>0</v>
      </c>
      <c r="H270">
        <v>3</v>
      </c>
      <c r="I270">
        <v>1</v>
      </c>
      <c r="J270">
        <v>0.2</v>
      </c>
      <c r="K270">
        <v>0.16669999999999999</v>
      </c>
      <c r="L270">
        <v>0.47</v>
      </c>
      <c r="M270">
        <v>0.41789999999999999</v>
      </c>
      <c r="N270">
        <v>1</v>
      </c>
      <c r="O270">
        <v>48</v>
      </c>
      <c r="P270">
        <v>49</v>
      </c>
    </row>
    <row r="271" spans="1:16">
      <c r="A271">
        <v>270</v>
      </c>
      <c r="B271" s="2">
        <v>40555</v>
      </c>
      <c r="C271">
        <v>1</v>
      </c>
      <c r="D271">
        <v>0</v>
      </c>
      <c r="E271">
        <v>1</v>
      </c>
      <c r="F271">
        <v>16</v>
      </c>
      <c r="G271" t="b">
        <v>0</v>
      </c>
      <c r="H271">
        <v>3</v>
      </c>
      <c r="I271">
        <v>1</v>
      </c>
      <c r="J271">
        <v>0.22</v>
      </c>
      <c r="K271">
        <v>0.19700000000000001</v>
      </c>
      <c r="L271">
        <v>0.44</v>
      </c>
      <c r="M271">
        <v>0.32840000000000003</v>
      </c>
      <c r="N271">
        <v>5</v>
      </c>
      <c r="O271">
        <v>63</v>
      </c>
      <c r="P271">
        <v>68</v>
      </c>
    </row>
    <row r="272" spans="1:16">
      <c r="A272">
        <v>271</v>
      </c>
      <c r="B272" s="2">
        <v>40555</v>
      </c>
      <c r="C272">
        <v>1</v>
      </c>
      <c r="D272">
        <v>0</v>
      </c>
      <c r="E272">
        <v>1</v>
      </c>
      <c r="F272">
        <v>17</v>
      </c>
      <c r="G272" t="b">
        <v>0</v>
      </c>
      <c r="H272">
        <v>3</v>
      </c>
      <c r="I272">
        <v>1</v>
      </c>
      <c r="J272">
        <v>0.2</v>
      </c>
      <c r="K272">
        <v>0.18179999999999999</v>
      </c>
      <c r="L272">
        <v>0.47</v>
      </c>
      <c r="M272">
        <v>0.35820000000000002</v>
      </c>
      <c r="N272">
        <v>0</v>
      </c>
      <c r="O272">
        <v>139</v>
      </c>
      <c r="P272">
        <v>139</v>
      </c>
    </row>
    <row r="273" spans="1:16">
      <c r="A273">
        <v>272</v>
      </c>
      <c r="B273" s="2">
        <v>40555</v>
      </c>
      <c r="C273">
        <v>1</v>
      </c>
      <c r="D273">
        <v>0</v>
      </c>
      <c r="E273">
        <v>1</v>
      </c>
      <c r="F273">
        <v>18</v>
      </c>
      <c r="G273" t="b">
        <v>0</v>
      </c>
      <c r="H273">
        <v>3</v>
      </c>
      <c r="I273">
        <v>1</v>
      </c>
      <c r="J273">
        <v>0.2</v>
      </c>
      <c r="K273">
        <v>0.1515</v>
      </c>
      <c r="L273">
        <v>0.47</v>
      </c>
      <c r="M273">
        <v>0.52239999999999998</v>
      </c>
      <c r="N273">
        <v>2</v>
      </c>
      <c r="O273">
        <v>135</v>
      </c>
      <c r="P273">
        <v>137</v>
      </c>
    </row>
    <row r="274" spans="1:16">
      <c r="A274">
        <v>273</v>
      </c>
      <c r="B274" s="2">
        <v>40555</v>
      </c>
      <c r="C274">
        <v>1</v>
      </c>
      <c r="D274">
        <v>0</v>
      </c>
      <c r="E274">
        <v>1</v>
      </c>
      <c r="F274">
        <v>19</v>
      </c>
      <c r="G274" t="b">
        <v>0</v>
      </c>
      <c r="H274">
        <v>3</v>
      </c>
      <c r="I274">
        <v>1</v>
      </c>
      <c r="J274">
        <v>0.18</v>
      </c>
      <c r="K274">
        <v>0.1515</v>
      </c>
      <c r="L274">
        <v>0.47</v>
      </c>
      <c r="M274">
        <v>0.41789999999999999</v>
      </c>
      <c r="N274">
        <v>1</v>
      </c>
      <c r="O274">
        <v>82</v>
      </c>
      <c r="P274">
        <v>83</v>
      </c>
    </row>
    <row r="275" spans="1:16">
      <c r="A275">
        <v>274</v>
      </c>
      <c r="B275" s="2">
        <v>40555</v>
      </c>
      <c r="C275">
        <v>1</v>
      </c>
      <c r="D275">
        <v>0</v>
      </c>
      <c r="E275">
        <v>1</v>
      </c>
      <c r="F275">
        <v>20</v>
      </c>
      <c r="G275" t="b">
        <v>0</v>
      </c>
      <c r="H275">
        <v>3</v>
      </c>
      <c r="I275">
        <v>1</v>
      </c>
      <c r="J275">
        <v>0.16</v>
      </c>
      <c r="K275">
        <v>0.13639999999999999</v>
      </c>
      <c r="L275">
        <v>0.5</v>
      </c>
      <c r="M275">
        <v>0.32840000000000003</v>
      </c>
      <c r="N275">
        <v>2</v>
      </c>
      <c r="O275">
        <v>54</v>
      </c>
      <c r="P275">
        <v>56</v>
      </c>
    </row>
    <row r="276" spans="1:16">
      <c r="A276">
        <v>275</v>
      </c>
      <c r="B276" s="2">
        <v>40555</v>
      </c>
      <c r="C276">
        <v>1</v>
      </c>
      <c r="D276">
        <v>0</v>
      </c>
      <c r="E276">
        <v>1</v>
      </c>
      <c r="F276">
        <v>21</v>
      </c>
      <c r="G276" t="b">
        <v>0</v>
      </c>
      <c r="H276">
        <v>3</v>
      </c>
      <c r="I276">
        <v>1</v>
      </c>
      <c r="J276">
        <v>0.16</v>
      </c>
      <c r="K276">
        <v>0.13639999999999999</v>
      </c>
      <c r="L276">
        <v>0.55000000000000004</v>
      </c>
      <c r="M276">
        <v>0.32840000000000003</v>
      </c>
      <c r="N276">
        <v>0</v>
      </c>
      <c r="O276">
        <v>57</v>
      </c>
      <c r="P276">
        <v>57</v>
      </c>
    </row>
    <row r="277" spans="1:16">
      <c r="A277">
        <v>276</v>
      </c>
      <c r="B277" s="2">
        <v>40555</v>
      </c>
      <c r="C277">
        <v>1</v>
      </c>
      <c r="D277">
        <v>0</v>
      </c>
      <c r="E277">
        <v>1</v>
      </c>
      <c r="F277">
        <v>22</v>
      </c>
      <c r="G277" t="b">
        <v>0</v>
      </c>
      <c r="H277">
        <v>3</v>
      </c>
      <c r="I277">
        <v>1</v>
      </c>
      <c r="J277">
        <v>0.16</v>
      </c>
      <c r="K277">
        <v>0.1212</v>
      </c>
      <c r="L277">
        <v>0.55000000000000004</v>
      </c>
      <c r="M277">
        <v>0.44779999999999998</v>
      </c>
      <c r="N277">
        <v>1</v>
      </c>
      <c r="O277">
        <v>32</v>
      </c>
      <c r="P277">
        <v>33</v>
      </c>
    </row>
    <row r="278" spans="1:16">
      <c r="A278">
        <v>277</v>
      </c>
      <c r="B278" s="2">
        <v>40555</v>
      </c>
      <c r="C278">
        <v>1</v>
      </c>
      <c r="D278">
        <v>0</v>
      </c>
      <c r="E278">
        <v>1</v>
      </c>
      <c r="F278">
        <v>23</v>
      </c>
      <c r="G278" t="b">
        <v>0</v>
      </c>
      <c r="H278">
        <v>3</v>
      </c>
      <c r="I278">
        <v>1</v>
      </c>
      <c r="J278">
        <v>0.14000000000000001</v>
      </c>
      <c r="K278">
        <v>0.1061</v>
      </c>
      <c r="L278">
        <v>0.59</v>
      </c>
      <c r="M278">
        <v>0.41789999999999999</v>
      </c>
      <c r="N278">
        <v>1</v>
      </c>
      <c r="O278">
        <v>19</v>
      </c>
      <c r="P278">
        <v>20</v>
      </c>
    </row>
    <row r="279" spans="1:16">
      <c r="A279">
        <v>278</v>
      </c>
      <c r="B279" s="2">
        <v>40556</v>
      </c>
      <c r="C279">
        <v>1</v>
      </c>
      <c r="D279">
        <v>0</v>
      </c>
      <c r="E279">
        <v>1</v>
      </c>
      <c r="F279">
        <v>0</v>
      </c>
      <c r="G279" t="b">
        <v>0</v>
      </c>
      <c r="H279">
        <v>4</v>
      </c>
      <c r="I279">
        <v>1</v>
      </c>
      <c r="J279">
        <v>0.14000000000000001</v>
      </c>
      <c r="K279">
        <v>0.1212</v>
      </c>
      <c r="L279">
        <v>0.59</v>
      </c>
      <c r="M279">
        <v>0.28360000000000002</v>
      </c>
      <c r="N279">
        <v>1</v>
      </c>
      <c r="O279">
        <v>6</v>
      </c>
      <c r="P279">
        <v>7</v>
      </c>
    </row>
    <row r="280" spans="1:16">
      <c r="A280">
        <v>279</v>
      </c>
      <c r="B280" s="2">
        <v>40556</v>
      </c>
      <c r="C280">
        <v>1</v>
      </c>
      <c r="D280">
        <v>0</v>
      </c>
      <c r="E280">
        <v>1</v>
      </c>
      <c r="F280">
        <v>1</v>
      </c>
      <c r="G280" t="b">
        <v>0</v>
      </c>
      <c r="H280">
        <v>4</v>
      </c>
      <c r="I280">
        <v>1</v>
      </c>
      <c r="J280">
        <v>0.14000000000000001</v>
      </c>
      <c r="K280">
        <v>0.1212</v>
      </c>
      <c r="L280">
        <v>0.5</v>
      </c>
      <c r="M280">
        <v>0.28360000000000002</v>
      </c>
      <c r="N280">
        <v>0</v>
      </c>
      <c r="O280">
        <v>2</v>
      </c>
      <c r="P280">
        <v>2</v>
      </c>
    </row>
    <row r="281" spans="1:16">
      <c r="A281">
        <v>280</v>
      </c>
      <c r="B281" s="2">
        <v>40556</v>
      </c>
      <c r="C281">
        <v>1</v>
      </c>
      <c r="D281">
        <v>0</v>
      </c>
      <c r="E281">
        <v>1</v>
      </c>
      <c r="F281">
        <v>2</v>
      </c>
      <c r="G281" t="b">
        <v>0</v>
      </c>
      <c r="H281">
        <v>4</v>
      </c>
      <c r="I281">
        <v>1</v>
      </c>
      <c r="J281">
        <v>0.14000000000000001</v>
      </c>
      <c r="K281">
        <v>0.1212</v>
      </c>
      <c r="L281">
        <v>0.5</v>
      </c>
      <c r="M281">
        <v>0.35820000000000002</v>
      </c>
      <c r="N281">
        <v>0</v>
      </c>
      <c r="O281">
        <v>2</v>
      </c>
      <c r="P281">
        <v>2</v>
      </c>
    </row>
    <row r="282" spans="1:16">
      <c r="A282">
        <v>281</v>
      </c>
      <c r="B282" s="2">
        <v>40556</v>
      </c>
      <c r="C282">
        <v>1</v>
      </c>
      <c r="D282">
        <v>0</v>
      </c>
      <c r="E282">
        <v>1</v>
      </c>
      <c r="F282">
        <v>3</v>
      </c>
      <c r="G282" t="b">
        <v>0</v>
      </c>
      <c r="H282">
        <v>4</v>
      </c>
      <c r="I282">
        <v>1</v>
      </c>
      <c r="J282">
        <v>0.14000000000000001</v>
      </c>
      <c r="K282">
        <v>0.1212</v>
      </c>
      <c r="L282">
        <v>0.5</v>
      </c>
      <c r="M282">
        <v>0.32840000000000003</v>
      </c>
      <c r="N282">
        <v>0</v>
      </c>
      <c r="O282">
        <v>3</v>
      </c>
      <c r="P282">
        <v>3</v>
      </c>
    </row>
    <row r="283" spans="1:16">
      <c r="A283">
        <v>282</v>
      </c>
      <c r="B283" s="2">
        <v>40556</v>
      </c>
      <c r="C283">
        <v>1</v>
      </c>
      <c r="D283">
        <v>0</v>
      </c>
      <c r="E283">
        <v>1</v>
      </c>
      <c r="F283">
        <v>4</v>
      </c>
      <c r="G283" t="b">
        <v>0</v>
      </c>
      <c r="H283">
        <v>4</v>
      </c>
      <c r="I283">
        <v>1</v>
      </c>
      <c r="J283">
        <v>0.14000000000000001</v>
      </c>
      <c r="K283">
        <v>0.1212</v>
      </c>
      <c r="L283">
        <v>0.5</v>
      </c>
      <c r="M283">
        <v>0.25369999999999998</v>
      </c>
      <c r="N283">
        <v>0</v>
      </c>
      <c r="O283">
        <v>4</v>
      </c>
      <c r="P283">
        <v>4</v>
      </c>
    </row>
    <row r="284" spans="1:16">
      <c r="A284">
        <v>283</v>
      </c>
      <c r="B284" s="2">
        <v>40556</v>
      </c>
      <c r="C284">
        <v>1</v>
      </c>
      <c r="D284">
        <v>0</v>
      </c>
      <c r="E284">
        <v>1</v>
      </c>
      <c r="F284">
        <v>5</v>
      </c>
      <c r="G284" t="b">
        <v>0</v>
      </c>
      <c r="H284">
        <v>4</v>
      </c>
      <c r="I284">
        <v>1</v>
      </c>
      <c r="J284">
        <v>0.14000000000000001</v>
      </c>
      <c r="K284">
        <v>0.1212</v>
      </c>
      <c r="L284">
        <v>0.5</v>
      </c>
      <c r="M284">
        <v>0.29849999999999999</v>
      </c>
      <c r="N284">
        <v>0</v>
      </c>
      <c r="O284">
        <v>3</v>
      </c>
      <c r="P284">
        <v>3</v>
      </c>
    </row>
    <row r="285" spans="1:16">
      <c r="A285">
        <v>284</v>
      </c>
      <c r="B285" s="2">
        <v>40556</v>
      </c>
      <c r="C285">
        <v>1</v>
      </c>
      <c r="D285">
        <v>0</v>
      </c>
      <c r="E285">
        <v>1</v>
      </c>
      <c r="F285">
        <v>6</v>
      </c>
      <c r="G285" t="b">
        <v>0</v>
      </c>
      <c r="H285">
        <v>4</v>
      </c>
      <c r="I285">
        <v>1</v>
      </c>
      <c r="J285">
        <v>0.12</v>
      </c>
      <c r="K285">
        <v>0.1515</v>
      </c>
      <c r="L285">
        <v>0.54</v>
      </c>
      <c r="M285">
        <v>0.1343</v>
      </c>
      <c r="N285">
        <v>0</v>
      </c>
      <c r="O285">
        <v>28</v>
      </c>
      <c r="P285">
        <v>28</v>
      </c>
    </row>
    <row r="286" spans="1:16">
      <c r="A286">
        <v>285</v>
      </c>
      <c r="B286" s="2">
        <v>40556</v>
      </c>
      <c r="C286">
        <v>1</v>
      </c>
      <c r="D286">
        <v>0</v>
      </c>
      <c r="E286">
        <v>1</v>
      </c>
      <c r="F286">
        <v>7</v>
      </c>
      <c r="G286" t="b">
        <v>0</v>
      </c>
      <c r="H286">
        <v>4</v>
      </c>
      <c r="I286">
        <v>1</v>
      </c>
      <c r="J286">
        <v>0.12</v>
      </c>
      <c r="K286">
        <v>0.1515</v>
      </c>
      <c r="L286">
        <v>0.54</v>
      </c>
      <c r="M286">
        <v>0.1343</v>
      </c>
      <c r="N286">
        <v>0</v>
      </c>
      <c r="O286">
        <v>72</v>
      </c>
      <c r="P286">
        <v>72</v>
      </c>
    </row>
    <row r="287" spans="1:16">
      <c r="A287">
        <v>286</v>
      </c>
      <c r="B287" s="2">
        <v>40556</v>
      </c>
      <c r="C287">
        <v>1</v>
      </c>
      <c r="D287">
        <v>0</v>
      </c>
      <c r="E287">
        <v>1</v>
      </c>
      <c r="F287">
        <v>8</v>
      </c>
      <c r="G287" t="b">
        <v>0</v>
      </c>
      <c r="H287">
        <v>4</v>
      </c>
      <c r="I287">
        <v>1</v>
      </c>
      <c r="J287">
        <v>0.14000000000000001</v>
      </c>
      <c r="K287">
        <v>0.13639999999999999</v>
      </c>
      <c r="L287">
        <v>0.5</v>
      </c>
      <c r="M287">
        <v>0.19400000000000001</v>
      </c>
      <c r="N287">
        <v>5</v>
      </c>
      <c r="O287">
        <v>197</v>
      </c>
      <c r="P287">
        <v>202</v>
      </c>
    </row>
    <row r="288" spans="1:16">
      <c r="A288">
        <v>287</v>
      </c>
      <c r="B288" s="2">
        <v>40556</v>
      </c>
      <c r="C288">
        <v>1</v>
      </c>
      <c r="D288">
        <v>0</v>
      </c>
      <c r="E288">
        <v>1</v>
      </c>
      <c r="F288">
        <v>9</v>
      </c>
      <c r="G288" t="b">
        <v>0</v>
      </c>
      <c r="H288">
        <v>4</v>
      </c>
      <c r="I288">
        <v>1</v>
      </c>
      <c r="J288">
        <v>0.14000000000000001</v>
      </c>
      <c r="K288">
        <v>0.1212</v>
      </c>
      <c r="L288">
        <v>0.5</v>
      </c>
      <c r="M288">
        <v>0.32840000000000003</v>
      </c>
      <c r="N288">
        <v>2</v>
      </c>
      <c r="O288">
        <v>137</v>
      </c>
      <c r="P288">
        <v>139</v>
      </c>
    </row>
    <row r="289" spans="1:16">
      <c r="A289">
        <v>288</v>
      </c>
      <c r="B289" s="2">
        <v>40556</v>
      </c>
      <c r="C289">
        <v>1</v>
      </c>
      <c r="D289">
        <v>0</v>
      </c>
      <c r="E289">
        <v>1</v>
      </c>
      <c r="F289">
        <v>10</v>
      </c>
      <c r="G289" t="b">
        <v>0</v>
      </c>
      <c r="H289">
        <v>4</v>
      </c>
      <c r="I289">
        <v>2</v>
      </c>
      <c r="J289">
        <v>0.16</v>
      </c>
      <c r="K289">
        <v>0.13639999999999999</v>
      </c>
      <c r="L289">
        <v>0.5</v>
      </c>
      <c r="M289">
        <v>0.35820000000000002</v>
      </c>
      <c r="N289">
        <v>2</v>
      </c>
      <c r="O289">
        <v>36</v>
      </c>
      <c r="P289">
        <v>38</v>
      </c>
    </row>
    <row r="290" spans="1:16">
      <c r="A290">
        <v>289</v>
      </c>
      <c r="B290" s="2">
        <v>40556</v>
      </c>
      <c r="C290">
        <v>1</v>
      </c>
      <c r="D290">
        <v>0</v>
      </c>
      <c r="E290">
        <v>1</v>
      </c>
      <c r="F290">
        <v>11</v>
      </c>
      <c r="G290" t="b">
        <v>0</v>
      </c>
      <c r="H290">
        <v>4</v>
      </c>
      <c r="I290">
        <v>2</v>
      </c>
      <c r="J290">
        <v>0.2</v>
      </c>
      <c r="K290">
        <v>0.16669999999999999</v>
      </c>
      <c r="L290">
        <v>0.44</v>
      </c>
      <c r="M290">
        <v>0.44779999999999998</v>
      </c>
      <c r="N290">
        <v>4</v>
      </c>
      <c r="O290">
        <v>33</v>
      </c>
      <c r="P290">
        <v>37</v>
      </c>
    </row>
    <row r="291" spans="1:16">
      <c r="A291">
        <v>290</v>
      </c>
      <c r="B291" s="2">
        <v>40556</v>
      </c>
      <c r="C291">
        <v>1</v>
      </c>
      <c r="D291">
        <v>0</v>
      </c>
      <c r="E291">
        <v>1</v>
      </c>
      <c r="F291">
        <v>12</v>
      </c>
      <c r="G291" t="b">
        <v>0</v>
      </c>
      <c r="H291">
        <v>4</v>
      </c>
      <c r="I291">
        <v>1</v>
      </c>
      <c r="J291">
        <v>0.2</v>
      </c>
      <c r="K291">
        <v>0.16669999999999999</v>
      </c>
      <c r="L291">
        <v>0.44</v>
      </c>
      <c r="M291">
        <v>0.41789999999999999</v>
      </c>
      <c r="N291">
        <v>3</v>
      </c>
      <c r="O291">
        <v>49</v>
      </c>
      <c r="P291">
        <v>52</v>
      </c>
    </row>
    <row r="292" spans="1:16">
      <c r="A292">
        <v>291</v>
      </c>
      <c r="B292" s="2">
        <v>40556</v>
      </c>
      <c r="C292">
        <v>1</v>
      </c>
      <c r="D292">
        <v>0</v>
      </c>
      <c r="E292">
        <v>1</v>
      </c>
      <c r="F292">
        <v>13</v>
      </c>
      <c r="G292" t="b">
        <v>0</v>
      </c>
      <c r="H292">
        <v>4</v>
      </c>
      <c r="I292">
        <v>1</v>
      </c>
      <c r="J292">
        <v>0.22</v>
      </c>
      <c r="K292">
        <v>0.19700000000000001</v>
      </c>
      <c r="L292">
        <v>0.41</v>
      </c>
      <c r="M292">
        <v>0.44779999999999998</v>
      </c>
      <c r="N292">
        <v>2</v>
      </c>
      <c r="O292">
        <v>81</v>
      </c>
      <c r="P292">
        <v>83</v>
      </c>
    </row>
    <row r="293" spans="1:16">
      <c r="A293">
        <v>292</v>
      </c>
      <c r="B293" s="2">
        <v>40556</v>
      </c>
      <c r="C293">
        <v>1</v>
      </c>
      <c r="D293">
        <v>0</v>
      </c>
      <c r="E293">
        <v>1</v>
      </c>
      <c r="F293">
        <v>14</v>
      </c>
      <c r="G293" t="b">
        <v>0</v>
      </c>
      <c r="H293">
        <v>4</v>
      </c>
      <c r="I293">
        <v>1</v>
      </c>
      <c r="J293">
        <v>0.22</v>
      </c>
      <c r="K293">
        <v>0.19700000000000001</v>
      </c>
      <c r="L293">
        <v>0.41</v>
      </c>
      <c r="M293">
        <v>0.3881</v>
      </c>
      <c r="N293">
        <v>3</v>
      </c>
      <c r="O293">
        <v>39</v>
      </c>
      <c r="P293">
        <v>42</v>
      </c>
    </row>
    <row r="294" spans="1:16">
      <c r="A294">
        <v>293</v>
      </c>
      <c r="B294" s="2">
        <v>40556</v>
      </c>
      <c r="C294">
        <v>1</v>
      </c>
      <c r="D294">
        <v>0</v>
      </c>
      <c r="E294">
        <v>1</v>
      </c>
      <c r="F294">
        <v>15</v>
      </c>
      <c r="G294" t="b">
        <v>0</v>
      </c>
      <c r="H294">
        <v>4</v>
      </c>
      <c r="I294">
        <v>1</v>
      </c>
      <c r="J294">
        <v>0.24</v>
      </c>
      <c r="K294">
        <v>0.21210000000000001</v>
      </c>
      <c r="L294">
        <v>0.38</v>
      </c>
      <c r="M294">
        <v>0.29849999999999999</v>
      </c>
      <c r="N294">
        <v>5</v>
      </c>
      <c r="O294">
        <v>55</v>
      </c>
      <c r="P294">
        <v>60</v>
      </c>
    </row>
    <row r="295" spans="1:16">
      <c r="A295">
        <v>294</v>
      </c>
      <c r="B295" s="2">
        <v>40556</v>
      </c>
      <c r="C295">
        <v>1</v>
      </c>
      <c r="D295">
        <v>0</v>
      </c>
      <c r="E295">
        <v>1</v>
      </c>
      <c r="F295">
        <v>16</v>
      </c>
      <c r="G295" t="b">
        <v>0</v>
      </c>
      <c r="H295">
        <v>4</v>
      </c>
      <c r="I295">
        <v>1</v>
      </c>
      <c r="J295">
        <v>0.24</v>
      </c>
      <c r="K295">
        <v>0.21210000000000001</v>
      </c>
      <c r="L295">
        <v>0.38</v>
      </c>
      <c r="M295">
        <v>0.35820000000000002</v>
      </c>
      <c r="N295">
        <v>2</v>
      </c>
      <c r="O295">
        <v>76</v>
      </c>
      <c r="P295">
        <v>78</v>
      </c>
    </row>
    <row r="296" spans="1:16">
      <c r="A296">
        <v>295</v>
      </c>
      <c r="B296" s="2">
        <v>40556</v>
      </c>
      <c r="C296">
        <v>1</v>
      </c>
      <c r="D296">
        <v>0</v>
      </c>
      <c r="E296">
        <v>1</v>
      </c>
      <c r="F296">
        <v>17</v>
      </c>
      <c r="G296" t="b">
        <v>0</v>
      </c>
      <c r="H296">
        <v>4</v>
      </c>
      <c r="I296">
        <v>1</v>
      </c>
      <c r="J296">
        <v>0.2</v>
      </c>
      <c r="K296">
        <v>0.18179999999999999</v>
      </c>
      <c r="L296">
        <v>0.4</v>
      </c>
      <c r="M296">
        <v>0.28360000000000002</v>
      </c>
      <c r="N296">
        <v>4</v>
      </c>
      <c r="O296">
        <v>158</v>
      </c>
      <c r="P296">
        <v>162</v>
      </c>
    </row>
    <row r="297" spans="1:16">
      <c r="A297">
        <v>296</v>
      </c>
      <c r="B297" s="2">
        <v>40556</v>
      </c>
      <c r="C297">
        <v>1</v>
      </c>
      <c r="D297">
        <v>0</v>
      </c>
      <c r="E297">
        <v>1</v>
      </c>
      <c r="F297">
        <v>18</v>
      </c>
      <c r="G297" t="b">
        <v>0</v>
      </c>
      <c r="H297">
        <v>4</v>
      </c>
      <c r="I297">
        <v>1</v>
      </c>
      <c r="J297">
        <v>0.2</v>
      </c>
      <c r="K297">
        <v>0.18179999999999999</v>
      </c>
      <c r="L297">
        <v>0.4</v>
      </c>
      <c r="M297">
        <v>0.32840000000000003</v>
      </c>
      <c r="N297">
        <v>3</v>
      </c>
      <c r="O297">
        <v>141</v>
      </c>
      <c r="P297">
        <v>144</v>
      </c>
    </row>
    <row r="298" spans="1:16">
      <c r="A298">
        <v>297</v>
      </c>
      <c r="B298" s="2">
        <v>40556</v>
      </c>
      <c r="C298">
        <v>1</v>
      </c>
      <c r="D298">
        <v>0</v>
      </c>
      <c r="E298">
        <v>1</v>
      </c>
      <c r="F298">
        <v>19</v>
      </c>
      <c r="G298" t="b">
        <v>0</v>
      </c>
      <c r="H298">
        <v>4</v>
      </c>
      <c r="I298">
        <v>1</v>
      </c>
      <c r="J298">
        <v>0.16</v>
      </c>
      <c r="K298">
        <v>0.1515</v>
      </c>
      <c r="L298">
        <v>0.47</v>
      </c>
      <c r="M298">
        <v>0.25369999999999998</v>
      </c>
      <c r="N298">
        <v>1</v>
      </c>
      <c r="O298">
        <v>98</v>
      </c>
      <c r="P298">
        <v>99</v>
      </c>
    </row>
    <row r="299" spans="1:16">
      <c r="A299">
        <v>298</v>
      </c>
      <c r="B299" s="2">
        <v>40556</v>
      </c>
      <c r="C299">
        <v>1</v>
      </c>
      <c r="D299">
        <v>0</v>
      </c>
      <c r="E299">
        <v>1</v>
      </c>
      <c r="F299">
        <v>20</v>
      </c>
      <c r="G299" t="b">
        <v>0</v>
      </c>
      <c r="H299">
        <v>4</v>
      </c>
      <c r="I299">
        <v>1</v>
      </c>
      <c r="J299">
        <v>0.16</v>
      </c>
      <c r="K299">
        <v>0.1515</v>
      </c>
      <c r="L299">
        <v>0.47</v>
      </c>
      <c r="M299">
        <v>0.22389999999999999</v>
      </c>
      <c r="N299">
        <v>0</v>
      </c>
      <c r="O299">
        <v>64</v>
      </c>
      <c r="P299">
        <v>64</v>
      </c>
    </row>
    <row r="300" spans="1:16">
      <c r="A300">
        <v>299</v>
      </c>
      <c r="B300" s="2">
        <v>40556</v>
      </c>
      <c r="C300">
        <v>1</v>
      </c>
      <c r="D300">
        <v>0</v>
      </c>
      <c r="E300">
        <v>1</v>
      </c>
      <c r="F300">
        <v>21</v>
      </c>
      <c r="G300" t="b">
        <v>0</v>
      </c>
      <c r="H300">
        <v>4</v>
      </c>
      <c r="I300">
        <v>1</v>
      </c>
      <c r="J300">
        <v>0.14000000000000001</v>
      </c>
      <c r="K300">
        <v>0.1212</v>
      </c>
      <c r="L300">
        <v>0.46</v>
      </c>
      <c r="M300">
        <v>0.29849999999999999</v>
      </c>
      <c r="N300">
        <v>0</v>
      </c>
      <c r="O300">
        <v>40</v>
      </c>
      <c r="P300">
        <v>40</v>
      </c>
    </row>
    <row r="301" spans="1:16">
      <c r="A301">
        <v>300</v>
      </c>
      <c r="B301" s="2">
        <v>40556</v>
      </c>
      <c r="C301">
        <v>1</v>
      </c>
      <c r="D301">
        <v>0</v>
      </c>
      <c r="E301">
        <v>1</v>
      </c>
      <c r="F301">
        <v>22</v>
      </c>
      <c r="G301" t="b">
        <v>0</v>
      </c>
      <c r="H301">
        <v>4</v>
      </c>
      <c r="I301">
        <v>1</v>
      </c>
      <c r="J301">
        <v>0.14000000000000001</v>
      </c>
      <c r="K301">
        <v>0.1212</v>
      </c>
      <c r="L301">
        <v>0.46</v>
      </c>
      <c r="M301">
        <v>0.32840000000000003</v>
      </c>
      <c r="N301">
        <v>0</v>
      </c>
      <c r="O301">
        <v>30</v>
      </c>
      <c r="P301">
        <v>30</v>
      </c>
    </row>
    <row r="302" spans="1:16">
      <c r="A302">
        <v>301</v>
      </c>
      <c r="B302" s="2">
        <v>40556</v>
      </c>
      <c r="C302">
        <v>1</v>
      </c>
      <c r="D302">
        <v>0</v>
      </c>
      <c r="E302">
        <v>1</v>
      </c>
      <c r="F302">
        <v>23</v>
      </c>
      <c r="G302" t="b">
        <v>0</v>
      </c>
      <c r="H302">
        <v>4</v>
      </c>
      <c r="I302">
        <v>1</v>
      </c>
      <c r="J302">
        <v>0.12</v>
      </c>
      <c r="K302">
        <v>0.13639999999999999</v>
      </c>
      <c r="L302">
        <v>0.5</v>
      </c>
      <c r="M302">
        <v>0.19400000000000001</v>
      </c>
      <c r="N302">
        <v>1</v>
      </c>
      <c r="O302">
        <v>14</v>
      </c>
      <c r="P302">
        <v>15</v>
      </c>
    </row>
    <row r="303" spans="1:16">
      <c r="A303">
        <v>302</v>
      </c>
      <c r="B303" s="2">
        <v>40557</v>
      </c>
      <c r="C303">
        <v>1</v>
      </c>
      <c r="D303">
        <v>0</v>
      </c>
      <c r="E303">
        <v>1</v>
      </c>
      <c r="F303">
        <v>0</v>
      </c>
      <c r="G303" t="b">
        <v>0</v>
      </c>
      <c r="H303">
        <v>5</v>
      </c>
      <c r="I303">
        <v>1</v>
      </c>
      <c r="J303">
        <v>0.12</v>
      </c>
      <c r="K303">
        <v>0.13639999999999999</v>
      </c>
      <c r="L303">
        <v>0.5</v>
      </c>
      <c r="M303">
        <v>0.19400000000000001</v>
      </c>
      <c r="N303">
        <v>0</v>
      </c>
      <c r="O303">
        <v>14</v>
      </c>
      <c r="P303">
        <v>14</v>
      </c>
    </row>
    <row r="304" spans="1:16">
      <c r="A304">
        <v>303</v>
      </c>
      <c r="B304" s="2">
        <v>40557</v>
      </c>
      <c r="C304">
        <v>1</v>
      </c>
      <c r="D304">
        <v>0</v>
      </c>
      <c r="E304">
        <v>1</v>
      </c>
      <c r="F304">
        <v>1</v>
      </c>
      <c r="G304" t="b">
        <v>0</v>
      </c>
      <c r="H304">
        <v>5</v>
      </c>
      <c r="I304">
        <v>1</v>
      </c>
      <c r="J304">
        <v>0.1</v>
      </c>
      <c r="K304">
        <v>0.1212</v>
      </c>
      <c r="L304">
        <v>0.54</v>
      </c>
      <c r="M304">
        <v>0.16420000000000001</v>
      </c>
      <c r="N304">
        <v>0</v>
      </c>
      <c r="O304">
        <v>5</v>
      </c>
      <c r="P304">
        <v>5</v>
      </c>
    </row>
    <row r="305" spans="1:16">
      <c r="A305">
        <v>304</v>
      </c>
      <c r="B305" s="2">
        <v>40557</v>
      </c>
      <c r="C305">
        <v>1</v>
      </c>
      <c r="D305">
        <v>0</v>
      </c>
      <c r="E305">
        <v>1</v>
      </c>
      <c r="F305">
        <v>2</v>
      </c>
      <c r="G305" t="b">
        <v>0</v>
      </c>
      <c r="H305">
        <v>5</v>
      </c>
      <c r="I305">
        <v>1</v>
      </c>
      <c r="J305">
        <v>0.1</v>
      </c>
      <c r="K305">
        <v>0.1212</v>
      </c>
      <c r="L305">
        <v>0.54</v>
      </c>
      <c r="M305">
        <v>0.1343</v>
      </c>
      <c r="N305">
        <v>0</v>
      </c>
      <c r="O305">
        <v>1</v>
      </c>
      <c r="P305">
        <v>1</v>
      </c>
    </row>
    <row r="306" spans="1:16">
      <c r="A306">
        <v>305</v>
      </c>
      <c r="B306" s="2">
        <v>40557</v>
      </c>
      <c r="C306">
        <v>1</v>
      </c>
      <c r="D306">
        <v>0</v>
      </c>
      <c r="E306">
        <v>1</v>
      </c>
      <c r="F306">
        <v>3</v>
      </c>
      <c r="G306" t="b">
        <v>0</v>
      </c>
      <c r="H306">
        <v>5</v>
      </c>
      <c r="I306">
        <v>1</v>
      </c>
      <c r="J306">
        <v>0.1</v>
      </c>
      <c r="K306">
        <v>0.13639999999999999</v>
      </c>
      <c r="L306">
        <v>0.54</v>
      </c>
      <c r="M306">
        <v>0.1045</v>
      </c>
      <c r="N306">
        <v>0</v>
      </c>
      <c r="O306">
        <v>1</v>
      </c>
      <c r="P306">
        <v>1</v>
      </c>
    </row>
    <row r="307" spans="1:16">
      <c r="A307">
        <v>306</v>
      </c>
      <c r="B307" s="2">
        <v>40557</v>
      </c>
      <c r="C307">
        <v>1</v>
      </c>
      <c r="D307">
        <v>0</v>
      </c>
      <c r="E307">
        <v>1</v>
      </c>
      <c r="F307">
        <v>5</v>
      </c>
      <c r="G307" t="b">
        <v>0</v>
      </c>
      <c r="H307">
        <v>5</v>
      </c>
      <c r="I307">
        <v>1</v>
      </c>
      <c r="J307">
        <v>0.1</v>
      </c>
      <c r="K307">
        <v>0.13639999999999999</v>
      </c>
      <c r="L307">
        <v>0.54</v>
      </c>
      <c r="M307">
        <v>8.9599999999999999E-2</v>
      </c>
      <c r="N307">
        <v>0</v>
      </c>
      <c r="O307">
        <v>8</v>
      </c>
      <c r="P307">
        <v>8</v>
      </c>
    </row>
    <row r="308" spans="1:16">
      <c r="A308">
        <v>307</v>
      </c>
      <c r="B308" s="2">
        <v>40557</v>
      </c>
      <c r="C308">
        <v>1</v>
      </c>
      <c r="D308">
        <v>0</v>
      </c>
      <c r="E308">
        <v>1</v>
      </c>
      <c r="F308">
        <v>6</v>
      </c>
      <c r="G308" t="b">
        <v>0</v>
      </c>
      <c r="H308">
        <v>5</v>
      </c>
      <c r="I308">
        <v>1</v>
      </c>
      <c r="J308">
        <v>0.1</v>
      </c>
      <c r="K308">
        <v>0.18179999999999999</v>
      </c>
      <c r="L308">
        <v>0.54</v>
      </c>
      <c r="M308">
        <v>0</v>
      </c>
      <c r="N308">
        <v>0</v>
      </c>
      <c r="O308">
        <v>17</v>
      </c>
      <c r="P308">
        <v>17</v>
      </c>
    </row>
    <row r="309" spans="1:16">
      <c r="A309">
        <v>308</v>
      </c>
      <c r="B309" s="2">
        <v>40557</v>
      </c>
      <c r="C309">
        <v>1</v>
      </c>
      <c r="D309">
        <v>0</v>
      </c>
      <c r="E309">
        <v>1</v>
      </c>
      <c r="F309">
        <v>7</v>
      </c>
      <c r="G309" t="b">
        <v>0</v>
      </c>
      <c r="H309">
        <v>5</v>
      </c>
      <c r="I309">
        <v>1</v>
      </c>
      <c r="J309">
        <v>0.1</v>
      </c>
      <c r="K309">
        <v>0.1212</v>
      </c>
      <c r="L309">
        <v>0.74</v>
      </c>
      <c r="M309">
        <v>0.16420000000000001</v>
      </c>
      <c r="N309">
        <v>0</v>
      </c>
      <c r="O309">
        <v>70</v>
      </c>
      <c r="P309">
        <v>70</v>
      </c>
    </row>
    <row r="310" spans="1:16">
      <c r="A310">
        <v>309</v>
      </c>
      <c r="B310" s="2">
        <v>40557</v>
      </c>
      <c r="C310">
        <v>1</v>
      </c>
      <c r="D310">
        <v>0</v>
      </c>
      <c r="E310">
        <v>1</v>
      </c>
      <c r="F310">
        <v>8</v>
      </c>
      <c r="G310" t="b">
        <v>0</v>
      </c>
      <c r="H310">
        <v>5</v>
      </c>
      <c r="I310">
        <v>1</v>
      </c>
      <c r="J310">
        <v>0.12</v>
      </c>
      <c r="K310">
        <v>0.16669999999999999</v>
      </c>
      <c r="L310">
        <v>0.68</v>
      </c>
      <c r="M310">
        <v>0</v>
      </c>
      <c r="N310">
        <v>2</v>
      </c>
      <c r="O310">
        <v>156</v>
      </c>
      <c r="P310">
        <v>158</v>
      </c>
    </row>
    <row r="311" spans="1:16">
      <c r="A311">
        <v>310</v>
      </c>
      <c r="B311" s="2">
        <v>40557</v>
      </c>
      <c r="C311">
        <v>1</v>
      </c>
      <c r="D311">
        <v>0</v>
      </c>
      <c r="E311">
        <v>1</v>
      </c>
      <c r="F311">
        <v>9</v>
      </c>
      <c r="G311" t="b">
        <v>0</v>
      </c>
      <c r="H311">
        <v>5</v>
      </c>
      <c r="I311">
        <v>1</v>
      </c>
      <c r="J311">
        <v>0.14000000000000001</v>
      </c>
      <c r="K311">
        <v>0.1515</v>
      </c>
      <c r="L311">
        <v>0.69</v>
      </c>
      <c r="M311">
        <v>0.1343</v>
      </c>
      <c r="N311">
        <v>0</v>
      </c>
      <c r="O311">
        <v>117</v>
      </c>
      <c r="P311">
        <v>117</v>
      </c>
    </row>
    <row r="312" spans="1:16">
      <c r="A312">
        <v>311</v>
      </c>
      <c r="B312" s="2">
        <v>40557</v>
      </c>
      <c r="C312">
        <v>1</v>
      </c>
      <c r="D312">
        <v>0</v>
      </c>
      <c r="E312">
        <v>1</v>
      </c>
      <c r="F312">
        <v>10</v>
      </c>
      <c r="G312" t="b">
        <v>0</v>
      </c>
      <c r="H312">
        <v>5</v>
      </c>
      <c r="I312">
        <v>1</v>
      </c>
      <c r="J312">
        <v>0.18</v>
      </c>
      <c r="K312">
        <v>0.18179999999999999</v>
      </c>
      <c r="L312">
        <v>0.55000000000000004</v>
      </c>
      <c r="M312">
        <v>0.19400000000000001</v>
      </c>
      <c r="N312">
        <v>4</v>
      </c>
      <c r="O312">
        <v>40</v>
      </c>
      <c r="P312">
        <v>44</v>
      </c>
    </row>
    <row r="313" spans="1:16">
      <c r="A313">
        <v>312</v>
      </c>
      <c r="B313" s="2">
        <v>40557</v>
      </c>
      <c r="C313">
        <v>1</v>
      </c>
      <c r="D313">
        <v>0</v>
      </c>
      <c r="E313">
        <v>1</v>
      </c>
      <c r="F313">
        <v>11</v>
      </c>
      <c r="G313" t="b">
        <v>0</v>
      </c>
      <c r="H313">
        <v>5</v>
      </c>
      <c r="I313">
        <v>1</v>
      </c>
      <c r="J313">
        <v>0.18</v>
      </c>
      <c r="K313">
        <v>0.16669999999999999</v>
      </c>
      <c r="L313">
        <v>0.51</v>
      </c>
      <c r="M313">
        <v>0.28360000000000002</v>
      </c>
      <c r="N313">
        <v>6</v>
      </c>
      <c r="O313">
        <v>47</v>
      </c>
      <c r="P313">
        <v>53</v>
      </c>
    </row>
    <row r="314" spans="1:16">
      <c r="A314">
        <v>313</v>
      </c>
      <c r="B314" s="2">
        <v>40557</v>
      </c>
      <c r="C314">
        <v>1</v>
      </c>
      <c r="D314">
        <v>0</v>
      </c>
      <c r="E314">
        <v>1</v>
      </c>
      <c r="F314">
        <v>12</v>
      </c>
      <c r="G314" t="b">
        <v>0</v>
      </c>
      <c r="H314">
        <v>5</v>
      </c>
      <c r="I314">
        <v>1</v>
      </c>
      <c r="J314">
        <v>0.2</v>
      </c>
      <c r="K314">
        <v>0.19700000000000001</v>
      </c>
      <c r="L314">
        <v>0.44</v>
      </c>
      <c r="M314">
        <v>0.25369999999999998</v>
      </c>
      <c r="N314">
        <v>2</v>
      </c>
      <c r="O314">
        <v>59</v>
      </c>
      <c r="P314">
        <v>61</v>
      </c>
    </row>
    <row r="315" spans="1:16">
      <c r="A315">
        <v>314</v>
      </c>
      <c r="B315" s="2">
        <v>40557</v>
      </c>
      <c r="C315">
        <v>1</v>
      </c>
      <c r="D315">
        <v>0</v>
      </c>
      <c r="E315">
        <v>1</v>
      </c>
      <c r="F315">
        <v>13</v>
      </c>
      <c r="G315" t="b">
        <v>0</v>
      </c>
      <c r="H315">
        <v>5</v>
      </c>
      <c r="I315">
        <v>1</v>
      </c>
      <c r="J315">
        <v>0.22</v>
      </c>
      <c r="K315">
        <v>0.19700000000000001</v>
      </c>
      <c r="L315">
        <v>0.37</v>
      </c>
      <c r="M315">
        <v>0.3881</v>
      </c>
      <c r="N315">
        <v>4</v>
      </c>
      <c r="O315">
        <v>73</v>
      </c>
      <c r="P315">
        <v>77</v>
      </c>
    </row>
    <row r="316" spans="1:16">
      <c r="A316">
        <v>315</v>
      </c>
      <c r="B316" s="2">
        <v>40557</v>
      </c>
      <c r="C316">
        <v>1</v>
      </c>
      <c r="D316">
        <v>0</v>
      </c>
      <c r="E316">
        <v>1</v>
      </c>
      <c r="F316">
        <v>14</v>
      </c>
      <c r="G316" t="b">
        <v>0</v>
      </c>
      <c r="H316">
        <v>5</v>
      </c>
      <c r="I316">
        <v>1</v>
      </c>
      <c r="J316">
        <v>0.22</v>
      </c>
      <c r="K316">
        <v>0.21210000000000001</v>
      </c>
      <c r="L316">
        <v>0.41</v>
      </c>
      <c r="M316">
        <v>0.28360000000000002</v>
      </c>
      <c r="N316">
        <v>5</v>
      </c>
      <c r="O316">
        <v>59</v>
      </c>
      <c r="P316">
        <v>64</v>
      </c>
    </row>
    <row r="317" spans="1:16">
      <c r="A317">
        <v>316</v>
      </c>
      <c r="B317" s="2">
        <v>40557</v>
      </c>
      <c r="C317">
        <v>1</v>
      </c>
      <c r="D317">
        <v>0</v>
      </c>
      <c r="E317">
        <v>1</v>
      </c>
      <c r="F317">
        <v>15</v>
      </c>
      <c r="G317" t="b">
        <v>0</v>
      </c>
      <c r="H317">
        <v>5</v>
      </c>
      <c r="I317">
        <v>1</v>
      </c>
      <c r="J317">
        <v>0.24</v>
      </c>
      <c r="K317">
        <v>0.2424</v>
      </c>
      <c r="L317">
        <v>0.38</v>
      </c>
      <c r="M317">
        <v>0.16420000000000001</v>
      </c>
      <c r="N317">
        <v>9</v>
      </c>
      <c r="O317">
        <v>59</v>
      </c>
      <c r="P317">
        <v>68</v>
      </c>
    </row>
    <row r="318" spans="1:16">
      <c r="A318">
        <v>317</v>
      </c>
      <c r="B318" s="2">
        <v>40557</v>
      </c>
      <c r="C318">
        <v>1</v>
      </c>
      <c r="D318">
        <v>0</v>
      </c>
      <c r="E318">
        <v>1</v>
      </c>
      <c r="F318">
        <v>16</v>
      </c>
      <c r="G318" t="b">
        <v>0</v>
      </c>
      <c r="H318">
        <v>5</v>
      </c>
      <c r="I318">
        <v>1</v>
      </c>
      <c r="J318">
        <v>0.22</v>
      </c>
      <c r="K318">
        <v>0.2424</v>
      </c>
      <c r="L318">
        <v>0.41</v>
      </c>
      <c r="M318">
        <v>0.1045</v>
      </c>
      <c r="N318">
        <v>3</v>
      </c>
      <c r="O318">
        <v>87</v>
      </c>
      <c r="P318">
        <v>90</v>
      </c>
    </row>
    <row r="319" spans="1:16">
      <c r="A319">
        <v>318</v>
      </c>
      <c r="B319" s="2">
        <v>40557</v>
      </c>
      <c r="C319">
        <v>1</v>
      </c>
      <c r="D319">
        <v>0</v>
      </c>
      <c r="E319">
        <v>1</v>
      </c>
      <c r="F319">
        <v>17</v>
      </c>
      <c r="G319" t="b">
        <v>0</v>
      </c>
      <c r="H319">
        <v>5</v>
      </c>
      <c r="I319">
        <v>1</v>
      </c>
      <c r="J319">
        <v>0.22</v>
      </c>
      <c r="K319">
        <v>0.2273</v>
      </c>
      <c r="L319">
        <v>0.41</v>
      </c>
      <c r="M319">
        <v>0.16420000000000001</v>
      </c>
      <c r="N319">
        <v>4</v>
      </c>
      <c r="O319">
        <v>155</v>
      </c>
      <c r="P319">
        <v>159</v>
      </c>
    </row>
    <row r="320" spans="1:16">
      <c r="A320">
        <v>319</v>
      </c>
      <c r="B320" s="2">
        <v>40557</v>
      </c>
      <c r="C320">
        <v>1</v>
      </c>
      <c r="D320">
        <v>0</v>
      </c>
      <c r="E320">
        <v>1</v>
      </c>
      <c r="F320">
        <v>18</v>
      </c>
      <c r="G320" t="b">
        <v>0</v>
      </c>
      <c r="H320">
        <v>5</v>
      </c>
      <c r="I320">
        <v>1</v>
      </c>
      <c r="J320">
        <v>0.2</v>
      </c>
      <c r="K320">
        <v>0.2576</v>
      </c>
      <c r="L320">
        <v>0.47</v>
      </c>
      <c r="M320">
        <v>0</v>
      </c>
      <c r="N320">
        <v>5</v>
      </c>
      <c r="O320">
        <v>134</v>
      </c>
      <c r="P320">
        <v>139</v>
      </c>
    </row>
    <row r="321" spans="1:16">
      <c r="A321">
        <v>320</v>
      </c>
      <c r="B321" s="2">
        <v>40557</v>
      </c>
      <c r="C321">
        <v>1</v>
      </c>
      <c r="D321">
        <v>0</v>
      </c>
      <c r="E321">
        <v>1</v>
      </c>
      <c r="F321">
        <v>19</v>
      </c>
      <c r="G321" t="b">
        <v>0</v>
      </c>
      <c r="H321">
        <v>5</v>
      </c>
      <c r="I321">
        <v>1</v>
      </c>
      <c r="J321">
        <v>0.16</v>
      </c>
      <c r="K321">
        <v>0.19700000000000001</v>
      </c>
      <c r="L321">
        <v>0.59</v>
      </c>
      <c r="M321">
        <v>8.9599999999999999E-2</v>
      </c>
      <c r="N321">
        <v>3</v>
      </c>
      <c r="O321">
        <v>89</v>
      </c>
      <c r="P321">
        <v>92</v>
      </c>
    </row>
    <row r="322" spans="1:16">
      <c r="A322">
        <v>321</v>
      </c>
      <c r="B322" s="2">
        <v>40557</v>
      </c>
      <c r="C322">
        <v>1</v>
      </c>
      <c r="D322">
        <v>0</v>
      </c>
      <c r="E322">
        <v>1</v>
      </c>
      <c r="F322">
        <v>20</v>
      </c>
      <c r="G322" t="b">
        <v>0</v>
      </c>
      <c r="H322">
        <v>5</v>
      </c>
      <c r="I322">
        <v>1</v>
      </c>
      <c r="J322">
        <v>0.18</v>
      </c>
      <c r="K322">
        <v>0.2424</v>
      </c>
      <c r="L322">
        <v>0.59</v>
      </c>
      <c r="M322">
        <v>0</v>
      </c>
      <c r="N322">
        <v>0</v>
      </c>
      <c r="O322">
        <v>68</v>
      </c>
      <c r="P322">
        <v>68</v>
      </c>
    </row>
    <row r="323" spans="1:16">
      <c r="A323">
        <v>322</v>
      </c>
      <c r="B323" s="2">
        <v>40557</v>
      </c>
      <c r="C323">
        <v>1</v>
      </c>
      <c r="D323">
        <v>0</v>
      </c>
      <c r="E323">
        <v>1</v>
      </c>
      <c r="F323">
        <v>21</v>
      </c>
      <c r="G323" t="b">
        <v>0</v>
      </c>
      <c r="H323">
        <v>5</v>
      </c>
      <c r="I323">
        <v>1</v>
      </c>
      <c r="J323">
        <v>0.16</v>
      </c>
      <c r="K323">
        <v>0.2273</v>
      </c>
      <c r="L323">
        <v>0.69</v>
      </c>
      <c r="M323">
        <v>0</v>
      </c>
      <c r="N323">
        <v>4</v>
      </c>
      <c r="O323">
        <v>48</v>
      </c>
      <c r="P323">
        <v>52</v>
      </c>
    </row>
    <row r="324" spans="1:16">
      <c r="A324">
        <v>323</v>
      </c>
      <c r="B324" s="2">
        <v>40557</v>
      </c>
      <c r="C324">
        <v>1</v>
      </c>
      <c r="D324">
        <v>0</v>
      </c>
      <c r="E324">
        <v>1</v>
      </c>
      <c r="F324">
        <v>22</v>
      </c>
      <c r="G324" t="b">
        <v>0</v>
      </c>
      <c r="H324">
        <v>5</v>
      </c>
      <c r="I324">
        <v>2</v>
      </c>
      <c r="J324">
        <v>0.16</v>
      </c>
      <c r="K324">
        <v>0.2273</v>
      </c>
      <c r="L324">
        <v>0.69</v>
      </c>
      <c r="M324">
        <v>0</v>
      </c>
      <c r="N324">
        <v>2</v>
      </c>
      <c r="O324">
        <v>34</v>
      </c>
      <c r="P324">
        <v>36</v>
      </c>
    </row>
    <row r="325" spans="1:16">
      <c r="A325">
        <v>324</v>
      </c>
      <c r="B325" s="2">
        <v>40557</v>
      </c>
      <c r="C325">
        <v>1</v>
      </c>
      <c r="D325">
        <v>0</v>
      </c>
      <c r="E325">
        <v>1</v>
      </c>
      <c r="F325">
        <v>23</v>
      </c>
      <c r="G325" t="b">
        <v>0</v>
      </c>
      <c r="H325">
        <v>5</v>
      </c>
      <c r="I325">
        <v>2</v>
      </c>
      <c r="J325">
        <v>0.18</v>
      </c>
      <c r="K325">
        <v>0.2424</v>
      </c>
      <c r="L325">
        <v>0.55000000000000004</v>
      </c>
      <c r="M325">
        <v>0</v>
      </c>
      <c r="N325">
        <v>1</v>
      </c>
      <c r="O325">
        <v>26</v>
      </c>
      <c r="P325">
        <v>27</v>
      </c>
    </row>
    <row r="326" spans="1:16">
      <c r="A326">
        <v>325</v>
      </c>
      <c r="B326" s="2">
        <v>40558</v>
      </c>
      <c r="C326">
        <v>1</v>
      </c>
      <c r="D326">
        <v>0</v>
      </c>
      <c r="E326">
        <v>1</v>
      </c>
      <c r="F326">
        <v>0</v>
      </c>
      <c r="G326" t="b">
        <v>0</v>
      </c>
      <c r="H326">
        <v>6</v>
      </c>
      <c r="I326">
        <v>1</v>
      </c>
      <c r="J326">
        <v>0.18</v>
      </c>
      <c r="K326">
        <v>0.2424</v>
      </c>
      <c r="L326">
        <v>0.55000000000000004</v>
      </c>
      <c r="M326">
        <v>0</v>
      </c>
      <c r="N326">
        <v>3</v>
      </c>
      <c r="O326">
        <v>25</v>
      </c>
      <c r="P326">
        <v>28</v>
      </c>
    </row>
    <row r="327" spans="1:16">
      <c r="A327">
        <v>326</v>
      </c>
      <c r="B327" s="2">
        <v>40558</v>
      </c>
      <c r="C327">
        <v>1</v>
      </c>
      <c r="D327">
        <v>0</v>
      </c>
      <c r="E327">
        <v>1</v>
      </c>
      <c r="F327">
        <v>1</v>
      </c>
      <c r="G327" t="b">
        <v>0</v>
      </c>
      <c r="H327">
        <v>6</v>
      </c>
      <c r="I327">
        <v>2</v>
      </c>
      <c r="J327">
        <v>0.16</v>
      </c>
      <c r="K327">
        <v>0.19700000000000001</v>
      </c>
      <c r="L327">
        <v>0.59</v>
      </c>
      <c r="M327">
        <v>8.9599999999999999E-2</v>
      </c>
      <c r="N327">
        <v>2</v>
      </c>
      <c r="O327">
        <v>18</v>
      </c>
      <c r="P327">
        <v>20</v>
      </c>
    </row>
    <row r="328" spans="1:16">
      <c r="A328">
        <v>327</v>
      </c>
      <c r="B328" s="2">
        <v>40558</v>
      </c>
      <c r="C328">
        <v>1</v>
      </c>
      <c r="D328">
        <v>0</v>
      </c>
      <c r="E328">
        <v>1</v>
      </c>
      <c r="F328">
        <v>2</v>
      </c>
      <c r="G328" t="b">
        <v>0</v>
      </c>
      <c r="H328">
        <v>6</v>
      </c>
      <c r="I328">
        <v>2</v>
      </c>
      <c r="J328">
        <v>0.16</v>
      </c>
      <c r="K328">
        <v>0.19700000000000001</v>
      </c>
      <c r="L328">
        <v>0.59</v>
      </c>
      <c r="M328">
        <v>8.9599999999999999E-2</v>
      </c>
      <c r="N328">
        <v>0</v>
      </c>
      <c r="O328">
        <v>12</v>
      </c>
      <c r="P328">
        <v>12</v>
      </c>
    </row>
    <row r="329" spans="1:16">
      <c r="A329">
        <v>328</v>
      </c>
      <c r="B329" s="2">
        <v>40558</v>
      </c>
      <c r="C329">
        <v>1</v>
      </c>
      <c r="D329">
        <v>0</v>
      </c>
      <c r="E329">
        <v>1</v>
      </c>
      <c r="F329">
        <v>3</v>
      </c>
      <c r="G329" t="b">
        <v>0</v>
      </c>
      <c r="H329">
        <v>6</v>
      </c>
      <c r="I329">
        <v>2</v>
      </c>
      <c r="J329">
        <v>0.16</v>
      </c>
      <c r="K329">
        <v>0.2273</v>
      </c>
      <c r="L329">
        <v>0.59</v>
      </c>
      <c r="M329">
        <v>0</v>
      </c>
      <c r="N329">
        <v>1</v>
      </c>
      <c r="O329">
        <v>7</v>
      </c>
      <c r="P329">
        <v>8</v>
      </c>
    </row>
    <row r="330" spans="1:16">
      <c r="A330">
        <v>329</v>
      </c>
      <c r="B330" s="2">
        <v>40558</v>
      </c>
      <c r="C330">
        <v>1</v>
      </c>
      <c r="D330">
        <v>0</v>
      </c>
      <c r="E330">
        <v>1</v>
      </c>
      <c r="F330">
        <v>4</v>
      </c>
      <c r="G330" t="b">
        <v>0</v>
      </c>
      <c r="H330">
        <v>6</v>
      </c>
      <c r="I330">
        <v>2</v>
      </c>
      <c r="J330">
        <v>0.16</v>
      </c>
      <c r="K330">
        <v>0.2273</v>
      </c>
      <c r="L330">
        <v>0.59</v>
      </c>
      <c r="M330">
        <v>0</v>
      </c>
      <c r="N330">
        <v>0</v>
      </c>
      <c r="O330">
        <v>5</v>
      </c>
      <c r="P330">
        <v>5</v>
      </c>
    </row>
    <row r="331" spans="1:16">
      <c r="A331">
        <v>330</v>
      </c>
      <c r="B331" s="2">
        <v>40558</v>
      </c>
      <c r="C331">
        <v>1</v>
      </c>
      <c r="D331">
        <v>0</v>
      </c>
      <c r="E331">
        <v>1</v>
      </c>
      <c r="F331">
        <v>5</v>
      </c>
      <c r="G331" t="b">
        <v>0</v>
      </c>
      <c r="H331">
        <v>6</v>
      </c>
      <c r="I331">
        <v>1</v>
      </c>
      <c r="J331">
        <v>0.16</v>
      </c>
      <c r="K331">
        <v>0.2273</v>
      </c>
      <c r="L331">
        <v>0.59</v>
      </c>
      <c r="M331">
        <v>0</v>
      </c>
      <c r="N331">
        <v>0</v>
      </c>
      <c r="O331">
        <v>1</v>
      </c>
      <c r="P331">
        <v>1</v>
      </c>
    </row>
    <row r="332" spans="1:16">
      <c r="A332">
        <v>331</v>
      </c>
      <c r="B332" s="2">
        <v>40558</v>
      </c>
      <c r="C332">
        <v>1</v>
      </c>
      <c r="D332">
        <v>0</v>
      </c>
      <c r="E332">
        <v>1</v>
      </c>
      <c r="F332">
        <v>6</v>
      </c>
      <c r="G332" t="b">
        <v>0</v>
      </c>
      <c r="H332">
        <v>6</v>
      </c>
      <c r="I332">
        <v>1</v>
      </c>
      <c r="J332">
        <v>0.14000000000000001</v>
      </c>
      <c r="K332">
        <v>0.16669999999999999</v>
      </c>
      <c r="L332">
        <v>0.63</v>
      </c>
      <c r="M332">
        <v>0.1045</v>
      </c>
      <c r="N332">
        <v>1</v>
      </c>
      <c r="O332">
        <v>2</v>
      </c>
      <c r="P332">
        <v>3</v>
      </c>
    </row>
    <row r="333" spans="1:16">
      <c r="A333">
        <v>332</v>
      </c>
      <c r="B333" s="2">
        <v>40558</v>
      </c>
      <c r="C333">
        <v>1</v>
      </c>
      <c r="D333">
        <v>0</v>
      </c>
      <c r="E333">
        <v>1</v>
      </c>
      <c r="F333">
        <v>7</v>
      </c>
      <c r="G333" t="b">
        <v>0</v>
      </c>
      <c r="H333">
        <v>6</v>
      </c>
      <c r="I333">
        <v>1</v>
      </c>
      <c r="J333">
        <v>0.14000000000000001</v>
      </c>
      <c r="K333">
        <v>0.21210000000000001</v>
      </c>
      <c r="L333">
        <v>0.63</v>
      </c>
      <c r="M333">
        <v>0</v>
      </c>
      <c r="N333">
        <v>1</v>
      </c>
      <c r="O333">
        <v>9</v>
      </c>
      <c r="P333">
        <v>10</v>
      </c>
    </row>
    <row r="334" spans="1:16">
      <c r="A334">
        <v>333</v>
      </c>
      <c r="B334" s="2">
        <v>40558</v>
      </c>
      <c r="C334">
        <v>1</v>
      </c>
      <c r="D334">
        <v>0</v>
      </c>
      <c r="E334">
        <v>1</v>
      </c>
      <c r="F334">
        <v>8</v>
      </c>
      <c r="G334" t="b">
        <v>0</v>
      </c>
      <c r="H334">
        <v>6</v>
      </c>
      <c r="I334">
        <v>1</v>
      </c>
      <c r="J334">
        <v>0.14000000000000001</v>
      </c>
      <c r="K334">
        <v>0.1515</v>
      </c>
      <c r="L334">
        <v>0.63</v>
      </c>
      <c r="M334">
        <v>0.1343</v>
      </c>
      <c r="N334">
        <v>1</v>
      </c>
      <c r="O334">
        <v>22</v>
      </c>
      <c r="P334">
        <v>23</v>
      </c>
    </row>
    <row r="335" spans="1:16">
      <c r="A335">
        <v>334</v>
      </c>
      <c r="B335" s="2">
        <v>40558</v>
      </c>
      <c r="C335">
        <v>1</v>
      </c>
      <c r="D335">
        <v>0</v>
      </c>
      <c r="E335">
        <v>1</v>
      </c>
      <c r="F335">
        <v>9</v>
      </c>
      <c r="G335" t="b">
        <v>0</v>
      </c>
      <c r="H335">
        <v>6</v>
      </c>
      <c r="I335">
        <v>1</v>
      </c>
      <c r="J335">
        <v>0.16</v>
      </c>
      <c r="K335">
        <v>0.18179999999999999</v>
      </c>
      <c r="L335">
        <v>0.64</v>
      </c>
      <c r="M335">
        <v>0.1343</v>
      </c>
      <c r="N335">
        <v>2</v>
      </c>
      <c r="O335">
        <v>31</v>
      </c>
      <c r="P335">
        <v>33</v>
      </c>
    </row>
    <row r="336" spans="1:16">
      <c r="A336">
        <v>335</v>
      </c>
      <c r="B336" s="2">
        <v>40558</v>
      </c>
      <c r="C336">
        <v>1</v>
      </c>
      <c r="D336">
        <v>0</v>
      </c>
      <c r="E336">
        <v>1</v>
      </c>
      <c r="F336">
        <v>10</v>
      </c>
      <c r="G336" t="b">
        <v>0</v>
      </c>
      <c r="H336">
        <v>6</v>
      </c>
      <c r="I336">
        <v>1</v>
      </c>
      <c r="J336">
        <v>0.18</v>
      </c>
      <c r="K336">
        <v>0.19700000000000001</v>
      </c>
      <c r="L336">
        <v>0.59</v>
      </c>
      <c r="M336">
        <v>0.16420000000000001</v>
      </c>
      <c r="N336">
        <v>2</v>
      </c>
      <c r="O336">
        <v>57</v>
      </c>
      <c r="P336">
        <v>59</v>
      </c>
    </row>
    <row r="337" spans="1:16">
      <c r="A337">
        <v>336</v>
      </c>
      <c r="B337" s="2">
        <v>40558</v>
      </c>
      <c r="C337">
        <v>1</v>
      </c>
      <c r="D337">
        <v>0</v>
      </c>
      <c r="E337">
        <v>1</v>
      </c>
      <c r="F337">
        <v>11</v>
      </c>
      <c r="G337" t="b">
        <v>0</v>
      </c>
      <c r="H337">
        <v>6</v>
      </c>
      <c r="I337">
        <v>1</v>
      </c>
      <c r="J337">
        <v>0.2</v>
      </c>
      <c r="K337">
        <v>0.19700000000000001</v>
      </c>
      <c r="L337">
        <v>0.55000000000000004</v>
      </c>
      <c r="M337">
        <v>0.22389999999999999</v>
      </c>
      <c r="N337">
        <v>18</v>
      </c>
      <c r="O337">
        <v>54</v>
      </c>
      <c r="P337">
        <v>72</v>
      </c>
    </row>
    <row r="338" spans="1:16">
      <c r="A338">
        <v>337</v>
      </c>
      <c r="B338" s="2">
        <v>40558</v>
      </c>
      <c r="C338">
        <v>1</v>
      </c>
      <c r="D338">
        <v>0</v>
      </c>
      <c r="E338">
        <v>1</v>
      </c>
      <c r="F338">
        <v>12</v>
      </c>
      <c r="G338" t="b">
        <v>0</v>
      </c>
      <c r="H338">
        <v>6</v>
      </c>
      <c r="I338">
        <v>1</v>
      </c>
      <c r="J338">
        <v>0.24</v>
      </c>
      <c r="K338">
        <v>0.2273</v>
      </c>
      <c r="L338">
        <v>0.48</v>
      </c>
      <c r="M338">
        <v>0.22389999999999999</v>
      </c>
      <c r="N338">
        <v>15</v>
      </c>
      <c r="O338">
        <v>74</v>
      </c>
      <c r="P338">
        <v>89</v>
      </c>
    </row>
    <row r="339" spans="1:16">
      <c r="A339">
        <v>338</v>
      </c>
      <c r="B339" s="2">
        <v>40558</v>
      </c>
      <c r="C339">
        <v>1</v>
      </c>
      <c r="D339">
        <v>0</v>
      </c>
      <c r="E339">
        <v>1</v>
      </c>
      <c r="F339">
        <v>13</v>
      </c>
      <c r="G339" t="b">
        <v>0</v>
      </c>
      <c r="H339">
        <v>6</v>
      </c>
      <c r="I339">
        <v>1</v>
      </c>
      <c r="J339">
        <v>0.28000000000000003</v>
      </c>
      <c r="K339">
        <v>0.2576</v>
      </c>
      <c r="L339">
        <v>0.38</v>
      </c>
      <c r="M339">
        <v>0.29849999999999999</v>
      </c>
      <c r="N339">
        <v>21</v>
      </c>
      <c r="O339">
        <v>80</v>
      </c>
      <c r="P339">
        <v>101</v>
      </c>
    </row>
    <row r="340" spans="1:16">
      <c r="A340">
        <v>339</v>
      </c>
      <c r="B340" s="2">
        <v>40558</v>
      </c>
      <c r="C340">
        <v>1</v>
      </c>
      <c r="D340">
        <v>0</v>
      </c>
      <c r="E340">
        <v>1</v>
      </c>
      <c r="F340">
        <v>14</v>
      </c>
      <c r="G340" t="b">
        <v>0</v>
      </c>
      <c r="H340">
        <v>6</v>
      </c>
      <c r="I340">
        <v>1</v>
      </c>
      <c r="J340">
        <v>0.3</v>
      </c>
      <c r="K340">
        <v>0.28789999999999999</v>
      </c>
      <c r="L340">
        <v>0.39</v>
      </c>
      <c r="M340">
        <v>0.28360000000000002</v>
      </c>
      <c r="N340">
        <v>26</v>
      </c>
      <c r="O340">
        <v>92</v>
      </c>
      <c r="P340">
        <v>118</v>
      </c>
    </row>
    <row r="341" spans="1:16">
      <c r="A341">
        <v>340</v>
      </c>
      <c r="B341" s="2">
        <v>40558</v>
      </c>
      <c r="C341">
        <v>1</v>
      </c>
      <c r="D341">
        <v>0</v>
      </c>
      <c r="E341">
        <v>1</v>
      </c>
      <c r="F341">
        <v>15</v>
      </c>
      <c r="G341" t="b">
        <v>0</v>
      </c>
      <c r="H341">
        <v>6</v>
      </c>
      <c r="I341">
        <v>2</v>
      </c>
      <c r="J341">
        <v>0.32</v>
      </c>
      <c r="K341">
        <v>0.31819999999999998</v>
      </c>
      <c r="L341">
        <v>0.36</v>
      </c>
      <c r="M341">
        <v>0.19400000000000001</v>
      </c>
      <c r="N341">
        <v>21</v>
      </c>
      <c r="O341">
        <v>108</v>
      </c>
      <c r="P341">
        <v>129</v>
      </c>
    </row>
    <row r="342" spans="1:16">
      <c r="A342">
        <v>341</v>
      </c>
      <c r="B342" s="2">
        <v>40558</v>
      </c>
      <c r="C342">
        <v>1</v>
      </c>
      <c r="D342">
        <v>0</v>
      </c>
      <c r="E342">
        <v>1</v>
      </c>
      <c r="F342">
        <v>16</v>
      </c>
      <c r="G342" t="b">
        <v>0</v>
      </c>
      <c r="H342">
        <v>6</v>
      </c>
      <c r="I342">
        <v>2</v>
      </c>
      <c r="J342">
        <v>0.34</v>
      </c>
      <c r="K342">
        <v>0.33329999999999999</v>
      </c>
      <c r="L342">
        <v>0.34</v>
      </c>
      <c r="M342">
        <v>0.19400000000000001</v>
      </c>
      <c r="N342">
        <v>33</v>
      </c>
      <c r="O342">
        <v>95</v>
      </c>
      <c r="P342">
        <v>128</v>
      </c>
    </row>
    <row r="343" spans="1:16">
      <c r="A343">
        <v>342</v>
      </c>
      <c r="B343" s="2">
        <v>40558</v>
      </c>
      <c r="C343">
        <v>1</v>
      </c>
      <c r="D343">
        <v>0</v>
      </c>
      <c r="E343">
        <v>1</v>
      </c>
      <c r="F343">
        <v>17</v>
      </c>
      <c r="G343" t="b">
        <v>0</v>
      </c>
      <c r="H343">
        <v>6</v>
      </c>
      <c r="I343">
        <v>2</v>
      </c>
      <c r="J343">
        <v>0.32</v>
      </c>
      <c r="K343">
        <v>0.30299999999999999</v>
      </c>
      <c r="L343">
        <v>0.36</v>
      </c>
      <c r="M343">
        <v>0.28360000000000002</v>
      </c>
      <c r="N343">
        <v>29</v>
      </c>
      <c r="O343">
        <v>54</v>
      </c>
      <c r="P343">
        <v>83</v>
      </c>
    </row>
    <row r="344" spans="1:16">
      <c r="A344">
        <v>343</v>
      </c>
      <c r="B344" s="2">
        <v>40558</v>
      </c>
      <c r="C344">
        <v>1</v>
      </c>
      <c r="D344">
        <v>0</v>
      </c>
      <c r="E344">
        <v>1</v>
      </c>
      <c r="F344">
        <v>18</v>
      </c>
      <c r="G344" t="b">
        <v>0</v>
      </c>
      <c r="H344">
        <v>6</v>
      </c>
      <c r="I344">
        <v>2</v>
      </c>
      <c r="J344">
        <v>0.3</v>
      </c>
      <c r="K344">
        <v>0.28789999999999999</v>
      </c>
      <c r="L344">
        <v>0.45</v>
      </c>
      <c r="M344">
        <v>0.25369999999999998</v>
      </c>
      <c r="N344">
        <v>15</v>
      </c>
      <c r="O344">
        <v>69</v>
      </c>
      <c r="P344">
        <v>84</v>
      </c>
    </row>
    <row r="345" spans="1:16">
      <c r="A345">
        <v>344</v>
      </c>
      <c r="B345" s="2">
        <v>40558</v>
      </c>
      <c r="C345">
        <v>1</v>
      </c>
      <c r="D345">
        <v>0</v>
      </c>
      <c r="E345">
        <v>1</v>
      </c>
      <c r="F345">
        <v>19</v>
      </c>
      <c r="G345" t="b">
        <v>0</v>
      </c>
      <c r="H345">
        <v>6</v>
      </c>
      <c r="I345">
        <v>2</v>
      </c>
      <c r="J345">
        <v>0.32</v>
      </c>
      <c r="K345">
        <v>0.30299999999999999</v>
      </c>
      <c r="L345">
        <v>0.39</v>
      </c>
      <c r="M345">
        <v>0.25369999999999998</v>
      </c>
      <c r="N345">
        <v>14</v>
      </c>
      <c r="O345">
        <v>60</v>
      </c>
      <c r="P345">
        <v>74</v>
      </c>
    </row>
    <row r="346" spans="1:16">
      <c r="A346">
        <v>345</v>
      </c>
      <c r="B346" s="2">
        <v>40558</v>
      </c>
      <c r="C346">
        <v>1</v>
      </c>
      <c r="D346">
        <v>0</v>
      </c>
      <c r="E346">
        <v>1</v>
      </c>
      <c r="F346">
        <v>20</v>
      </c>
      <c r="G346" t="b">
        <v>0</v>
      </c>
      <c r="H346">
        <v>6</v>
      </c>
      <c r="I346">
        <v>2</v>
      </c>
      <c r="J346">
        <v>0.32</v>
      </c>
      <c r="K346">
        <v>0.30299999999999999</v>
      </c>
      <c r="L346">
        <v>0.39</v>
      </c>
      <c r="M346">
        <v>0.25369999999999998</v>
      </c>
      <c r="N346">
        <v>6</v>
      </c>
      <c r="O346">
        <v>35</v>
      </c>
      <c r="P346">
        <v>41</v>
      </c>
    </row>
    <row r="347" spans="1:16">
      <c r="A347">
        <v>346</v>
      </c>
      <c r="B347" s="2">
        <v>40558</v>
      </c>
      <c r="C347">
        <v>1</v>
      </c>
      <c r="D347">
        <v>0</v>
      </c>
      <c r="E347">
        <v>1</v>
      </c>
      <c r="F347">
        <v>21</v>
      </c>
      <c r="G347" t="b">
        <v>0</v>
      </c>
      <c r="H347">
        <v>6</v>
      </c>
      <c r="I347">
        <v>2</v>
      </c>
      <c r="J347">
        <v>0.32</v>
      </c>
      <c r="K347">
        <v>0.30299999999999999</v>
      </c>
      <c r="L347">
        <v>0.39</v>
      </c>
      <c r="M347">
        <v>0.22389999999999999</v>
      </c>
      <c r="N347">
        <v>6</v>
      </c>
      <c r="O347">
        <v>51</v>
      </c>
      <c r="P347">
        <v>57</v>
      </c>
    </row>
    <row r="348" spans="1:16">
      <c r="A348">
        <v>347</v>
      </c>
      <c r="B348" s="2">
        <v>40558</v>
      </c>
      <c r="C348">
        <v>1</v>
      </c>
      <c r="D348">
        <v>0</v>
      </c>
      <c r="E348">
        <v>1</v>
      </c>
      <c r="F348">
        <v>22</v>
      </c>
      <c r="G348" t="b">
        <v>0</v>
      </c>
      <c r="H348">
        <v>6</v>
      </c>
      <c r="I348">
        <v>2</v>
      </c>
      <c r="J348">
        <v>0.3</v>
      </c>
      <c r="K348">
        <v>0.31819999999999998</v>
      </c>
      <c r="L348">
        <v>0.42</v>
      </c>
      <c r="M348">
        <v>0.1045</v>
      </c>
      <c r="N348">
        <v>0</v>
      </c>
      <c r="O348">
        <v>26</v>
      </c>
      <c r="P348">
        <v>26</v>
      </c>
    </row>
    <row r="349" spans="1:16">
      <c r="A349">
        <v>348</v>
      </c>
      <c r="B349" s="2">
        <v>40558</v>
      </c>
      <c r="C349">
        <v>1</v>
      </c>
      <c r="D349">
        <v>0</v>
      </c>
      <c r="E349">
        <v>1</v>
      </c>
      <c r="F349">
        <v>23</v>
      </c>
      <c r="G349" t="b">
        <v>0</v>
      </c>
      <c r="H349">
        <v>6</v>
      </c>
      <c r="I349">
        <v>1</v>
      </c>
      <c r="J349">
        <v>0.3</v>
      </c>
      <c r="K349">
        <v>0.28789999999999999</v>
      </c>
      <c r="L349">
        <v>0.45</v>
      </c>
      <c r="M349">
        <v>0.28360000000000002</v>
      </c>
      <c r="N349">
        <v>5</v>
      </c>
      <c r="O349">
        <v>39</v>
      </c>
      <c r="P349">
        <v>44</v>
      </c>
    </row>
    <row r="350" spans="1:16">
      <c r="A350">
        <v>349</v>
      </c>
      <c r="B350" s="2">
        <v>40559</v>
      </c>
      <c r="C350">
        <v>1</v>
      </c>
      <c r="D350">
        <v>0</v>
      </c>
      <c r="E350">
        <v>1</v>
      </c>
      <c r="F350">
        <v>0</v>
      </c>
      <c r="G350" t="b">
        <v>0</v>
      </c>
      <c r="H350">
        <v>0</v>
      </c>
      <c r="I350">
        <v>1</v>
      </c>
      <c r="J350">
        <v>0.26</v>
      </c>
      <c r="K350">
        <v>0.30299999999999999</v>
      </c>
      <c r="L350">
        <v>0.56000000000000005</v>
      </c>
      <c r="M350">
        <v>0</v>
      </c>
      <c r="N350">
        <v>6</v>
      </c>
      <c r="O350">
        <v>33</v>
      </c>
      <c r="P350">
        <v>39</v>
      </c>
    </row>
    <row r="351" spans="1:16">
      <c r="A351">
        <v>350</v>
      </c>
      <c r="B351" s="2">
        <v>40559</v>
      </c>
      <c r="C351">
        <v>1</v>
      </c>
      <c r="D351">
        <v>0</v>
      </c>
      <c r="E351">
        <v>1</v>
      </c>
      <c r="F351">
        <v>1</v>
      </c>
      <c r="G351" t="b">
        <v>0</v>
      </c>
      <c r="H351">
        <v>0</v>
      </c>
      <c r="I351">
        <v>1</v>
      </c>
      <c r="J351">
        <v>0.26</v>
      </c>
      <c r="K351">
        <v>0.2727</v>
      </c>
      <c r="L351">
        <v>0.56000000000000005</v>
      </c>
      <c r="M351">
        <v>0.1343</v>
      </c>
      <c r="N351">
        <v>4</v>
      </c>
      <c r="O351">
        <v>19</v>
      </c>
      <c r="P351">
        <v>23</v>
      </c>
    </row>
    <row r="352" spans="1:16">
      <c r="A352">
        <v>351</v>
      </c>
      <c r="B352" s="2">
        <v>40559</v>
      </c>
      <c r="C352">
        <v>1</v>
      </c>
      <c r="D352">
        <v>0</v>
      </c>
      <c r="E352">
        <v>1</v>
      </c>
      <c r="F352">
        <v>2</v>
      </c>
      <c r="G352" t="b">
        <v>0</v>
      </c>
      <c r="H352">
        <v>0</v>
      </c>
      <c r="I352">
        <v>1</v>
      </c>
      <c r="J352">
        <v>0.26</v>
      </c>
      <c r="K352">
        <v>0.28789999999999999</v>
      </c>
      <c r="L352">
        <v>0.56000000000000005</v>
      </c>
      <c r="M352">
        <v>8.9599999999999999E-2</v>
      </c>
      <c r="N352">
        <v>3</v>
      </c>
      <c r="O352">
        <v>13</v>
      </c>
      <c r="P352">
        <v>16</v>
      </c>
    </row>
    <row r="353" spans="1:16">
      <c r="A353">
        <v>352</v>
      </c>
      <c r="B353" s="2">
        <v>40559</v>
      </c>
      <c r="C353">
        <v>1</v>
      </c>
      <c r="D353">
        <v>0</v>
      </c>
      <c r="E353">
        <v>1</v>
      </c>
      <c r="F353">
        <v>3</v>
      </c>
      <c r="G353" t="b">
        <v>0</v>
      </c>
      <c r="H353">
        <v>0</v>
      </c>
      <c r="I353">
        <v>1</v>
      </c>
      <c r="J353">
        <v>0.22</v>
      </c>
      <c r="K353">
        <v>0.2727</v>
      </c>
      <c r="L353">
        <v>0.69</v>
      </c>
      <c r="M353">
        <v>0</v>
      </c>
      <c r="N353">
        <v>9</v>
      </c>
      <c r="O353">
        <v>6</v>
      </c>
      <c r="P353">
        <v>15</v>
      </c>
    </row>
    <row r="354" spans="1:16">
      <c r="A354">
        <v>353</v>
      </c>
      <c r="B354" s="2">
        <v>40559</v>
      </c>
      <c r="C354">
        <v>1</v>
      </c>
      <c r="D354">
        <v>0</v>
      </c>
      <c r="E354">
        <v>1</v>
      </c>
      <c r="F354">
        <v>4</v>
      </c>
      <c r="G354" t="b">
        <v>0</v>
      </c>
      <c r="H354">
        <v>0</v>
      </c>
      <c r="I354">
        <v>1</v>
      </c>
      <c r="J354">
        <v>0.26</v>
      </c>
      <c r="K354">
        <v>0.2576</v>
      </c>
      <c r="L354">
        <v>0.56000000000000005</v>
      </c>
      <c r="M354">
        <v>0.16420000000000001</v>
      </c>
      <c r="N354">
        <v>0</v>
      </c>
      <c r="O354">
        <v>1</v>
      </c>
      <c r="P354">
        <v>1</v>
      </c>
    </row>
    <row r="355" spans="1:16">
      <c r="A355">
        <v>354</v>
      </c>
      <c r="B355" s="2">
        <v>40559</v>
      </c>
      <c r="C355">
        <v>1</v>
      </c>
      <c r="D355">
        <v>0</v>
      </c>
      <c r="E355">
        <v>1</v>
      </c>
      <c r="F355">
        <v>5</v>
      </c>
      <c r="G355" t="b">
        <v>0</v>
      </c>
      <c r="H355">
        <v>0</v>
      </c>
      <c r="I355">
        <v>2</v>
      </c>
      <c r="J355">
        <v>0.26</v>
      </c>
      <c r="K355">
        <v>0.2576</v>
      </c>
      <c r="L355">
        <v>0.56000000000000005</v>
      </c>
      <c r="M355">
        <v>0.16420000000000001</v>
      </c>
      <c r="N355">
        <v>1</v>
      </c>
      <c r="O355">
        <v>1</v>
      </c>
      <c r="P355">
        <v>2</v>
      </c>
    </row>
    <row r="356" spans="1:16">
      <c r="A356">
        <v>355</v>
      </c>
      <c r="B356" s="2">
        <v>40559</v>
      </c>
      <c r="C356">
        <v>1</v>
      </c>
      <c r="D356">
        <v>0</v>
      </c>
      <c r="E356">
        <v>1</v>
      </c>
      <c r="F356">
        <v>6</v>
      </c>
      <c r="G356" t="b">
        <v>0</v>
      </c>
      <c r="H356">
        <v>0</v>
      </c>
      <c r="I356">
        <v>2</v>
      </c>
      <c r="J356">
        <v>0.26</v>
      </c>
      <c r="K356">
        <v>0.2576</v>
      </c>
      <c r="L356">
        <v>0.56000000000000005</v>
      </c>
      <c r="M356">
        <v>0.16420000000000001</v>
      </c>
      <c r="N356">
        <v>0</v>
      </c>
      <c r="O356">
        <v>1</v>
      </c>
      <c r="P356">
        <v>1</v>
      </c>
    </row>
    <row r="357" spans="1:16">
      <c r="A357">
        <v>356</v>
      </c>
      <c r="B357" s="2">
        <v>40559</v>
      </c>
      <c r="C357">
        <v>1</v>
      </c>
      <c r="D357">
        <v>0</v>
      </c>
      <c r="E357">
        <v>1</v>
      </c>
      <c r="F357">
        <v>7</v>
      </c>
      <c r="G357" t="b">
        <v>0</v>
      </c>
      <c r="H357">
        <v>0</v>
      </c>
      <c r="I357">
        <v>2</v>
      </c>
      <c r="J357">
        <v>0.24</v>
      </c>
      <c r="K357">
        <v>0.21210000000000001</v>
      </c>
      <c r="L357">
        <v>0.56000000000000005</v>
      </c>
      <c r="M357">
        <v>0.29849999999999999</v>
      </c>
      <c r="N357">
        <v>0</v>
      </c>
      <c r="O357">
        <v>3</v>
      </c>
      <c r="P357">
        <v>3</v>
      </c>
    </row>
    <row r="358" spans="1:16">
      <c r="A358">
        <v>357</v>
      </c>
      <c r="B358" s="2">
        <v>40559</v>
      </c>
      <c r="C358">
        <v>1</v>
      </c>
      <c r="D358">
        <v>0</v>
      </c>
      <c r="E358">
        <v>1</v>
      </c>
      <c r="F358">
        <v>8</v>
      </c>
      <c r="G358" t="b">
        <v>0</v>
      </c>
      <c r="H358">
        <v>0</v>
      </c>
      <c r="I358">
        <v>1</v>
      </c>
      <c r="J358">
        <v>0.22</v>
      </c>
      <c r="K358">
        <v>0.21210000000000001</v>
      </c>
      <c r="L358">
        <v>0.55000000000000004</v>
      </c>
      <c r="M358">
        <v>0.28360000000000002</v>
      </c>
      <c r="N358">
        <v>0</v>
      </c>
      <c r="O358">
        <v>18</v>
      </c>
      <c r="P358">
        <v>18</v>
      </c>
    </row>
    <row r="359" spans="1:16">
      <c r="A359">
        <v>358</v>
      </c>
      <c r="B359" s="2">
        <v>40559</v>
      </c>
      <c r="C359">
        <v>1</v>
      </c>
      <c r="D359">
        <v>0</v>
      </c>
      <c r="E359">
        <v>1</v>
      </c>
      <c r="F359">
        <v>9</v>
      </c>
      <c r="G359" t="b">
        <v>0</v>
      </c>
      <c r="H359">
        <v>0</v>
      </c>
      <c r="I359">
        <v>1</v>
      </c>
      <c r="J359">
        <v>0.22</v>
      </c>
      <c r="K359">
        <v>0.21210000000000001</v>
      </c>
      <c r="L359">
        <v>0.51</v>
      </c>
      <c r="M359">
        <v>0.25369999999999998</v>
      </c>
      <c r="N359">
        <v>3</v>
      </c>
      <c r="O359">
        <v>29</v>
      </c>
      <c r="P359">
        <v>32</v>
      </c>
    </row>
    <row r="360" spans="1:16">
      <c r="A360">
        <v>359</v>
      </c>
      <c r="B360" s="2">
        <v>40559</v>
      </c>
      <c r="C360">
        <v>1</v>
      </c>
      <c r="D360">
        <v>0</v>
      </c>
      <c r="E360">
        <v>1</v>
      </c>
      <c r="F360">
        <v>10</v>
      </c>
      <c r="G360" t="b">
        <v>0</v>
      </c>
      <c r="H360">
        <v>0</v>
      </c>
      <c r="I360">
        <v>1</v>
      </c>
      <c r="J360">
        <v>0.22</v>
      </c>
      <c r="K360">
        <v>0.21210000000000001</v>
      </c>
      <c r="L360">
        <v>0.51</v>
      </c>
      <c r="M360">
        <v>0.28360000000000002</v>
      </c>
      <c r="N360">
        <v>8</v>
      </c>
      <c r="O360">
        <v>71</v>
      </c>
      <c r="P360">
        <v>79</v>
      </c>
    </row>
    <row r="361" spans="1:16">
      <c r="A361">
        <v>360</v>
      </c>
      <c r="B361" s="2">
        <v>40559</v>
      </c>
      <c r="C361">
        <v>1</v>
      </c>
      <c r="D361">
        <v>0</v>
      </c>
      <c r="E361">
        <v>1</v>
      </c>
      <c r="F361">
        <v>11</v>
      </c>
      <c r="G361" t="b">
        <v>0</v>
      </c>
      <c r="H361">
        <v>0</v>
      </c>
      <c r="I361">
        <v>1</v>
      </c>
      <c r="J361">
        <v>0.24</v>
      </c>
      <c r="K361">
        <v>0.2273</v>
      </c>
      <c r="L361">
        <v>0.44</v>
      </c>
      <c r="M361">
        <v>0.25369999999999998</v>
      </c>
      <c r="N361">
        <v>23</v>
      </c>
      <c r="O361">
        <v>70</v>
      </c>
      <c r="P361">
        <v>93</v>
      </c>
    </row>
    <row r="362" spans="1:16">
      <c r="A362">
        <v>361</v>
      </c>
      <c r="B362" s="2">
        <v>40559</v>
      </c>
      <c r="C362">
        <v>1</v>
      </c>
      <c r="D362">
        <v>0</v>
      </c>
      <c r="E362">
        <v>1</v>
      </c>
      <c r="F362">
        <v>12</v>
      </c>
      <c r="G362" t="b">
        <v>0</v>
      </c>
      <c r="H362">
        <v>0</v>
      </c>
      <c r="I362">
        <v>1</v>
      </c>
      <c r="J362">
        <v>0.24</v>
      </c>
      <c r="K362">
        <v>0.21210000000000001</v>
      </c>
      <c r="L362">
        <v>0.41</v>
      </c>
      <c r="M362">
        <v>0.28360000000000002</v>
      </c>
      <c r="N362">
        <v>29</v>
      </c>
      <c r="O362">
        <v>75</v>
      </c>
      <c r="P362">
        <v>104</v>
      </c>
    </row>
    <row r="363" spans="1:16">
      <c r="A363">
        <v>362</v>
      </c>
      <c r="B363" s="2">
        <v>40559</v>
      </c>
      <c r="C363">
        <v>1</v>
      </c>
      <c r="D363">
        <v>0</v>
      </c>
      <c r="E363">
        <v>1</v>
      </c>
      <c r="F363">
        <v>13</v>
      </c>
      <c r="G363" t="b">
        <v>0</v>
      </c>
      <c r="H363">
        <v>0</v>
      </c>
      <c r="I363">
        <v>1</v>
      </c>
      <c r="J363">
        <v>0.26</v>
      </c>
      <c r="K363">
        <v>0.2273</v>
      </c>
      <c r="L363">
        <v>0.35</v>
      </c>
      <c r="M363">
        <v>0.29849999999999999</v>
      </c>
      <c r="N363">
        <v>23</v>
      </c>
      <c r="O363">
        <v>95</v>
      </c>
      <c r="P363">
        <v>118</v>
      </c>
    </row>
    <row r="364" spans="1:16">
      <c r="A364">
        <v>363</v>
      </c>
      <c r="B364" s="2">
        <v>40559</v>
      </c>
      <c r="C364">
        <v>1</v>
      </c>
      <c r="D364">
        <v>0</v>
      </c>
      <c r="E364">
        <v>1</v>
      </c>
      <c r="F364">
        <v>14</v>
      </c>
      <c r="G364" t="b">
        <v>0</v>
      </c>
      <c r="H364">
        <v>0</v>
      </c>
      <c r="I364">
        <v>1</v>
      </c>
      <c r="J364">
        <v>0.28000000000000003</v>
      </c>
      <c r="K364">
        <v>0.2727</v>
      </c>
      <c r="L364">
        <v>0.36</v>
      </c>
      <c r="M364">
        <v>0.25369999999999998</v>
      </c>
      <c r="N364">
        <v>22</v>
      </c>
      <c r="O364">
        <v>69</v>
      </c>
      <c r="P364">
        <v>91</v>
      </c>
    </row>
    <row r="365" spans="1:16">
      <c r="A365">
        <v>364</v>
      </c>
      <c r="B365" s="2">
        <v>40559</v>
      </c>
      <c r="C365">
        <v>1</v>
      </c>
      <c r="D365">
        <v>0</v>
      </c>
      <c r="E365">
        <v>1</v>
      </c>
      <c r="F365">
        <v>15</v>
      </c>
      <c r="G365" t="b">
        <v>0</v>
      </c>
      <c r="H365">
        <v>0</v>
      </c>
      <c r="I365">
        <v>1</v>
      </c>
      <c r="J365">
        <v>0.26</v>
      </c>
      <c r="K365">
        <v>0.2424</v>
      </c>
      <c r="L365">
        <v>0.38</v>
      </c>
      <c r="M365">
        <v>0.25369999999999998</v>
      </c>
      <c r="N365">
        <v>35</v>
      </c>
      <c r="O365">
        <v>78</v>
      </c>
      <c r="P365">
        <v>113</v>
      </c>
    </row>
    <row r="366" spans="1:16">
      <c r="A366">
        <v>365</v>
      </c>
      <c r="B366" s="2">
        <v>40559</v>
      </c>
      <c r="C366">
        <v>1</v>
      </c>
      <c r="D366">
        <v>0</v>
      </c>
      <c r="E366">
        <v>1</v>
      </c>
      <c r="F366">
        <v>16</v>
      </c>
      <c r="G366" t="b">
        <v>0</v>
      </c>
      <c r="H366">
        <v>0</v>
      </c>
      <c r="I366">
        <v>1</v>
      </c>
      <c r="J366">
        <v>0.24</v>
      </c>
      <c r="K366">
        <v>0.2273</v>
      </c>
      <c r="L366">
        <v>0.38</v>
      </c>
      <c r="M366">
        <v>0.22389999999999999</v>
      </c>
      <c r="N366">
        <v>22</v>
      </c>
      <c r="O366">
        <v>77</v>
      </c>
      <c r="P366">
        <v>99</v>
      </c>
    </row>
    <row r="367" spans="1:16">
      <c r="A367">
        <v>366</v>
      </c>
      <c r="B367" s="2">
        <v>40559</v>
      </c>
      <c r="C367">
        <v>1</v>
      </c>
      <c r="D367">
        <v>0</v>
      </c>
      <c r="E367">
        <v>1</v>
      </c>
      <c r="F367">
        <v>17</v>
      </c>
      <c r="G367" t="b">
        <v>0</v>
      </c>
      <c r="H367">
        <v>0</v>
      </c>
      <c r="I367">
        <v>1</v>
      </c>
      <c r="J367">
        <v>0.22</v>
      </c>
      <c r="K367">
        <v>0.21210000000000001</v>
      </c>
      <c r="L367">
        <v>0.37</v>
      </c>
      <c r="M367">
        <v>0.25369999999999998</v>
      </c>
      <c r="N367">
        <v>23</v>
      </c>
      <c r="O367">
        <v>82</v>
      </c>
      <c r="P367">
        <v>105</v>
      </c>
    </row>
    <row r="368" spans="1:16">
      <c r="A368">
        <v>367</v>
      </c>
      <c r="B368" s="2">
        <v>40559</v>
      </c>
      <c r="C368">
        <v>1</v>
      </c>
      <c r="D368">
        <v>0</v>
      </c>
      <c r="E368">
        <v>1</v>
      </c>
      <c r="F368">
        <v>18</v>
      </c>
      <c r="G368" t="b">
        <v>0</v>
      </c>
      <c r="H368">
        <v>0</v>
      </c>
      <c r="I368">
        <v>1</v>
      </c>
      <c r="J368">
        <v>0.2</v>
      </c>
      <c r="K368">
        <v>0.21210000000000001</v>
      </c>
      <c r="L368">
        <v>0.4</v>
      </c>
      <c r="M368">
        <v>0.16420000000000001</v>
      </c>
      <c r="N368">
        <v>11</v>
      </c>
      <c r="O368">
        <v>56</v>
      </c>
      <c r="P368">
        <v>67</v>
      </c>
    </row>
    <row r="369" spans="1:16">
      <c r="A369">
        <v>368</v>
      </c>
      <c r="B369" s="2">
        <v>40559</v>
      </c>
      <c r="C369">
        <v>1</v>
      </c>
      <c r="D369">
        <v>0</v>
      </c>
      <c r="E369">
        <v>1</v>
      </c>
      <c r="F369">
        <v>19</v>
      </c>
      <c r="G369" t="b">
        <v>0</v>
      </c>
      <c r="H369">
        <v>0</v>
      </c>
      <c r="I369">
        <v>1</v>
      </c>
      <c r="J369">
        <v>0.18</v>
      </c>
      <c r="K369">
        <v>0.19700000000000001</v>
      </c>
      <c r="L369">
        <v>0.47</v>
      </c>
      <c r="M369">
        <v>0.1343</v>
      </c>
      <c r="N369">
        <v>14</v>
      </c>
      <c r="O369">
        <v>47</v>
      </c>
      <c r="P369">
        <v>61</v>
      </c>
    </row>
    <row r="370" spans="1:16">
      <c r="A370">
        <v>369</v>
      </c>
      <c r="B370" s="2">
        <v>40559</v>
      </c>
      <c r="C370">
        <v>1</v>
      </c>
      <c r="D370">
        <v>0</v>
      </c>
      <c r="E370">
        <v>1</v>
      </c>
      <c r="F370">
        <v>20</v>
      </c>
      <c r="G370" t="b">
        <v>0</v>
      </c>
      <c r="H370">
        <v>0</v>
      </c>
      <c r="I370">
        <v>1</v>
      </c>
      <c r="J370">
        <v>0.18</v>
      </c>
      <c r="K370">
        <v>0.19700000000000001</v>
      </c>
      <c r="L370">
        <v>0.47</v>
      </c>
      <c r="M370">
        <v>0.16420000000000001</v>
      </c>
      <c r="N370">
        <v>7</v>
      </c>
      <c r="O370">
        <v>50</v>
      </c>
      <c r="P370">
        <v>57</v>
      </c>
    </row>
    <row r="371" spans="1:16">
      <c r="A371">
        <v>370</v>
      </c>
      <c r="B371" s="2">
        <v>40559</v>
      </c>
      <c r="C371">
        <v>1</v>
      </c>
      <c r="D371">
        <v>0</v>
      </c>
      <c r="E371">
        <v>1</v>
      </c>
      <c r="F371">
        <v>21</v>
      </c>
      <c r="G371" t="b">
        <v>0</v>
      </c>
      <c r="H371">
        <v>0</v>
      </c>
      <c r="I371">
        <v>1</v>
      </c>
      <c r="J371">
        <v>0.18</v>
      </c>
      <c r="K371">
        <v>0.19700000000000001</v>
      </c>
      <c r="L371">
        <v>0.51</v>
      </c>
      <c r="M371">
        <v>0.16420000000000001</v>
      </c>
      <c r="N371">
        <v>6</v>
      </c>
      <c r="O371">
        <v>22</v>
      </c>
      <c r="P371">
        <v>28</v>
      </c>
    </row>
    <row r="372" spans="1:16">
      <c r="A372">
        <v>371</v>
      </c>
      <c r="B372" s="2">
        <v>40559</v>
      </c>
      <c r="C372">
        <v>1</v>
      </c>
      <c r="D372">
        <v>0</v>
      </c>
      <c r="E372">
        <v>1</v>
      </c>
      <c r="F372">
        <v>22</v>
      </c>
      <c r="G372" t="b">
        <v>0</v>
      </c>
      <c r="H372">
        <v>0</v>
      </c>
      <c r="I372">
        <v>2</v>
      </c>
      <c r="J372">
        <v>0.2</v>
      </c>
      <c r="K372">
        <v>0.21210000000000001</v>
      </c>
      <c r="L372">
        <v>0.49</v>
      </c>
      <c r="M372">
        <v>0.1343</v>
      </c>
      <c r="N372">
        <v>2</v>
      </c>
      <c r="O372">
        <v>19</v>
      </c>
      <c r="P372">
        <v>21</v>
      </c>
    </row>
    <row r="373" spans="1:16">
      <c r="A373">
        <v>372</v>
      </c>
      <c r="B373" s="2">
        <v>40559</v>
      </c>
      <c r="C373">
        <v>1</v>
      </c>
      <c r="D373">
        <v>0</v>
      </c>
      <c r="E373">
        <v>1</v>
      </c>
      <c r="F373">
        <v>23</v>
      </c>
      <c r="G373" t="b">
        <v>0</v>
      </c>
      <c r="H373">
        <v>0</v>
      </c>
      <c r="I373">
        <v>2</v>
      </c>
      <c r="J373">
        <v>0.2</v>
      </c>
      <c r="K373">
        <v>0.2273</v>
      </c>
      <c r="L373">
        <v>0.4</v>
      </c>
      <c r="M373">
        <v>0.1045</v>
      </c>
      <c r="N373">
        <v>0</v>
      </c>
      <c r="O373">
        <v>18</v>
      </c>
      <c r="P373">
        <v>18</v>
      </c>
    </row>
    <row r="374" spans="1:16">
      <c r="A374">
        <v>373</v>
      </c>
      <c r="B374" s="2">
        <v>40560</v>
      </c>
      <c r="C374">
        <v>1</v>
      </c>
      <c r="D374">
        <v>0</v>
      </c>
      <c r="E374">
        <v>1</v>
      </c>
      <c r="F374">
        <v>0</v>
      </c>
      <c r="G374" t="b">
        <v>1</v>
      </c>
      <c r="H374">
        <v>1</v>
      </c>
      <c r="I374">
        <v>2</v>
      </c>
      <c r="J374">
        <v>0.2</v>
      </c>
      <c r="K374">
        <v>0.19700000000000001</v>
      </c>
      <c r="L374">
        <v>0.47</v>
      </c>
      <c r="M374">
        <v>0.22389999999999999</v>
      </c>
      <c r="N374">
        <v>1</v>
      </c>
      <c r="O374">
        <v>16</v>
      </c>
      <c r="P374">
        <v>17</v>
      </c>
    </row>
    <row r="375" spans="1:16">
      <c r="A375">
        <v>374</v>
      </c>
      <c r="B375" s="2">
        <v>40560</v>
      </c>
      <c r="C375">
        <v>1</v>
      </c>
      <c r="D375">
        <v>0</v>
      </c>
      <c r="E375">
        <v>1</v>
      </c>
      <c r="F375">
        <v>1</v>
      </c>
      <c r="G375" t="b">
        <v>1</v>
      </c>
      <c r="H375">
        <v>1</v>
      </c>
      <c r="I375">
        <v>2</v>
      </c>
      <c r="J375">
        <v>0.2</v>
      </c>
      <c r="K375">
        <v>0.19700000000000001</v>
      </c>
      <c r="L375">
        <v>0.44</v>
      </c>
      <c r="M375">
        <v>0.19400000000000001</v>
      </c>
      <c r="N375">
        <v>1</v>
      </c>
      <c r="O375">
        <v>15</v>
      </c>
      <c r="P375">
        <v>16</v>
      </c>
    </row>
    <row r="376" spans="1:16">
      <c r="A376">
        <v>375</v>
      </c>
      <c r="B376" s="2">
        <v>40560</v>
      </c>
      <c r="C376">
        <v>1</v>
      </c>
      <c r="D376">
        <v>0</v>
      </c>
      <c r="E376">
        <v>1</v>
      </c>
      <c r="F376">
        <v>2</v>
      </c>
      <c r="G376" t="b">
        <v>1</v>
      </c>
      <c r="H376">
        <v>1</v>
      </c>
      <c r="I376">
        <v>2</v>
      </c>
      <c r="J376">
        <v>0.18</v>
      </c>
      <c r="K376">
        <v>0.16669999999999999</v>
      </c>
      <c r="L376">
        <v>0.43</v>
      </c>
      <c r="M376">
        <v>0.25369999999999998</v>
      </c>
      <c r="N376">
        <v>0</v>
      </c>
      <c r="O376">
        <v>8</v>
      </c>
      <c r="P376">
        <v>8</v>
      </c>
    </row>
    <row r="377" spans="1:16">
      <c r="A377">
        <v>376</v>
      </c>
      <c r="B377" s="2">
        <v>40560</v>
      </c>
      <c r="C377">
        <v>1</v>
      </c>
      <c r="D377">
        <v>0</v>
      </c>
      <c r="E377">
        <v>1</v>
      </c>
      <c r="F377">
        <v>3</v>
      </c>
      <c r="G377" t="b">
        <v>1</v>
      </c>
      <c r="H377">
        <v>1</v>
      </c>
      <c r="I377">
        <v>2</v>
      </c>
      <c r="J377">
        <v>0.18</v>
      </c>
      <c r="K377">
        <v>0.18179999999999999</v>
      </c>
      <c r="L377">
        <v>0.43</v>
      </c>
      <c r="M377">
        <v>0.19400000000000001</v>
      </c>
      <c r="N377">
        <v>0</v>
      </c>
      <c r="O377">
        <v>2</v>
      </c>
      <c r="P377">
        <v>2</v>
      </c>
    </row>
    <row r="378" spans="1:16">
      <c r="A378">
        <v>377</v>
      </c>
      <c r="B378" s="2">
        <v>40560</v>
      </c>
      <c r="C378">
        <v>1</v>
      </c>
      <c r="D378">
        <v>0</v>
      </c>
      <c r="E378">
        <v>1</v>
      </c>
      <c r="F378">
        <v>4</v>
      </c>
      <c r="G378" t="b">
        <v>1</v>
      </c>
      <c r="H378">
        <v>1</v>
      </c>
      <c r="I378">
        <v>2</v>
      </c>
      <c r="J378">
        <v>0.18</v>
      </c>
      <c r="K378">
        <v>0.19700000000000001</v>
      </c>
      <c r="L378">
        <v>0.43</v>
      </c>
      <c r="M378">
        <v>0.1343</v>
      </c>
      <c r="N378">
        <v>1</v>
      </c>
      <c r="O378">
        <v>2</v>
      </c>
      <c r="P378">
        <v>3</v>
      </c>
    </row>
    <row r="379" spans="1:16">
      <c r="A379">
        <v>378</v>
      </c>
      <c r="B379" s="2">
        <v>40560</v>
      </c>
      <c r="C379">
        <v>1</v>
      </c>
      <c r="D379">
        <v>0</v>
      </c>
      <c r="E379">
        <v>1</v>
      </c>
      <c r="F379">
        <v>5</v>
      </c>
      <c r="G379" t="b">
        <v>1</v>
      </c>
      <c r="H379">
        <v>1</v>
      </c>
      <c r="I379">
        <v>2</v>
      </c>
      <c r="J379">
        <v>0.18</v>
      </c>
      <c r="K379">
        <v>0.19700000000000001</v>
      </c>
      <c r="L379">
        <v>0.43</v>
      </c>
      <c r="M379">
        <v>0.16420000000000001</v>
      </c>
      <c r="N379">
        <v>0</v>
      </c>
      <c r="O379">
        <v>1</v>
      </c>
      <c r="P379">
        <v>1</v>
      </c>
    </row>
    <row r="380" spans="1:16">
      <c r="A380">
        <v>379</v>
      </c>
      <c r="B380" s="2">
        <v>40560</v>
      </c>
      <c r="C380">
        <v>1</v>
      </c>
      <c r="D380">
        <v>0</v>
      </c>
      <c r="E380">
        <v>1</v>
      </c>
      <c r="F380">
        <v>6</v>
      </c>
      <c r="G380" t="b">
        <v>1</v>
      </c>
      <c r="H380">
        <v>1</v>
      </c>
      <c r="I380">
        <v>2</v>
      </c>
      <c r="J380">
        <v>0.18</v>
      </c>
      <c r="K380">
        <v>0.18179999999999999</v>
      </c>
      <c r="L380">
        <v>0.43</v>
      </c>
      <c r="M380">
        <v>0.19400000000000001</v>
      </c>
      <c r="N380">
        <v>0</v>
      </c>
      <c r="O380">
        <v>5</v>
      </c>
      <c r="P380">
        <v>5</v>
      </c>
    </row>
    <row r="381" spans="1:16">
      <c r="A381">
        <v>380</v>
      </c>
      <c r="B381" s="2">
        <v>40560</v>
      </c>
      <c r="C381">
        <v>1</v>
      </c>
      <c r="D381">
        <v>0</v>
      </c>
      <c r="E381">
        <v>1</v>
      </c>
      <c r="F381">
        <v>7</v>
      </c>
      <c r="G381" t="b">
        <v>1</v>
      </c>
      <c r="H381">
        <v>1</v>
      </c>
      <c r="I381">
        <v>2</v>
      </c>
      <c r="J381">
        <v>0.16</v>
      </c>
      <c r="K381">
        <v>0.18179999999999999</v>
      </c>
      <c r="L381">
        <v>0.5</v>
      </c>
      <c r="M381">
        <v>0.1343</v>
      </c>
      <c r="N381">
        <v>4</v>
      </c>
      <c r="O381">
        <v>9</v>
      </c>
      <c r="P381">
        <v>13</v>
      </c>
    </row>
    <row r="382" spans="1:16">
      <c r="A382">
        <v>381</v>
      </c>
      <c r="B382" s="2">
        <v>40560</v>
      </c>
      <c r="C382">
        <v>1</v>
      </c>
      <c r="D382">
        <v>0</v>
      </c>
      <c r="E382">
        <v>1</v>
      </c>
      <c r="F382">
        <v>8</v>
      </c>
      <c r="G382" t="b">
        <v>1</v>
      </c>
      <c r="H382">
        <v>1</v>
      </c>
      <c r="I382">
        <v>2</v>
      </c>
      <c r="J382">
        <v>0.16</v>
      </c>
      <c r="K382">
        <v>0.1515</v>
      </c>
      <c r="L382">
        <v>0.47</v>
      </c>
      <c r="M382">
        <v>0.22389999999999999</v>
      </c>
      <c r="N382">
        <v>3</v>
      </c>
      <c r="O382">
        <v>30</v>
      </c>
      <c r="P382">
        <v>33</v>
      </c>
    </row>
    <row r="383" spans="1:16">
      <c r="A383">
        <v>382</v>
      </c>
      <c r="B383" s="2">
        <v>40560</v>
      </c>
      <c r="C383">
        <v>1</v>
      </c>
      <c r="D383">
        <v>0</v>
      </c>
      <c r="E383">
        <v>1</v>
      </c>
      <c r="F383">
        <v>9</v>
      </c>
      <c r="G383" t="b">
        <v>1</v>
      </c>
      <c r="H383">
        <v>1</v>
      </c>
      <c r="I383">
        <v>2</v>
      </c>
      <c r="J383">
        <v>0.16</v>
      </c>
      <c r="K383">
        <v>0.1515</v>
      </c>
      <c r="L383">
        <v>0.47</v>
      </c>
      <c r="M383">
        <v>0.22389999999999999</v>
      </c>
      <c r="N383">
        <v>8</v>
      </c>
      <c r="O383">
        <v>39</v>
      </c>
      <c r="P383">
        <v>47</v>
      </c>
    </row>
    <row r="384" spans="1:16">
      <c r="A384">
        <v>383</v>
      </c>
      <c r="B384" s="2">
        <v>40560</v>
      </c>
      <c r="C384">
        <v>1</v>
      </c>
      <c r="D384">
        <v>0</v>
      </c>
      <c r="E384">
        <v>1</v>
      </c>
      <c r="F384">
        <v>10</v>
      </c>
      <c r="G384" t="b">
        <v>1</v>
      </c>
      <c r="H384">
        <v>1</v>
      </c>
      <c r="I384">
        <v>2</v>
      </c>
      <c r="J384">
        <v>0.16</v>
      </c>
      <c r="K384">
        <v>0.1515</v>
      </c>
      <c r="L384">
        <v>0.5</v>
      </c>
      <c r="M384">
        <v>0.25369999999999998</v>
      </c>
      <c r="N384">
        <v>7</v>
      </c>
      <c r="O384">
        <v>50</v>
      </c>
      <c r="P384">
        <v>57</v>
      </c>
    </row>
    <row r="385" spans="1:16">
      <c r="A385">
        <v>384</v>
      </c>
      <c r="B385" s="2">
        <v>40560</v>
      </c>
      <c r="C385">
        <v>1</v>
      </c>
      <c r="D385">
        <v>0</v>
      </c>
      <c r="E385">
        <v>1</v>
      </c>
      <c r="F385">
        <v>11</v>
      </c>
      <c r="G385" t="b">
        <v>1</v>
      </c>
      <c r="H385">
        <v>1</v>
      </c>
      <c r="I385">
        <v>2</v>
      </c>
      <c r="J385">
        <v>0.16</v>
      </c>
      <c r="K385">
        <v>0.1515</v>
      </c>
      <c r="L385">
        <v>0.55000000000000004</v>
      </c>
      <c r="M385">
        <v>0.19400000000000001</v>
      </c>
      <c r="N385">
        <v>9</v>
      </c>
      <c r="O385">
        <v>55</v>
      </c>
      <c r="P385">
        <v>64</v>
      </c>
    </row>
    <row r="386" spans="1:16">
      <c r="A386">
        <v>385</v>
      </c>
      <c r="B386" s="2">
        <v>40560</v>
      </c>
      <c r="C386">
        <v>1</v>
      </c>
      <c r="D386">
        <v>0</v>
      </c>
      <c r="E386">
        <v>1</v>
      </c>
      <c r="F386">
        <v>12</v>
      </c>
      <c r="G386" t="b">
        <v>1</v>
      </c>
      <c r="H386">
        <v>1</v>
      </c>
      <c r="I386">
        <v>2</v>
      </c>
      <c r="J386">
        <v>0.18</v>
      </c>
      <c r="K386">
        <v>0.19700000000000001</v>
      </c>
      <c r="L386">
        <v>0.47</v>
      </c>
      <c r="M386">
        <v>0.1343</v>
      </c>
      <c r="N386">
        <v>10</v>
      </c>
      <c r="O386">
        <v>70</v>
      </c>
      <c r="P386">
        <v>80</v>
      </c>
    </row>
    <row r="387" spans="1:16">
      <c r="A387">
        <v>386</v>
      </c>
      <c r="B387" s="2">
        <v>40560</v>
      </c>
      <c r="C387">
        <v>1</v>
      </c>
      <c r="D387">
        <v>0</v>
      </c>
      <c r="E387">
        <v>1</v>
      </c>
      <c r="F387">
        <v>13</v>
      </c>
      <c r="G387" t="b">
        <v>1</v>
      </c>
      <c r="H387">
        <v>1</v>
      </c>
      <c r="I387">
        <v>2</v>
      </c>
      <c r="J387">
        <v>0.18</v>
      </c>
      <c r="K387">
        <v>0.19700000000000001</v>
      </c>
      <c r="L387">
        <v>0.47</v>
      </c>
      <c r="M387">
        <v>0.1343</v>
      </c>
      <c r="N387">
        <v>13</v>
      </c>
      <c r="O387">
        <v>80</v>
      </c>
      <c r="P387">
        <v>93</v>
      </c>
    </row>
    <row r="388" spans="1:16">
      <c r="A388">
        <v>387</v>
      </c>
      <c r="B388" s="2">
        <v>40560</v>
      </c>
      <c r="C388">
        <v>1</v>
      </c>
      <c r="D388">
        <v>0</v>
      </c>
      <c r="E388">
        <v>1</v>
      </c>
      <c r="F388">
        <v>14</v>
      </c>
      <c r="G388" t="b">
        <v>1</v>
      </c>
      <c r="H388">
        <v>1</v>
      </c>
      <c r="I388">
        <v>2</v>
      </c>
      <c r="J388">
        <v>0.18</v>
      </c>
      <c r="K388">
        <v>0.21210000000000001</v>
      </c>
      <c r="L388">
        <v>0.43</v>
      </c>
      <c r="M388">
        <v>0.1045</v>
      </c>
      <c r="N388">
        <v>12</v>
      </c>
      <c r="O388">
        <v>74</v>
      </c>
      <c r="P388">
        <v>86</v>
      </c>
    </row>
    <row r="389" spans="1:16">
      <c r="A389">
        <v>388</v>
      </c>
      <c r="B389" s="2">
        <v>40560</v>
      </c>
      <c r="C389">
        <v>1</v>
      </c>
      <c r="D389">
        <v>0</v>
      </c>
      <c r="E389">
        <v>1</v>
      </c>
      <c r="F389">
        <v>15</v>
      </c>
      <c r="G389" t="b">
        <v>1</v>
      </c>
      <c r="H389">
        <v>1</v>
      </c>
      <c r="I389">
        <v>2</v>
      </c>
      <c r="J389">
        <v>0.2</v>
      </c>
      <c r="K389">
        <v>0.21210000000000001</v>
      </c>
      <c r="L389">
        <v>0.47</v>
      </c>
      <c r="M389">
        <v>0.16420000000000001</v>
      </c>
      <c r="N389">
        <v>21</v>
      </c>
      <c r="O389">
        <v>72</v>
      </c>
      <c r="P389">
        <v>93</v>
      </c>
    </row>
    <row r="390" spans="1:16">
      <c r="A390">
        <v>389</v>
      </c>
      <c r="B390" s="2">
        <v>40560</v>
      </c>
      <c r="C390">
        <v>1</v>
      </c>
      <c r="D390">
        <v>0</v>
      </c>
      <c r="E390">
        <v>1</v>
      </c>
      <c r="F390">
        <v>16</v>
      </c>
      <c r="G390" t="b">
        <v>1</v>
      </c>
      <c r="H390">
        <v>1</v>
      </c>
      <c r="I390">
        <v>2</v>
      </c>
      <c r="J390">
        <v>0.2</v>
      </c>
      <c r="K390">
        <v>0.21210000000000001</v>
      </c>
      <c r="L390">
        <v>0.47</v>
      </c>
      <c r="M390">
        <v>0.16420000000000001</v>
      </c>
      <c r="N390">
        <v>6</v>
      </c>
      <c r="O390">
        <v>76</v>
      </c>
      <c r="P390">
        <v>82</v>
      </c>
    </row>
    <row r="391" spans="1:16">
      <c r="A391">
        <v>390</v>
      </c>
      <c r="B391" s="2">
        <v>40560</v>
      </c>
      <c r="C391">
        <v>1</v>
      </c>
      <c r="D391">
        <v>0</v>
      </c>
      <c r="E391">
        <v>1</v>
      </c>
      <c r="F391">
        <v>17</v>
      </c>
      <c r="G391" t="b">
        <v>1</v>
      </c>
      <c r="H391">
        <v>1</v>
      </c>
      <c r="I391">
        <v>1</v>
      </c>
      <c r="J391">
        <v>0.2</v>
      </c>
      <c r="K391">
        <v>0.19700000000000001</v>
      </c>
      <c r="L391">
        <v>0.51</v>
      </c>
      <c r="M391">
        <v>0.19400000000000001</v>
      </c>
      <c r="N391">
        <v>4</v>
      </c>
      <c r="O391">
        <v>67</v>
      </c>
      <c r="P391">
        <v>71</v>
      </c>
    </row>
    <row r="392" spans="1:16">
      <c r="A392">
        <v>391</v>
      </c>
      <c r="B392" s="2">
        <v>40560</v>
      </c>
      <c r="C392">
        <v>1</v>
      </c>
      <c r="D392">
        <v>0</v>
      </c>
      <c r="E392">
        <v>1</v>
      </c>
      <c r="F392">
        <v>18</v>
      </c>
      <c r="G392" t="b">
        <v>1</v>
      </c>
      <c r="H392">
        <v>1</v>
      </c>
      <c r="I392">
        <v>2</v>
      </c>
      <c r="J392">
        <v>0.18</v>
      </c>
      <c r="K392">
        <v>0.16669999999999999</v>
      </c>
      <c r="L392">
        <v>0.55000000000000004</v>
      </c>
      <c r="M392">
        <v>0.25369999999999998</v>
      </c>
      <c r="N392">
        <v>7</v>
      </c>
      <c r="O392">
        <v>85</v>
      </c>
      <c r="P392">
        <v>92</v>
      </c>
    </row>
    <row r="393" spans="1:16">
      <c r="A393">
        <v>392</v>
      </c>
      <c r="B393" s="2">
        <v>40560</v>
      </c>
      <c r="C393">
        <v>1</v>
      </c>
      <c r="D393">
        <v>0</v>
      </c>
      <c r="E393">
        <v>1</v>
      </c>
      <c r="F393">
        <v>19</v>
      </c>
      <c r="G393" t="b">
        <v>1</v>
      </c>
      <c r="H393">
        <v>1</v>
      </c>
      <c r="I393">
        <v>3</v>
      </c>
      <c r="J393">
        <v>0.18</v>
      </c>
      <c r="K393">
        <v>0.18179999999999999</v>
      </c>
      <c r="L393">
        <v>0.59</v>
      </c>
      <c r="M393">
        <v>0.19400000000000001</v>
      </c>
      <c r="N393">
        <v>2</v>
      </c>
      <c r="O393">
        <v>58</v>
      </c>
      <c r="P393">
        <v>60</v>
      </c>
    </row>
    <row r="394" spans="1:16">
      <c r="A394">
        <v>393</v>
      </c>
      <c r="B394" s="2">
        <v>40560</v>
      </c>
      <c r="C394">
        <v>1</v>
      </c>
      <c r="D394">
        <v>0</v>
      </c>
      <c r="E394">
        <v>1</v>
      </c>
      <c r="F394">
        <v>20</v>
      </c>
      <c r="G394" t="b">
        <v>1</v>
      </c>
      <c r="H394">
        <v>1</v>
      </c>
      <c r="I394">
        <v>3</v>
      </c>
      <c r="J394">
        <v>0.16</v>
      </c>
      <c r="K394">
        <v>0.1515</v>
      </c>
      <c r="L394">
        <v>0.8</v>
      </c>
      <c r="M394">
        <v>0.19400000000000001</v>
      </c>
      <c r="N394">
        <v>4</v>
      </c>
      <c r="O394">
        <v>29</v>
      </c>
      <c r="P394">
        <v>33</v>
      </c>
    </row>
    <row r="395" spans="1:16">
      <c r="A395">
        <v>394</v>
      </c>
      <c r="B395" s="2">
        <v>40560</v>
      </c>
      <c r="C395">
        <v>1</v>
      </c>
      <c r="D395">
        <v>0</v>
      </c>
      <c r="E395">
        <v>1</v>
      </c>
      <c r="F395">
        <v>21</v>
      </c>
      <c r="G395" t="b">
        <v>1</v>
      </c>
      <c r="H395">
        <v>1</v>
      </c>
      <c r="I395">
        <v>3</v>
      </c>
      <c r="J395">
        <v>0.16</v>
      </c>
      <c r="K395">
        <v>0.1515</v>
      </c>
      <c r="L395">
        <v>0.8</v>
      </c>
      <c r="M395">
        <v>0.19400000000000001</v>
      </c>
      <c r="N395">
        <v>3</v>
      </c>
      <c r="O395">
        <v>24</v>
      </c>
      <c r="P395">
        <v>27</v>
      </c>
    </row>
    <row r="396" spans="1:16">
      <c r="A396">
        <v>395</v>
      </c>
      <c r="B396" s="2">
        <v>40560</v>
      </c>
      <c r="C396">
        <v>1</v>
      </c>
      <c r="D396">
        <v>0</v>
      </c>
      <c r="E396">
        <v>1</v>
      </c>
      <c r="F396">
        <v>22</v>
      </c>
      <c r="G396" t="b">
        <v>1</v>
      </c>
      <c r="H396">
        <v>1</v>
      </c>
      <c r="I396">
        <v>3</v>
      </c>
      <c r="J396">
        <v>0.14000000000000001</v>
      </c>
      <c r="K396">
        <v>0.1212</v>
      </c>
      <c r="L396">
        <v>0.93</v>
      </c>
      <c r="M396">
        <v>0.25369999999999998</v>
      </c>
      <c r="N396">
        <v>0</v>
      </c>
      <c r="O396">
        <v>13</v>
      </c>
      <c r="P396">
        <v>13</v>
      </c>
    </row>
    <row r="397" spans="1:16">
      <c r="A397">
        <v>396</v>
      </c>
      <c r="B397" s="2">
        <v>40560</v>
      </c>
      <c r="C397">
        <v>1</v>
      </c>
      <c r="D397">
        <v>0</v>
      </c>
      <c r="E397">
        <v>1</v>
      </c>
      <c r="F397">
        <v>23</v>
      </c>
      <c r="G397" t="b">
        <v>1</v>
      </c>
      <c r="H397">
        <v>1</v>
      </c>
      <c r="I397">
        <v>3</v>
      </c>
      <c r="J397">
        <v>0.16</v>
      </c>
      <c r="K397">
        <v>0.13639999999999999</v>
      </c>
      <c r="L397">
        <v>0.86</v>
      </c>
      <c r="M397">
        <v>0.28360000000000002</v>
      </c>
      <c r="N397">
        <v>1</v>
      </c>
      <c r="O397">
        <v>3</v>
      </c>
      <c r="P397">
        <v>4</v>
      </c>
    </row>
    <row r="398" spans="1:16">
      <c r="A398">
        <v>397</v>
      </c>
      <c r="B398" s="2">
        <v>40561</v>
      </c>
      <c r="C398">
        <v>1</v>
      </c>
      <c r="D398">
        <v>0</v>
      </c>
      <c r="E398">
        <v>1</v>
      </c>
      <c r="F398">
        <v>12</v>
      </c>
      <c r="G398" t="b">
        <v>0</v>
      </c>
      <c r="H398">
        <v>2</v>
      </c>
      <c r="I398">
        <v>2</v>
      </c>
      <c r="J398">
        <v>0.2</v>
      </c>
      <c r="K398">
        <v>0.18179999999999999</v>
      </c>
      <c r="L398">
        <v>0.86</v>
      </c>
      <c r="M398">
        <v>0.32840000000000003</v>
      </c>
      <c r="N398">
        <v>0</v>
      </c>
      <c r="O398">
        <v>3</v>
      </c>
      <c r="P398">
        <v>3</v>
      </c>
    </row>
    <row r="399" spans="1:16">
      <c r="A399">
        <v>398</v>
      </c>
      <c r="B399" s="2">
        <v>40561</v>
      </c>
      <c r="C399">
        <v>1</v>
      </c>
      <c r="D399">
        <v>0</v>
      </c>
      <c r="E399">
        <v>1</v>
      </c>
      <c r="F399">
        <v>13</v>
      </c>
      <c r="G399" t="b">
        <v>0</v>
      </c>
      <c r="H399">
        <v>2</v>
      </c>
      <c r="I399">
        <v>2</v>
      </c>
      <c r="J399">
        <v>0.2</v>
      </c>
      <c r="K399">
        <v>0.19700000000000001</v>
      </c>
      <c r="L399">
        <v>0.86</v>
      </c>
      <c r="M399">
        <v>0.22389999999999999</v>
      </c>
      <c r="N399">
        <v>0</v>
      </c>
      <c r="O399">
        <v>22</v>
      </c>
      <c r="P399">
        <v>22</v>
      </c>
    </row>
    <row r="400" spans="1:16">
      <c r="A400">
        <v>399</v>
      </c>
      <c r="B400" s="2">
        <v>40561</v>
      </c>
      <c r="C400">
        <v>1</v>
      </c>
      <c r="D400">
        <v>0</v>
      </c>
      <c r="E400">
        <v>1</v>
      </c>
      <c r="F400">
        <v>14</v>
      </c>
      <c r="G400" t="b">
        <v>0</v>
      </c>
      <c r="H400">
        <v>2</v>
      </c>
      <c r="I400">
        <v>2</v>
      </c>
      <c r="J400">
        <v>0.22</v>
      </c>
      <c r="K400">
        <v>0.2273</v>
      </c>
      <c r="L400">
        <v>0.8</v>
      </c>
      <c r="M400">
        <v>0.16420000000000001</v>
      </c>
      <c r="N400">
        <v>2</v>
      </c>
      <c r="O400">
        <v>26</v>
      </c>
      <c r="P400">
        <v>28</v>
      </c>
    </row>
    <row r="401" spans="1:16">
      <c r="A401">
        <v>400</v>
      </c>
      <c r="B401" s="2">
        <v>40561</v>
      </c>
      <c r="C401">
        <v>1</v>
      </c>
      <c r="D401">
        <v>0</v>
      </c>
      <c r="E401">
        <v>1</v>
      </c>
      <c r="F401">
        <v>15</v>
      </c>
      <c r="G401" t="b">
        <v>0</v>
      </c>
      <c r="H401">
        <v>2</v>
      </c>
      <c r="I401">
        <v>2</v>
      </c>
      <c r="J401">
        <v>0.22</v>
      </c>
      <c r="K401">
        <v>0.2273</v>
      </c>
      <c r="L401">
        <v>0.87</v>
      </c>
      <c r="M401">
        <v>0.16420000000000001</v>
      </c>
      <c r="N401">
        <v>3</v>
      </c>
      <c r="O401">
        <v>32</v>
      </c>
      <c r="P401">
        <v>35</v>
      </c>
    </row>
    <row r="402" spans="1:16">
      <c r="A402">
        <v>401</v>
      </c>
      <c r="B402" s="2">
        <v>40561</v>
      </c>
      <c r="C402">
        <v>1</v>
      </c>
      <c r="D402">
        <v>0</v>
      </c>
      <c r="E402">
        <v>1</v>
      </c>
      <c r="F402">
        <v>16</v>
      </c>
      <c r="G402" t="b">
        <v>0</v>
      </c>
      <c r="H402">
        <v>2</v>
      </c>
      <c r="I402">
        <v>2</v>
      </c>
      <c r="J402">
        <v>0.22</v>
      </c>
      <c r="K402">
        <v>0.2273</v>
      </c>
      <c r="L402">
        <v>0.87</v>
      </c>
      <c r="M402">
        <v>0.19400000000000001</v>
      </c>
      <c r="N402">
        <v>0</v>
      </c>
      <c r="O402">
        <v>61</v>
      </c>
      <c r="P402">
        <v>61</v>
      </c>
    </row>
    <row r="403" spans="1:16">
      <c r="A403">
        <v>402</v>
      </c>
      <c r="B403" s="2">
        <v>40561</v>
      </c>
      <c r="C403">
        <v>1</v>
      </c>
      <c r="D403">
        <v>0</v>
      </c>
      <c r="E403">
        <v>1</v>
      </c>
      <c r="F403">
        <v>17</v>
      </c>
      <c r="G403" t="b">
        <v>0</v>
      </c>
      <c r="H403">
        <v>2</v>
      </c>
      <c r="I403">
        <v>2</v>
      </c>
      <c r="J403">
        <v>0.22</v>
      </c>
      <c r="K403">
        <v>0.2273</v>
      </c>
      <c r="L403">
        <v>0.82</v>
      </c>
      <c r="M403">
        <v>0.19400000000000001</v>
      </c>
      <c r="N403">
        <v>1</v>
      </c>
      <c r="O403">
        <v>124</v>
      </c>
      <c r="P403">
        <v>125</v>
      </c>
    </row>
    <row r="404" spans="1:16">
      <c r="A404">
        <v>403</v>
      </c>
      <c r="B404" s="2">
        <v>40561</v>
      </c>
      <c r="C404">
        <v>1</v>
      </c>
      <c r="D404">
        <v>0</v>
      </c>
      <c r="E404">
        <v>1</v>
      </c>
      <c r="F404">
        <v>18</v>
      </c>
      <c r="G404" t="b">
        <v>0</v>
      </c>
      <c r="H404">
        <v>2</v>
      </c>
      <c r="I404">
        <v>2</v>
      </c>
      <c r="J404">
        <v>0.22</v>
      </c>
      <c r="K404">
        <v>0.2273</v>
      </c>
      <c r="L404">
        <v>0.8</v>
      </c>
      <c r="M404">
        <v>0.16420000000000001</v>
      </c>
      <c r="N404">
        <v>1</v>
      </c>
      <c r="O404">
        <v>132</v>
      </c>
      <c r="P404">
        <v>133</v>
      </c>
    </row>
    <row r="405" spans="1:16">
      <c r="A405">
        <v>404</v>
      </c>
      <c r="B405" s="2">
        <v>40561</v>
      </c>
      <c r="C405">
        <v>1</v>
      </c>
      <c r="D405">
        <v>0</v>
      </c>
      <c r="E405">
        <v>1</v>
      </c>
      <c r="F405">
        <v>19</v>
      </c>
      <c r="G405" t="b">
        <v>0</v>
      </c>
      <c r="H405">
        <v>2</v>
      </c>
      <c r="I405">
        <v>2</v>
      </c>
      <c r="J405">
        <v>0.22</v>
      </c>
      <c r="K405">
        <v>0.2273</v>
      </c>
      <c r="L405">
        <v>0.8</v>
      </c>
      <c r="M405">
        <v>0.1343</v>
      </c>
      <c r="N405">
        <v>1</v>
      </c>
      <c r="O405">
        <v>98</v>
      </c>
      <c r="P405">
        <v>99</v>
      </c>
    </row>
    <row r="406" spans="1:16">
      <c r="A406">
        <v>405</v>
      </c>
      <c r="B406" s="2">
        <v>40561</v>
      </c>
      <c r="C406">
        <v>1</v>
      </c>
      <c r="D406">
        <v>0</v>
      </c>
      <c r="E406">
        <v>1</v>
      </c>
      <c r="F406">
        <v>20</v>
      </c>
      <c r="G406" t="b">
        <v>0</v>
      </c>
      <c r="H406">
        <v>2</v>
      </c>
      <c r="I406">
        <v>2</v>
      </c>
      <c r="J406">
        <v>0.22</v>
      </c>
      <c r="K406">
        <v>0.2727</v>
      </c>
      <c r="L406">
        <v>0.87</v>
      </c>
      <c r="M406">
        <v>0</v>
      </c>
      <c r="N406">
        <v>0</v>
      </c>
      <c r="O406">
        <v>83</v>
      </c>
      <c r="P406">
        <v>83</v>
      </c>
    </row>
    <row r="407" spans="1:16">
      <c r="A407">
        <v>406</v>
      </c>
      <c r="B407" s="2">
        <v>40561</v>
      </c>
      <c r="C407">
        <v>1</v>
      </c>
      <c r="D407">
        <v>0</v>
      </c>
      <c r="E407">
        <v>1</v>
      </c>
      <c r="F407">
        <v>21</v>
      </c>
      <c r="G407" t="b">
        <v>0</v>
      </c>
      <c r="H407">
        <v>2</v>
      </c>
      <c r="I407">
        <v>2</v>
      </c>
      <c r="J407">
        <v>0.22</v>
      </c>
      <c r="K407">
        <v>0.2424</v>
      </c>
      <c r="L407">
        <v>0.93</v>
      </c>
      <c r="M407">
        <v>0.1045</v>
      </c>
      <c r="N407">
        <v>0</v>
      </c>
      <c r="O407">
        <v>41</v>
      </c>
      <c r="P407">
        <v>41</v>
      </c>
    </row>
    <row r="408" spans="1:16">
      <c r="A408">
        <v>407</v>
      </c>
      <c r="B408" s="2">
        <v>40561</v>
      </c>
      <c r="C408">
        <v>1</v>
      </c>
      <c r="D408">
        <v>0</v>
      </c>
      <c r="E408">
        <v>1</v>
      </c>
      <c r="F408">
        <v>22</v>
      </c>
      <c r="G408" t="b">
        <v>0</v>
      </c>
      <c r="H408">
        <v>2</v>
      </c>
      <c r="I408">
        <v>2</v>
      </c>
      <c r="J408">
        <v>0.22</v>
      </c>
      <c r="K408">
        <v>0.2576</v>
      </c>
      <c r="L408">
        <v>0.93</v>
      </c>
      <c r="M408">
        <v>8.9599999999999999E-2</v>
      </c>
      <c r="N408">
        <v>0</v>
      </c>
      <c r="O408">
        <v>33</v>
      </c>
      <c r="P408">
        <v>33</v>
      </c>
    </row>
    <row r="409" spans="1:16">
      <c r="A409">
        <v>408</v>
      </c>
      <c r="B409" s="2">
        <v>40561</v>
      </c>
      <c r="C409">
        <v>1</v>
      </c>
      <c r="D409">
        <v>0</v>
      </c>
      <c r="E409">
        <v>1</v>
      </c>
      <c r="F409">
        <v>23</v>
      </c>
      <c r="G409" t="b">
        <v>0</v>
      </c>
      <c r="H409">
        <v>2</v>
      </c>
      <c r="I409">
        <v>2</v>
      </c>
      <c r="J409">
        <v>0.22</v>
      </c>
      <c r="K409">
        <v>0.2727</v>
      </c>
      <c r="L409">
        <v>0.93</v>
      </c>
      <c r="M409">
        <v>0</v>
      </c>
      <c r="N409">
        <v>1</v>
      </c>
      <c r="O409">
        <v>19</v>
      </c>
      <c r="P409">
        <v>20</v>
      </c>
    </row>
    <row r="410" spans="1:16">
      <c r="A410">
        <v>409</v>
      </c>
      <c r="B410" s="2">
        <v>40562</v>
      </c>
      <c r="C410">
        <v>1</v>
      </c>
      <c r="D410">
        <v>0</v>
      </c>
      <c r="E410">
        <v>1</v>
      </c>
      <c r="F410">
        <v>0</v>
      </c>
      <c r="G410" t="b">
        <v>0</v>
      </c>
      <c r="H410">
        <v>3</v>
      </c>
      <c r="I410">
        <v>2</v>
      </c>
      <c r="J410">
        <v>0.22</v>
      </c>
      <c r="K410">
        <v>0.2727</v>
      </c>
      <c r="L410">
        <v>0.93</v>
      </c>
      <c r="M410">
        <v>0</v>
      </c>
      <c r="N410">
        <v>0</v>
      </c>
      <c r="O410">
        <v>3</v>
      </c>
      <c r="P410">
        <v>3</v>
      </c>
    </row>
    <row r="411" spans="1:16">
      <c r="A411">
        <v>410</v>
      </c>
      <c r="B411" s="2">
        <v>40562</v>
      </c>
      <c r="C411">
        <v>1</v>
      </c>
      <c r="D411">
        <v>0</v>
      </c>
      <c r="E411">
        <v>1</v>
      </c>
      <c r="F411">
        <v>1</v>
      </c>
      <c r="G411" t="b">
        <v>0</v>
      </c>
      <c r="H411">
        <v>3</v>
      </c>
      <c r="I411">
        <v>3</v>
      </c>
      <c r="J411">
        <v>0.22</v>
      </c>
      <c r="K411">
        <v>0.2273</v>
      </c>
      <c r="L411">
        <v>0.93</v>
      </c>
      <c r="M411">
        <v>0.1343</v>
      </c>
      <c r="N411">
        <v>1</v>
      </c>
      <c r="O411">
        <v>6</v>
      </c>
      <c r="P411">
        <v>7</v>
      </c>
    </row>
    <row r="412" spans="1:16">
      <c r="A412">
        <v>411</v>
      </c>
      <c r="B412" s="2">
        <v>40562</v>
      </c>
      <c r="C412">
        <v>1</v>
      </c>
      <c r="D412">
        <v>0</v>
      </c>
      <c r="E412">
        <v>1</v>
      </c>
      <c r="F412">
        <v>2</v>
      </c>
      <c r="G412" t="b">
        <v>0</v>
      </c>
      <c r="H412">
        <v>3</v>
      </c>
      <c r="I412">
        <v>3</v>
      </c>
      <c r="J412">
        <v>0.22</v>
      </c>
      <c r="K412">
        <v>0.2273</v>
      </c>
      <c r="L412">
        <v>0.93</v>
      </c>
      <c r="M412">
        <v>0.1343</v>
      </c>
      <c r="N412">
        <v>0</v>
      </c>
      <c r="O412">
        <v>3</v>
      </c>
      <c r="P412">
        <v>3</v>
      </c>
    </row>
    <row r="413" spans="1:16">
      <c r="A413">
        <v>412</v>
      </c>
      <c r="B413" s="2">
        <v>40562</v>
      </c>
      <c r="C413">
        <v>1</v>
      </c>
      <c r="D413">
        <v>0</v>
      </c>
      <c r="E413">
        <v>1</v>
      </c>
      <c r="F413">
        <v>4</v>
      </c>
      <c r="G413" t="b">
        <v>0</v>
      </c>
      <c r="H413">
        <v>3</v>
      </c>
      <c r="I413">
        <v>3</v>
      </c>
      <c r="J413">
        <v>0.22</v>
      </c>
      <c r="K413">
        <v>0.2273</v>
      </c>
      <c r="L413">
        <v>0.93</v>
      </c>
      <c r="M413">
        <v>0.1343</v>
      </c>
      <c r="N413">
        <v>1</v>
      </c>
      <c r="O413">
        <v>1</v>
      </c>
      <c r="P413">
        <v>2</v>
      </c>
    </row>
    <row r="414" spans="1:16">
      <c r="A414">
        <v>413</v>
      </c>
      <c r="B414" s="2">
        <v>40562</v>
      </c>
      <c r="C414">
        <v>1</v>
      </c>
      <c r="D414">
        <v>0</v>
      </c>
      <c r="E414">
        <v>1</v>
      </c>
      <c r="F414">
        <v>5</v>
      </c>
      <c r="G414" t="b">
        <v>0</v>
      </c>
      <c r="H414">
        <v>3</v>
      </c>
      <c r="I414">
        <v>2</v>
      </c>
      <c r="J414">
        <v>0.22</v>
      </c>
      <c r="K414">
        <v>0.2576</v>
      </c>
      <c r="L414">
        <v>0.93</v>
      </c>
      <c r="M414">
        <v>8.9599999999999999E-2</v>
      </c>
      <c r="N414">
        <v>0</v>
      </c>
      <c r="O414">
        <v>7</v>
      </c>
      <c r="P414">
        <v>7</v>
      </c>
    </row>
    <row r="415" spans="1:16">
      <c r="A415">
        <v>414</v>
      </c>
      <c r="B415" s="2">
        <v>40562</v>
      </c>
      <c r="C415">
        <v>1</v>
      </c>
      <c r="D415">
        <v>0</v>
      </c>
      <c r="E415">
        <v>1</v>
      </c>
      <c r="F415">
        <v>6</v>
      </c>
      <c r="G415" t="b">
        <v>0</v>
      </c>
      <c r="H415">
        <v>3</v>
      </c>
      <c r="I415">
        <v>2</v>
      </c>
      <c r="J415">
        <v>0.22</v>
      </c>
      <c r="K415">
        <v>0.2576</v>
      </c>
      <c r="L415">
        <v>0.93</v>
      </c>
      <c r="M415">
        <v>8.9599999999999999E-2</v>
      </c>
      <c r="N415">
        <v>0</v>
      </c>
      <c r="O415">
        <v>32</v>
      </c>
      <c r="P415">
        <v>32</v>
      </c>
    </row>
    <row r="416" spans="1:16">
      <c r="A416">
        <v>415</v>
      </c>
      <c r="B416" s="2">
        <v>40562</v>
      </c>
      <c r="C416">
        <v>1</v>
      </c>
      <c r="D416">
        <v>0</v>
      </c>
      <c r="E416">
        <v>1</v>
      </c>
      <c r="F416">
        <v>7</v>
      </c>
      <c r="G416" t="b">
        <v>0</v>
      </c>
      <c r="H416">
        <v>3</v>
      </c>
      <c r="I416">
        <v>2</v>
      </c>
      <c r="J416">
        <v>0.24</v>
      </c>
      <c r="K416">
        <v>0.2576</v>
      </c>
      <c r="L416">
        <v>0.92</v>
      </c>
      <c r="M416">
        <v>0.1045</v>
      </c>
      <c r="N416">
        <v>1</v>
      </c>
      <c r="O416">
        <v>89</v>
      </c>
      <c r="P416">
        <v>90</v>
      </c>
    </row>
    <row r="417" spans="1:16">
      <c r="A417">
        <v>416</v>
      </c>
      <c r="B417" s="2">
        <v>40562</v>
      </c>
      <c r="C417">
        <v>1</v>
      </c>
      <c r="D417">
        <v>0</v>
      </c>
      <c r="E417">
        <v>1</v>
      </c>
      <c r="F417">
        <v>8</v>
      </c>
      <c r="G417" t="b">
        <v>0</v>
      </c>
      <c r="H417">
        <v>3</v>
      </c>
      <c r="I417">
        <v>2</v>
      </c>
      <c r="J417">
        <v>0.24</v>
      </c>
      <c r="K417">
        <v>0.2576</v>
      </c>
      <c r="L417">
        <v>0.93</v>
      </c>
      <c r="M417">
        <v>0.1045</v>
      </c>
      <c r="N417">
        <v>1</v>
      </c>
      <c r="O417">
        <v>196</v>
      </c>
      <c r="P417">
        <v>197</v>
      </c>
    </row>
    <row r="418" spans="1:16">
      <c r="A418">
        <v>417</v>
      </c>
      <c r="B418" s="2">
        <v>40562</v>
      </c>
      <c r="C418">
        <v>1</v>
      </c>
      <c r="D418">
        <v>0</v>
      </c>
      <c r="E418">
        <v>1</v>
      </c>
      <c r="F418">
        <v>9</v>
      </c>
      <c r="G418" t="b">
        <v>0</v>
      </c>
      <c r="H418">
        <v>3</v>
      </c>
      <c r="I418">
        <v>2</v>
      </c>
      <c r="J418">
        <v>0.24</v>
      </c>
      <c r="K418">
        <v>0.2576</v>
      </c>
      <c r="L418">
        <v>0.93</v>
      </c>
      <c r="M418">
        <v>0.1045</v>
      </c>
      <c r="N418">
        <v>2</v>
      </c>
      <c r="O418">
        <v>107</v>
      </c>
      <c r="P418">
        <v>109</v>
      </c>
    </row>
    <row r="419" spans="1:16">
      <c r="A419">
        <v>418</v>
      </c>
      <c r="B419" s="2">
        <v>40562</v>
      </c>
      <c r="C419">
        <v>1</v>
      </c>
      <c r="D419">
        <v>0</v>
      </c>
      <c r="E419">
        <v>1</v>
      </c>
      <c r="F419">
        <v>10</v>
      </c>
      <c r="G419" t="b">
        <v>0</v>
      </c>
      <c r="H419">
        <v>3</v>
      </c>
      <c r="I419">
        <v>2</v>
      </c>
      <c r="J419">
        <v>0.26</v>
      </c>
      <c r="K419">
        <v>0.2727</v>
      </c>
      <c r="L419">
        <v>0.93</v>
      </c>
      <c r="M419">
        <v>0.1343</v>
      </c>
      <c r="N419">
        <v>1</v>
      </c>
      <c r="O419">
        <v>46</v>
      </c>
      <c r="P419">
        <v>47</v>
      </c>
    </row>
    <row r="420" spans="1:16">
      <c r="A420">
        <v>419</v>
      </c>
      <c r="B420" s="2">
        <v>40562</v>
      </c>
      <c r="C420">
        <v>1</v>
      </c>
      <c r="D420">
        <v>0</v>
      </c>
      <c r="E420">
        <v>1</v>
      </c>
      <c r="F420">
        <v>11</v>
      </c>
      <c r="G420" t="b">
        <v>0</v>
      </c>
      <c r="H420">
        <v>3</v>
      </c>
      <c r="I420">
        <v>2</v>
      </c>
      <c r="J420">
        <v>0.28000000000000003</v>
      </c>
      <c r="K420">
        <v>0.30299999999999999</v>
      </c>
      <c r="L420">
        <v>0.87</v>
      </c>
      <c r="M420">
        <v>8.9599999999999999E-2</v>
      </c>
      <c r="N420">
        <v>5</v>
      </c>
      <c r="O420">
        <v>47</v>
      </c>
      <c r="P420">
        <v>52</v>
      </c>
    </row>
    <row r="421" spans="1:16">
      <c r="A421">
        <v>420</v>
      </c>
      <c r="B421" s="2">
        <v>40562</v>
      </c>
      <c r="C421">
        <v>1</v>
      </c>
      <c r="D421">
        <v>0</v>
      </c>
      <c r="E421">
        <v>1</v>
      </c>
      <c r="F421">
        <v>12</v>
      </c>
      <c r="G421" t="b">
        <v>0</v>
      </c>
      <c r="H421">
        <v>3</v>
      </c>
      <c r="I421">
        <v>2</v>
      </c>
      <c r="J421">
        <v>0.3</v>
      </c>
      <c r="K421">
        <v>0.31819999999999998</v>
      </c>
      <c r="L421">
        <v>0.81</v>
      </c>
      <c r="M421">
        <v>8.9599999999999999E-2</v>
      </c>
      <c r="N421">
        <v>5</v>
      </c>
      <c r="O421">
        <v>65</v>
      </c>
      <c r="P421">
        <v>70</v>
      </c>
    </row>
    <row r="422" spans="1:16">
      <c r="A422">
        <v>421</v>
      </c>
      <c r="B422" s="2">
        <v>40562</v>
      </c>
      <c r="C422">
        <v>1</v>
      </c>
      <c r="D422">
        <v>0</v>
      </c>
      <c r="E422">
        <v>1</v>
      </c>
      <c r="F422">
        <v>13</v>
      </c>
      <c r="G422" t="b">
        <v>0</v>
      </c>
      <c r="H422">
        <v>3</v>
      </c>
      <c r="I422">
        <v>1</v>
      </c>
      <c r="J422">
        <v>0.4</v>
      </c>
      <c r="K422">
        <v>0.40910000000000002</v>
      </c>
      <c r="L422">
        <v>0.62</v>
      </c>
      <c r="M422">
        <v>0.28360000000000002</v>
      </c>
      <c r="N422">
        <v>11</v>
      </c>
      <c r="O422">
        <v>67</v>
      </c>
      <c r="P422">
        <v>78</v>
      </c>
    </row>
    <row r="423" spans="1:16">
      <c r="A423">
        <v>422</v>
      </c>
      <c r="B423" s="2">
        <v>40562</v>
      </c>
      <c r="C423">
        <v>1</v>
      </c>
      <c r="D423">
        <v>0</v>
      </c>
      <c r="E423">
        <v>1</v>
      </c>
      <c r="F423">
        <v>14</v>
      </c>
      <c r="G423" t="b">
        <v>0</v>
      </c>
      <c r="H423">
        <v>3</v>
      </c>
      <c r="I423">
        <v>1</v>
      </c>
      <c r="J423">
        <v>0.4</v>
      </c>
      <c r="K423">
        <v>0.40910000000000002</v>
      </c>
      <c r="L423">
        <v>0.57999999999999996</v>
      </c>
      <c r="M423">
        <v>0.25369999999999998</v>
      </c>
      <c r="N423">
        <v>7</v>
      </c>
      <c r="O423">
        <v>68</v>
      </c>
      <c r="P423">
        <v>75</v>
      </c>
    </row>
    <row r="424" spans="1:16">
      <c r="A424">
        <v>423</v>
      </c>
      <c r="B424" s="2">
        <v>40562</v>
      </c>
      <c r="C424">
        <v>1</v>
      </c>
      <c r="D424">
        <v>0</v>
      </c>
      <c r="E424">
        <v>1</v>
      </c>
      <c r="F424">
        <v>15</v>
      </c>
      <c r="G424" t="b">
        <v>0</v>
      </c>
      <c r="H424">
        <v>3</v>
      </c>
      <c r="I424">
        <v>1</v>
      </c>
      <c r="J424">
        <v>0.4</v>
      </c>
      <c r="K424">
        <v>0.40910000000000002</v>
      </c>
      <c r="L424">
        <v>0.54</v>
      </c>
      <c r="M424">
        <v>0.28360000000000002</v>
      </c>
      <c r="N424">
        <v>4</v>
      </c>
      <c r="O424">
        <v>78</v>
      </c>
      <c r="P424">
        <v>82</v>
      </c>
    </row>
    <row r="425" spans="1:16">
      <c r="A425">
        <v>424</v>
      </c>
      <c r="B425" s="2">
        <v>40562</v>
      </c>
      <c r="C425">
        <v>1</v>
      </c>
      <c r="D425">
        <v>0</v>
      </c>
      <c r="E425">
        <v>1</v>
      </c>
      <c r="F425">
        <v>16</v>
      </c>
      <c r="G425" t="b">
        <v>0</v>
      </c>
      <c r="H425">
        <v>3</v>
      </c>
      <c r="I425">
        <v>1</v>
      </c>
      <c r="J425">
        <v>0.38</v>
      </c>
      <c r="K425">
        <v>0.39389999999999997</v>
      </c>
      <c r="L425">
        <v>0.57999999999999996</v>
      </c>
      <c r="M425">
        <v>0.3881</v>
      </c>
      <c r="N425">
        <v>10</v>
      </c>
      <c r="O425">
        <v>94</v>
      </c>
      <c r="P425">
        <v>104</v>
      </c>
    </row>
    <row r="426" spans="1:16">
      <c r="A426">
        <v>425</v>
      </c>
      <c r="B426" s="2">
        <v>40562</v>
      </c>
      <c r="C426">
        <v>1</v>
      </c>
      <c r="D426">
        <v>0</v>
      </c>
      <c r="E426">
        <v>1</v>
      </c>
      <c r="F426">
        <v>17</v>
      </c>
      <c r="G426" t="b">
        <v>0</v>
      </c>
      <c r="H426">
        <v>3</v>
      </c>
      <c r="I426">
        <v>1</v>
      </c>
      <c r="J426">
        <v>0.36</v>
      </c>
      <c r="K426">
        <v>0.33329999999999999</v>
      </c>
      <c r="L426">
        <v>0.56999999999999995</v>
      </c>
      <c r="M426">
        <v>0.32840000000000003</v>
      </c>
      <c r="N426">
        <v>7</v>
      </c>
      <c r="O426">
        <v>190</v>
      </c>
      <c r="P426">
        <v>197</v>
      </c>
    </row>
    <row r="427" spans="1:16">
      <c r="A427">
        <v>426</v>
      </c>
      <c r="B427" s="2">
        <v>40562</v>
      </c>
      <c r="C427">
        <v>1</v>
      </c>
      <c r="D427">
        <v>0</v>
      </c>
      <c r="E427">
        <v>1</v>
      </c>
      <c r="F427">
        <v>18</v>
      </c>
      <c r="G427" t="b">
        <v>0</v>
      </c>
      <c r="H427">
        <v>3</v>
      </c>
      <c r="I427">
        <v>1</v>
      </c>
      <c r="J427">
        <v>0.34</v>
      </c>
      <c r="K427">
        <v>0.31819999999999998</v>
      </c>
      <c r="L427">
        <v>0.61</v>
      </c>
      <c r="M427">
        <v>0.28360000000000002</v>
      </c>
      <c r="N427">
        <v>5</v>
      </c>
      <c r="O427">
        <v>156</v>
      </c>
      <c r="P427">
        <v>161</v>
      </c>
    </row>
    <row r="428" spans="1:16">
      <c r="A428">
        <v>427</v>
      </c>
      <c r="B428" s="2">
        <v>40562</v>
      </c>
      <c r="C428">
        <v>1</v>
      </c>
      <c r="D428">
        <v>0</v>
      </c>
      <c r="E428">
        <v>1</v>
      </c>
      <c r="F428">
        <v>19</v>
      </c>
      <c r="G428" t="b">
        <v>0</v>
      </c>
      <c r="H428">
        <v>3</v>
      </c>
      <c r="I428">
        <v>1</v>
      </c>
      <c r="J428">
        <v>0.32</v>
      </c>
      <c r="K428">
        <v>0.28789999999999999</v>
      </c>
      <c r="L428">
        <v>0.56999999999999995</v>
      </c>
      <c r="M428">
        <v>0.41789999999999999</v>
      </c>
      <c r="N428">
        <v>4</v>
      </c>
      <c r="O428">
        <v>108</v>
      </c>
      <c r="P428">
        <v>112</v>
      </c>
    </row>
    <row r="429" spans="1:16">
      <c r="A429">
        <v>428</v>
      </c>
      <c r="B429" s="2">
        <v>40562</v>
      </c>
      <c r="C429">
        <v>1</v>
      </c>
      <c r="D429">
        <v>0</v>
      </c>
      <c r="E429">
        <v>1</v>
      </c>
      <c r="F429">
        <v>20</v>
      </c>
      <c r="G429" t="b">
        <v>0</v>
      </c>
      <c r="H429">
        <v>3</v>
      </c>
      <c r="I429">
        <v>1</v>
      </c>
      <c r="J429">
        <v>0.32</v>
      </c>
      <c r="K429">
        <v>0.30299999999999999</v>
      </c>
      <c r="L429">
        <v>0.49</v>
      </c>
      <c r="M429">
        <v>0.29849999999999999</v>
      </c>
      <c r="N429">
        <v>2</v>
      </c>
      <c r="O429">
        <v>74</v>
      </c>
      <c r="P429">
        <v>76</v>
      </c>
    </row>
    <row r="430" spans="1:16">
      <c r="A430">
        <v>429</v>
      </c>
      <c r="B430" s="2">
        <v>40562</v>
      </c>
      <c r="C430">
        <v>1</v>
      </c>
      <c r="D430">
        <v>0</v>
      </c>
      <c r="E430">
        <v>1</v>
      </c>
      <c r="F430">
        <v>21</v>
      </c>
      <c r="G430" t="b">
        <v>0</v>
      </c>
      <c r="H430">
        <v>3</v>
      </c>
      <c r="I430">
        <v>1</v>
      </c>
      <c r="J430">
        <v>0.32</v>
      </c>
      <c r="K430">
        <v>0.28789999999999999</v>
      </c>
      <c r="L430">
        <v>0.49</v>
      </c>
      <c r="M430">
        <v>0.41789999999999999</v>
      </c>
      <c r="N430">
        <v>4</v>
      </c>
      <c r="O430">
        <v>55</v>
      </c>
      <c r="P430">
        <v>59</v>
      </c>
    </row>
    <row r="431" spans="1:16">
      <c r="A431">
        <v>430</v>
      </c>
      <c r="B431" s="2">
        <v>40562</v>
      </c>
      <c r="C431">
        <v>1</v>
      </c>
      <c r="D431">
        <v>0</v>
      </c>
      <c r="E431">
        <v>1</v>
      </c>
      <c r="F431">
        <v>22</v>
      </c>
      <c r="G431" t="b">
        <v>0</v>
      </c>
      <c r="H431">
        <v>3</v>
      </c>
      <c r="I431">
        <v>1</v>
      </c>
      <c r="J431">
        <v>0.3</v>
      </c>
      <c r="K431">
        <v>0.30299999999999999</v>
      </c>
      <c r="L431">
        <v>0.52</v>
      </c>
      <c r="M431">
        <v>0.16420000000000001</v>
      </c>
      <c r="N431">
        <v>6</v>
      </c>
      <c r="O431">
        <v>53</v>
      </c>
      <c r="P431">
        <v>59</v>
      </c>
    </row>
    <row r="432" spans="1:16">
      <c r="A432">
        <v>431</v>
      </c>
      <c r="B432" s="2">
        <v>40562</v>
      </c>
      <c r="C432">
        <v>1</v>
      </c>
      <c r="D432">
        <v>0</v>
      </c>
      <c r="E432">
        <v>1</v>
      </c>
      <c r="F432">
        <v>23</v>
      </c>
      <c r="G432" t="b">
        <v>0</v>
      </c>
      <c r="H432">
        <v>3</v>
      </c>
      <c r="I432">
        <v>1</v>
      </c>
      <c r="J432">
        <v>0.3</v>
      </c>
      <c r="K432">
        <v>0.2727</v>
      </c>
      <c r="L432">
        <v>0.52</v>
      </c>
      <c r="M432">
        <v>0.4627</v>
      </c>
      <c r="N432">
        <v>1</v>
      </c>
      <c r="O432">
        <v>27</v>
      </c>
      <c r="P432">
        <v>28</v>
      </c>
    </row>
    <row r="433" spans="1:16">
      <c r="A433">
        <v>432</v>
      </c>
      <c r="B433" s="2">
        <v>40563</v>
      </c>
      <c r="C433">
        <v>1</v>
      </c>
      <c r="D433">
        <v>0</v>
      </c>
      <c r="E433">
        <v>1</v>
      </c>
      <c r="F433">
        <v>0</v>
      </c>
      <c r="G433" t="b">
        <v>0</v>
      </c>
      <c r="H433">
        <v>4</v>
      </c>
      <c r="I433">
        <v>1</v>
      </c>
      <c r="J433">
        <v>0.26</v>
      </c>
      <c r="K433">
        <v>0.2273</v>
      </c>
      <c r="L433">
        <v>0.56000000000000005</v>
      </c>
      <c r="M433">
        <v>0.3881</v>
      </c>
      <c r="N433">
        <v>5</v>
      </c>
      <c r="O433">
        <v>8</v>
      </c>
      <c r="P433">
        <v>13</v>
      </c>
    </row>
    <row r="434" spans="1:16">
      <c r="A434">
        <v>433</v>
      </c>
      <c r="B434" s="2">
        <v>40563</v>
      </c>
      <c r="C434">
        <v>1</v>
      </c>
      <c r="D434">
        <v>0</v>
      </c>
      <c r="E434">
        <v>1</v>
      </c>
      <c r="F434">
        <v>1</v>
      </c>
      <c r="G434" t="b">
        <v>0</v>
      </c>
      <c r="H434">
        <v>4</v>
      </c>
      <c r="I434">
        <v>1</v>
      </c>
      <c r="J434">
        <v>0.26</v>
      </c>
      <c r="K434">
        <v>0.2727</v>
      </c>
      <c r="L434">
        <v>0.56000000000000005</v>
      </c>
      <c r="M434">
        <v>0</v>
      </c>
      <c r="N434">
        <v>2</v>
      </c>
      <c r="O434">
        <v>3</v>
      </c>
      <c r="P434">
        <v>5</v>
      </c>
    </row>
    <row r="435" spans="1:16">
      <c r="A435">
        <v>434</v>
      </c>
      <c r="B435" s="2">
        <v>40563</v>
      </c>
      <c r="C435">
        <v>1</v>
      </c>
      <c r="D435">
        <v>0</v>
      </c>
      <c r="E435">
        <v>1</v>
      </c>
      <c r="F435">
        <v>2</v>
      </c>
      <c r="G435" t="b">
        <v>0</v>
      </c>
      <c r="H435">
        <v>4</v>
      </c>
      <c r="I435">
        <v>1</v>
      </c>
      <c r="J435">
        <v>0.26</v>
      </c>
      <c r="K435">
        <v>0.2727</v>
      </c>
      <c r="L435">
        <v>0.56000000000000005</v>
      </c>
      <c r="M435">
        <v>0</v>
      </c>
      <c r="N435">
        <v>0</v>
      </c>
      <c r="O435">
        <v>2</v>
      </c>
      <c r="P435">
        <v>2</v>
      </c>
    </row>
    <row r="436" spans="1:16">
      <c r="A436">
        <v>435</v>
      </c>
      <c r="B436" s="2">
        <v>40563</v>
      </c>
      <c r="C436">
        <v>1</v>
      </c>
      <c r="D436">
        <v>0</v>
      </c>
      <c r="E436">
        <v>1</v>
      </c>
      <c r="F436">
        <v>3</v>
      </c>
      <c r="G436" t="b">
        <v>0</v>
      </c>
      <c r="H436">
        <v>4</v>
      </c>
      <c r="I436">
        <v>1</v>
      </c>
      <c r="J436">
        <v>0.26</v>
      </c>
      <c r="K436">
        <v>0.2576</v>
      </c>
      <c r="L436">
        <v>0.56000000000000005</v>
      </c>
      <c r="M436">
        <v>0.16420000000000001</v>
      </c>
      <c r="N436">
        <v>0</v>
      </c>
      <c r="O436">
        <v>1</v>
      </c>
      <c r="P436">
        <v>1</v>
      </c>
    </row>
    <row r="437" spans="1:16">
      <c r="A437">
        <v>436</v>
      </c>
      <c r="B437" s="2">
        <v>40563</v>
      </c>
      <c r="C437">
        <v>1</v>
      </c>
      <c r="D437">
        <v>0</v>
      </c>
      <c r="E437">
        <v>1</v>
      </c>
      <c r="F437">
        <v>4</v>
      </c>
      <c r="G437" t="b">
        <v>0</v>
      </c>
      <c r="H437">
        <v>4</v>
      </c>
      <c r="I437">
        <v>1</v>
      </c>
      <c r="J437">
        <v>0.26</v>
      </c>
      <c r="K437">
        <v>0.2576</v>
      </c>
      <c r="L437">
        <v>0.56000000000000005</v>
      </c>
      <c r="M437">
        <v>0.16420000000000001</v>
      </c>
      <c r="N437">
        <v>0</v>
      </c>
      <c r="O437">
        <v>1</v>
      </c>
      <c r="P437">
        <v>1</v>
      </c>
    </row>
    <row r="438" spans="1:16">
      <c r="A438">
        <v>437</v>
      </c>
      <c r="B438" s="2">
        <v>40563</v>
      </c>
      <c r="C438">
        <v>1</v>
      </c>
      <c r="D438">
        <v>0</v>
      </c>
      <c r="E438">
        <v>1</v>
      </c>
      <c r="F438">
        <v>5</v>
      </c>
      <c r="G438" t="b">
        <v>0</v>
      </c>
      <c r="H438">
        <v>4</v>
      </c>
      <c r="I438">
        <v>1</v>
      </c>
      <c r="J438">
        <v>0.24</v>
      </c>
      <c r="K438">
        <v>0.2273</v>
      </c>
      <c r="L438">
        <v>0.6</v>
      </c>
      <c r="M438">
        <v>0.22389999999999999</v>
      </c>
      <c r="N438">
        <v>0</v>
      </c>
      <c r="O438">
        <v>6</v>
      </c>
      <c r="P438">
        <v>6</v>
      </c>
    </row>
    <row r="439" spans="1:16">
      <c r="A439">
        <v>438</v>
      </c>
      <c r="B439" s="2">
        <v>40563</v>
      </c>
      <c r="C439">
        <v>1</v>
      </c>
      <c r="D439">
        <v>0</v>
      </c>
      <c r="E439">
        <v>1</v>
      </c>
      <c r="F439">
        <v>6</v>
      </c>
      <c r="G439" t="b">
        <v>0</v>
      </c>
      <c r="H439">
        <v>4</v>
      </c>
      <c r="I439">
        <v>1</v>
      </c>
      <c r="J439">
        <v>0.22</v>
      </c>
      <c r="K439">
        <v>0.21210000000000001</v>
      </c>
      <c r="L439">
        <v>0.6</v>
      </c>
      <c r="M439">
        <v>0.22389999999999999</v>
      </c>
      <c r="N439">
        <v>0</v>
      </c>
      <c r="O439">
        <v>35</v>
      </c>
      <c r="P439">
        <v>35</v>
      </c>
    </row>
    <row r="440" spans="1:16">
      <c r="A440">
        <v>439</v>
      </c>
      <c r="B440" s="2">
        <v>40563</v>
      </c>
      <c r="C440">
        <v>1</v>
      </c>
      <c r="D440">
        <v>0</v>
      </c>
      <c r="E440">
        <v>1</v>
      </c>
      <c r="F440">
        <v>7</v>
      </c>
      <c r="G440" t="b">
        <v>0</v>
      </c>
      <c r="H440">
        <v>4</v>
      </c>
      <c r="I440">
        <v>1</v>
      </c>
      <c r="J440">
        <v>0.22</v>
      </c>
      <c r="K440">
        <v>0.21210000000000001</v>
      </c>
      <c r="L440">
        <v>0.55000000000000004</v>
      </c>
      <c r="M440">
        <v>0.22389999999999999</v>
      </c>
      <c r="N440">
        <v>1</v>
      </c>
      <c r="O440">
        <v>100</v>
      </c>
      <c r="P440">
        <v>101</v>
      </c>
    </row>
    <row r="441" spans="1:16">
      <c r="A441">
        <v>440</v>
      </c>
      <c r="B441" s="2">
        <v>40563</v>
      </c>
      <c r="C441">
        <v>1</v>
      </c>
      <c r="D441">
        <v>0</v>
      </c>
      <c r="E441">
        <v>1</v>
      </c>
      <c r="F441">
        <v>8</v>
      </c>
      <c r="G441" t="b">
        <v>0</v>
      </c>
      <c r="H441">
        <v>4</v>
      </c>
      <c r="I441">
        <v>1</v>
      </c>
      <c r="J441">
        <v>0.22</v>
      </c>
      <c r="K441">
        <v>0.21210000000000001</v>
      </c>
      <c r="L441">
        <v>0.55000000000000004</v>
      </c>
      <c r="M441">
        <v>0.28360000000000002</v>
      </c>
      <c r="N441">
        <v>2</v>
      </c>
      <c r="O441">
        <v>247</v>
      </c>
      <c r="P441">
        <v>249</v>
      </c>
    </row>
    <row r="442" spans="1:16">
      <c r="A442">
        <v>441</v>
      </c>
      <c r="B442" s="2">
        <v>40563</v>
      </c>
      <c r="C442">
        <v>1</v>
      </c>
      <c r="D442">
        <v>0</v>
      </c>
      <c r="E442">
        <v>1</v>
      </c>
      <c r="F442">
        <v>9</v>
      </c>
      <c r="G442" t="b">
        <v>0</v>
      </c>
      <c r="H442">
        <v>4</v>
      </c>
      <c r="I442">
        <v>2</v>
      </c>
      <c r="J442">
        <v>0.24</v>
      </c>
      <c r="K442">
        <v>0.2273</v>
      </c>
      <c r="L442">
        <v>0.52</v>
      </c>
      <c r="M442">
        <v>0.22389999999999999</v>
      </c>
      <c r="N442">
        <v>3</v>
      </c>
      <c r="O442">
        <v>140</v>
      </c>
      <c r="P442">
        <v>143</v>
      </c>
    </row>
    <row r="443" spans="1:16">
      <c r="A443">
        <v>442</v>
      </c>
      <c r="B443" s="2">
        <v>40563</v>
      </c>
      <c r="C443">
        <v>1</v>
      </c>
      <c r="D443">
        <v>0</v>
      </c>
      <c r="E443">
        <v>1</v>
      </c>
      <c r="F443">
        <v>10</v>
      </c>
      <c r="G443" t="b">
        <v>0</v>
      </c>
      <c r="H443">
        <v>4</v>
      </c>
      <c r="I443">
        <v>1</v>
      </c>
      <c r="J443">
        <v>0.26</v>
      </c>
      <c r="K443">
        <v>0.2273</v>
      </c>
      <c r="L443">
        <v>0.48</v>
      </c>
      <c r="M443">
        <v>0.29849999999999999</v>
      </c>
      <c r="N443">
        <v>1</v>
      </c>
      <c r="O443">
        <v>56</v>
      </c>
      <c r="P443">
        <v>57</v>
      </c>
    </row>
    <row r="444" spans="1:16">
      <c r="A444">
        <v>443</v>
      </c>
      <c r="B444" s="2">
        <v>40563</v>
      </c>
      <c r="C444">
        <v>1</v>
      </c>
      <c r="D444">
        <v>0</v>
      </c>
      <c r="E444">
        <v>1</v>
      </c>
      <c r="F444">
        <v>11</v>
      </c>
      <c r="G444" t="b">
        <v>0</v>
      </c>
      <c r="H444">
        <v>4</v>
      </c>
      <c r="I444">
        <v>2</v>
      </c>
      <c r="J444">
        <v>0.28000000000000003</v>
      </c>
      <c r="K444">
        <v>0.2727</v>
      </c>
      <c r="L444">
        <v>0.45</v>
      </c>
      <c r="M444">
        <v>0.16420000000000001</v>
      </c>
      <c r="N444">
        <v>5</v>
      </c>
      <c r="O444">
        <v>63</v>
      </c>
      <c r="P444">
        <v>68</v>
      </c>
    </row>
    <row r="445" spans="1:16">
      <c r="A445">
        <v>444</v>
      </c>
      <c r="B445" s="2">
        <v>40563</v>
      </c>
      <c r="C445">
        <v>1</v>
      </c>
      <c r="D445">
        <v>0</v>
      </c>
      <c r="E445">
        <v>1</v>
      </c>
      <c r="F445">
        <v>12</v>
      </c>
      <c r="G445" t="b">
        <v>0</v>
      </c>
      <c r="H445">
        <v>4</v>
      </c>
      <c r="I445">
        <v>2</v>
      </c>
      <c r="J445">
        <v>0.3</v>
      </c>
      <c r="K445">
        <v>0.33329999999999999</v>
      </c>
      <c r="L445">
        <v>0.42</v>
      </c>
      <c r="M445">
        <v>0</v>
      </c>
      <c r="N445">
        <v>7</v>
      </c>
      <c r="O445">
        <v>77</v>
      </c>
      <c r="P445">
        <v>84</v>
      </c>
    </row>
    <row r="446" spans="1:16">
      <c r="A446">
        <v>445</v>
      </c>
      <c r="B446" s="2">
        <v>40563</v>
      </c>
      <c r="C446">
        <v>1</v>
      </c>
      <c r="D446">
        <v>0</v>
      </c>
      <c r="E446">
        <v>1</v>
      </c>
      <c r="F446">
        <v>13</v>
      </c>
      <c r="G446" t="b">
        <v>0</v>
      </c>
      <c r="H446">
        <v>4</v>
      </c>
      <c r="I446">
        <v>2</v>
      </c>
      <c r="J446">
        <v>0.28000000000000003</v>
      </c>
      <c r="K446">
        <v>0.28789999999999999</v>
      </c>
      <c r="L446">
        <v>0.45</v>
      </c>
      <c r="M446">
        <v>0.1045</v>
      </c>
      <c r="N446">
        <v>12</v>
      </c>
      <c r="O446">
        <v>86</v>
      </c>
      <c r="P446">
        <v>98</v>
      </c>
    </row>
    <row r="447" spans="1:16">
      <c r="A447">
        <v>446</v>
      </c>
      <c r="B447" s="2">
        <v>40563</v>
      </c>
      <c r="C447">
        <v>1</v>
      </c>
      <c r="D447">
        <v>0</v>
      </c>
      <c r="E447">
        <v>1</v>
      </c>
      <c r="F447">
        <v>14</v>
      </c>
      <c r="G447" t="b">
        <v>0</v>
      </c>
      <c r="H447">
        <v>4</v>
      </c>
      <c r="I447">
        <v>2</v>
      </c>
      <c r="J447">
        <v>0.3</v>
      </c>
      <c r="K447">
        <v>0.30299999999999999</v>
      </c>
      <c r="L447">
        <v>0.45</v>
      </c>
      <c r="M447">
        <v>0.1343</v>
      </c>
      <c r="N447">
        <v>6</v>
      </c>
      <c r="O447">
        <v>75</v>
      </c>
      <c r="P447">
        <v>81</v>
      </c>
    </row>
    <row r="448" spans="1:16">
      <c r="A448">
        <v>447</v>
      </c>
      <c r="B448" s="2">
        <v>40563</v>
      </c>
      <c r="C448">
        <v>1</v>
      </c>
      <c r="D448">
        <v>0</v>
      </c>
      <c r="E448">
        <v>1</v>
      </c>
      <c r="F448">
        <v>15</v>
      </c>
      <c r="G448" t="b">
        <v>0</v>
      </c>
      <c r="H448">
        <v>4</v>
      </c>
      <c r="I448">
        <v>2</v>
      </c>
      <c r="J448">
        <v>0.32</v>
      </c>
      <c r="K448">
        <v>0.31819999999999998</v>
      </c>
      <c r="L448">
        <v>0.45</v>
      </c>
      <c r="M448">
        <v>0.19400000000000001</v>
      </c>
      <c r="N448">
        <v>8</v>
      </c>
      <c r="O448">
        <v>62</v>
      </c>
      <c r="P448">
        <v>70</v>
      </c>
    </row>
    <row r="449" spans="1:16">
      <c r="A449">
        <v>448</v>
      </c>
      <c r="B449" s="2">
        <v>40563</v>
      </c>
      <c r="C449">
        <v>1</v>
      </c>
      <c r="D449">
        <v>0</v>
      </c>
      <c r="E449">
        <v>1</v>
      </c>
      <c r="F449">
        <v>16</v>
      </c>
      <c r="G449" t="b">
        <v>0</v>
      </c>
      <c r="H449">
        <v>4</v>
      </c>
      <c r="I449">
        <v>2</v>
      </c>
      <c r="J449">
        <v>0.3</v>
      </c>
      <c r="K449">
        <v>0.30299999999999999</v>
      </c>
      <c r="L449">
        <v>0.49</v>
      </c>
      <c r="M449">
        <v>0.1343</v>
      </c>
      <c r="N449">
        <v>8</v>
      </c>
      <c r="O449">
        <v>83</v>
      </c>
      <c r="P449">
        <v>91</v>
      </c>
    </row>
    <row r="450" spans="1:16">
      <c r="A450">
        <v>449</v>
      </c>
      <c r="B450" s="2">
        <v>40563</v>
      </c>
      <c r="C450">
        <v>1</v>
      </c>
      <c r="D450">
        <v>0</v>
      </c>
      <c r="E450">
        <v>1</v>
      </c>
      <c r="F450">
        <v>17</v>
      </c>
      <c r="G450" t="b">
        <v>0</v>
      </c>
      <c r="H450">
        <v>4</v>
      </c>
      <c r="I450">
        <v>2</v>
      </c>
      <c r="J450">
        <v>0.3</v>
      </c>
      <c r="K450">
        <v>0.31819999999999998</v>
      </c>
      <c r="L450">
        <v>0.49</v>
      </c>
      <c r="M450">
        <v>0.1045</v>
      </c>
      <c r="N450">
        <v>8</v>
      </c>
      <c r="O450">
        <v>207</v>
      </c>
      <c r="P450">
        <v>215</v>
      </c>
    </row>
    <row r="451" spans="1:16">
      <c r="A451">
        <v>450</v>
      </c>
      <c r="B451" s="2">
        <v>40563</v>
      </c>
      <c r="C451">
        <v>1</v>
      </c>
      <c r="D451">
        <v>0</v>
      </c>
      <c r="E451">
        <v>1</v>
      </c>
      <c r="F451">
        <v>18</v>
      </c>
      <c r="G451" t="b">
        <v>0</v>
      </c>
      <c r="H451">
        <v>4</v>
      </c>
      <c r="I451">
        <v>2</v>
      </c>
      <c r="J451">
        <v>0.26</v>
      </c>
      <c r="K451">
        <v>0.2576</v>
      </c>
      <c r="L451">
        <v>0.56000000000000005</v>
      </c>
      <c r="M451">
        <v>0.19400000000000001</v>
      </c>
      <c r="N451">
        <v>1</v>
      </c>
      <c r="O451">
        <v>184</v>
      </c>
      <c r="P451">
        <v>185</v>
      </c>
    </row>
    <row r="452" spans="1:16">
      <c r="A452">
        <v>451</v>
      </c>
      <c r="B452" s="2">
        <v>40563</v>
      </c>
      <c r="C452">
        <v>1</v>
      </c>
      <c r="D452">
        <v>0</v>
      </c>
      <c r="E452">
        <v>1</v>
      </c>
      <c r="F452">
        <v>19</v>
      </c>
      <c r="G452" t="b">
        <v>0</v>
      </c>
      <c r="H452">
        <v>4</v>
      </c>
      <c r="I452">
        <v>1</v>
      </c>
      <c r="J452">
        <v>0.26</v>
      </c>
      <c r="K452">
        <v>0.2273</v>
      </c>
      <c r="L452">
        <v>0.56000000000000005</v>
      </c>
      <c r="M452">
        <v>0.32840000000000003</v>
      </c>
      <c r="N452">
        <v>6</v>
      </c>
      <c r="O452">
        <v>146</v>
      </c>
      <c r="P452">
        <v>152</v>
      </c>
    </row>
    <row r="453" spans="1:16">
      <c r="A453">
        <v>452</v>
      </c>
      <c r="B453" s="2">
        <v>40563</v>
      </c>
      <c r="C453">
        <v>1</v>
      </c>
      <c r="D453">
        <v>0</v>
      </c>
      <c r="E453">
        <v>1</v>
      </c>
      <c r="F453">
        <v>20</v>
      </c>
      <c r="G453" t="b">
        <v>0</v>
      </c>
      <c r="H453">
        <v>4</v>
      </c>
      <c r="I453">
        <v>2</v>
      </c>
      <c r="J453">
        <v>0.26</v>
      </c>
      <c r="K453">
        <v>0.2424</v>
      </c>
      <c r="L453">
        <v>0.6</v>
      </c>
      <c r="M453">
        <v>0.28360000000000002</v>
      </c>
      <c r="N453">
        <v>2</v>
      </c>
      <c r="O453">
        <v>124</v>
      </c>
      <c r="P453">
        <v>126</v>
      </c>
    </row>
    <row r="454" spans="1:16">
      <c r="A454">
        <v>453</v>
      </c>
      <c r="B454" s="2">
        <v>40563</v>
      </c>
      <c r="C454">
        <v>1</v>
      </c>
      <c r="D454">
        <v>0</v>
      </c>
      <c r="E454">
        <v>1</v>
      </c>
      <c r="F454">
        <v>21</v>
      </c>
      <c r="G454" t="b">
        <v>0</v>
      </c>
      <c r="H454">
        <v>4</v>
      </c>
      <c r="I454">
        <v>2</v>
      </c>
      <c r="J454">
        <v>0.24</v>
      </c>
      <c r="K454">
        <v>0.2273</v>
      </c>
      <c r="L454">
        <v>0.6</v>
      </c>
      <c r="M454">
        <v>0.25369999999999998</v>
      </c>
      <c r="N454">
        <v>3</v>
      </c>
      <c r="O454">
        <v>54</v>
      </c>
      <c r="P454">
        <v>57</v>
      </c>
    </row>
    <row r="455" spans="1:16">
      <c r="A455">
        <v>454</v>
      </c>
      <c r="B455" s="2">
        <v>40563</v>
      </c>
      <c r="C455">
        <v>1</v>
      </c>
      <c r="D455">
        <v>0</v>
      </c>
      <c r="E455">
        <v>1</v>
      </c>
      <c r="F455">
        <v>22</v>
      </c>
      <c r="G455" t="b">
        <v>0</v>
      </c>
      <c r="H455">
        <v>4</v>
      </c>
      <c r="I455">
        <v>2</v>
      </c>
      <c r="J455">
        <v>0.24</v>
      </c>
      <c r="K455">
        <v>0.21210000000000001</v>
      </c>
      <c r="L455">
        <v>0.65</v>
      </c>
      <c r="M455">
        <v>0.28360000000000002</v>
      </c>
      <c r="N455">
        <v>0</v>
      </c>
      <c r="O455">
        <v>56</v>
      </c>
      <c r="P455">
        <v>56</v>
      </c>
    </row>
    <row r="456" spans="1:16">
      <c r="A456">
        <v>455</v>
      </c>
      <c r="B456" s="2">
        <v>40563</v>
      </c>
      <c r="C456">
        <v>1</v>
      </c>
      <c r="D456">
        <v>0</v>
      </c>
      <c r="E456">
        <v>1</v>
      </c>
      <c r="F456">
        <v>23</v>
      </c>
      <c r="G456" t="b">
        <v>0</v>
      </c>
      <c r="H456">
        <v>4</v>
      </c>
      <c r="I456">
        <v>2</v>
      </c>
      <c r="J456">
        <v>0.24</v>
      </c>
      <c r="K456">
        <v>0.21210000000000001</v>
      </c>
      <c r="L456">
        <v>0.65</v>
      </c>
      <c r="M456">
        <v>0.32840000000000003</v>
      </c>
      <c r="N456">
        <v>3</v>
      </c>
      <c r="O456">
        <v>28</v>
      </c>
      <c r="P456">
        <v>31</v>
      </c>
    </row>
    <row r="457" spans="1:16">
      <c r="A457">
        <v>456</v>
      </c>
      <c r="B457" s="2">
        <v>40564</v>
      </c>
      <c r="C457">
        <v>1</v>
      </c>
      <c r="D457">
        <v>0</v>
      </c>
      <c r="E457">
        <v>1</v>
      </c>
      <c r="F457">
        <v>0</v>
      </c>
      <c r="G457" t="b">
        <v>0</v>
      </c>
      <c r="H457">
        <v>5</v>
      </c>
      <c r="I457">
        <v>2</v>
      </c>
      <c r="J457">
        <v>0.24</v>
      </c>
      <c r="K457">
        <v>0.2273</v>
      </c>
      <c r="L457">
        <v>0.7</v>
      </c>
      <c r="M457">
        <v>0.25369999999999998</v>
      </c>
      <c r="N457">
        <v>1</v>
      </c>
      <c r="O457">
        <v>20</v>
      </c>
      <c r="P457">
        <v>21</v>
      </c>
    </row>
    <row r="458" spans="1:16">
      <c r="A458">
        <v>457</v>
      </c>
      <c r="B458" s="2">
        <v>40564</v>
      </c>
      <c r="C458">
        <v>1</v>
      </c>
      <c r="D458">
        <v>0</v>
      </c>
      <c r="E458">
        <v>1</v>
      </c>
      <c r="F458">
        <v>1</v>
      </c>
      <c r="G458" t="b">
        <v>0</v>
      </c>
      <c r="H458">
        <v>5</v>
      </c>
      <c r="I458">
        <v>2</v>
      </c>
      <c r="J458">
        <v>0.24</v>
      </c>
      <c r="K458">
        <v>0.2273</v>
      </c>
      <c r="L458">
        <v>0.7</v>
      </c>
      <c r="M458">
        <v>0.25369999999999998</v>
      </c>
      <c r="N458">
        <v>0</v>
      </c>
      <c r="O458">
        <v>6</v>
      </c>
      <c r="P458">
        <v>6</v>
      </c>
    </row>
    <row r="459" spans="1:16">
      <c r="A459">
        <v>458</v>
      </c>
      <c r="B459" s="2">
        <v>40564</v>
      </c>
      <c r="C459">
        <v>1</v>
      </c>
      <c r="D459">
        <v>0</v>
      </c>
      <c r="E459">
        <v>1</v>
      </c>
      <c r="F459">
        <v>2</v>
      </c>
      <c r="G459" t="b">
        <v>0</v>
      </c>
      <c r="H459">
        <v>5</v>
      </c>
      <c r="I459">
        <v>3</v>
      </c>
      <c r="J459">
        <v>0.24</v>
      </c>
      <c r="K459">
        <v>0.2424</v>
      </c>
      <c r="L459">
        <v>0.75</v>
      </c>
      <c r="M459">
        <v>0.16420000000000001</v>
      </c>
      <c r="N459">
        <v>0</v>
      </c>
      <c r="O459">
        <v>2</v>
      </c>
      <c r="P459">
        <v>2</v>
      </c>
    </row>
    <row r="460" spans="1:16">
      <c r="A460">
        <v>459</v>
      </c>
      <c r="B460" s="2">
        <v>40564</v>
      </c>
      <c r="C460">
        <v>1</v>
      </c>
      <c r="D460">
        <v>0</v>
      </c>
      <c r="E460">
        <v>1</v>
      </c>
      <c r="F460">
        <v>3</v>
      </c>
      <c r="G460" t="b">
        <v>0</v>
      </c>
      <c r="H460">
        <v>5</v>
      </c>
      <c r="I460">
        <v>3</v>
      </c>
      <c r="J460">
        <v>0.22</v>
      </c>
      <c r="K460">
        <v>0.21210000000000001</v>
      </c>
      <c r="L460">
        <v>0.8</v>
      </c>
      <c r="M460">
        <v>0.29849999999999999</v>
      </c>
      <c r="N460">
        <v>0</v>
      </c>
      <c r="O460">
        <v>1</v>
      </c>
      <c r="P460">
        <v>1</v>
      </c>
    </row>
    <row r="461" spans="1:16">
      <c r="A461">
        <v>460</v>
      </c>
      <c r="B461" s="2">
        <v>40564</v>
      </c>
      <c r="C461">
        <v>1</v>
      </c>
      <c r="D461">
        <v>0</v>
      </c>
      <c r="E461">
        <v>1</v>
      </c>
      <c r="F461">
        <v>4</v>
      </c>
      <c r="G461" t="b">
        <v>0</v>
      </c>
      <c r="H461">
        <v>5</v>
      </c>
      <c r="I461">
        <v>2</v>
      </c>
      <c r="J461">
        <v>0.22</v>
      </c>
      <c r="K461">
        <v>0.2576</v>
      </c>
      <c r="L461">
        <v>0.87</v>
      </c>
      <c r="M461">
        <v>8.9599999999999999E-2</v>
      </c>
      <c r="N461">
        <v>0</v>
      </c>
      <c r="O461">
        <v>1</v>
      </c>
      <c r="P461">
        <v>1</v>
      </c>
    </row>
    <row r="462" spans="1:16">
      <c r="A462">
        <v>461</v>
      </c>
      <c r="B462" s="2">
        <v>40564</v>
      </c>
      <c r="C462">
        <v>1</v>
      </c>
      <c r="D462">
        <v>0</v>
      </c>
      <c r="E462">
        <v>1</v>
      </c>
      <c r="F462">
        <v>5</v>
      </c>
      <c r="G462" t="b">
        <v>0</v>
      </c>
      <c r="H462">
        <v>5</v>
      </c>
      <c r="I462">
        <v>1</v>
      </c>
      <c r="J462">
        <v>0.24</v>
      </c>
      <c r="K462">
        <v>0.19700000000000001</v>
      </c>
      <c r="L462">
        <v>0.6</v>
      </c>
      <c r="M462">
        <v>0.41789999999999999</v>
      </c>
      <c r="N462">
        <v>1</v>
      </c>
      <c r="O462">
        <v>4</v>
      </c>
      <c r="P462">
        <v>5</v>
      </c>
    </row>
    <row r="463" spans="1:16">
      <c r="A463">
        <v>462</v>
      </c>
      <c r="B463" s="2">
        <v>40564</v>
      </c>
      <c r="C463">
        <v>1</v>
      </c>
      <c r="D463">
        <v>0</v>
      </c>
      <c r="E463">
        <v>1</v>
      </c>
      <c r="F463">
        <v>6</v>
      </c>
      <c r="G463" t="b">
        <v>0</v>
      </c>
      <c r="H463">
        <v>5</v>
      </c>
      <c r="I463">
        <v>1</v>
      </c>
      <c r="J463">
        <v>0.22</v>
      </c>
      <c r="K463">
        <v>0.21210000000000001</v>
      </c>
      <c r="L463">
        <v>0.55000000000000004</v>
      </c>
      <c r="M463">
        <v>0.25369999999999998</v>
      </c>
      <c r="N463">
        <v>0</v>
      </c>
      <c r="O463">
        <v>27</v>
      </c>
      <c r="P463">
        <v>27</v>
      </c>
    </row>
    <row r="464" spans="1:16">
      <c r="A464">
        <v>463</v>
      </c>
      <c r="B464" s="2">
        <v>40564</v>
      </c>
      <c r="C464">
        <v>1</v>
      </c>
      <c r="D464">
        <v>0</v>
      </c>
      <c r="E464">
        <v>1</v>
      </c>
      <c r="F464">
        <v>7</v>
      </c>
      <c r="G464" t="b">
        <v>0</v>
      </c>
      <c r="H464">
        <v>5</v>
      </c>
      <c r="I464">
        <v>1</v>
      </c>
      <c r="J464">
        <v>0.2</v>
      </c>
      <c r="K464">
        <v>0.18179999999999999</v>
      </c>
      <c r="L464">
        <v>0.51</v>
      </c>
      <c r="M464">
        <v>0.28360000000000002</v>
      </c>
      <c r="N464">
        <v>2</v>
      </c>
      <c r="O464">
        <v>66</v>
      </c>
      <c r="P464">
        <v>68</v>
      </c>
    </row>
    <row r="465" spans="1:16">
      <c r="A465">
        <v>464</v>
      </c>
      <c r="B465" s="2">
        <v>40564</v>
      </c>
      <c r="C465">
        <v>1</v>
      </c>
      <c r="D465">
        <v>0</v>
      </c>
      <c r="E465">
        <v>1</v>
      </c>
      <c r="F465">
        <v>8</v>
      </c>
      <c r="G465" t="b">
        <v>0</v>
      </c>
      <c r="H465">
        <v>5</v>
      </c>
      <c r="I465">
        <v>1</v>
      </c>
      <c r="J465">
        <v>0.2</v>
      </c>
      <c r="K465">
        <v>0.18179999999999999</v>
      </c>
      <c r="L465">
        <v>0.47</v>
      </c>
      <c r="M465">
        <v>0.32840000000000003</v>
      </c>
      <c r="N465">
        <v>7</v>
      </c>
      <c r="O465">
        <v>210</v>
      </c>
      <c r="P465">
        <v>217</v>
      </c>
    </row>
    <row r="466" spans="1:16">
      <c r="A466">
        <v>465</v>
      </c>
      <c r="B466" s="2">
        <v>40564</v>
      </c>
      <c r="C466">
        <v>1</v>
      </c>
      <c r="D466">
        <v>0</v>
      </c>
      <c r="E466">
        <v>1</v>
      </c>
      <c r="F466">
        <v>9</v>
      </c>
      <c r="G466" t="b">
        <v>0</v>
      </c>
      <c r="H466">
        <v>5</v>
      </c>
      <c r="I466">
        <v>1</v>
      </c>
      <c r="J466">
        <v>0.2</v>
      </c>
      <c r="K466">
        <v>0.18179999999999999</v>
      </c>
      <c r="L466">
        <v>0.51</v>
      </c>
      <c r="M466">
        <v>0.35820000000000002</v>
      </c>
      <c r="N466">
        <v>7</v>
      </c>
      <c r="O466">
        <v>159</v>
      </c>
      <c r="P466">
        <v>166</v>
      </c>
    </row>
    <row r="467" spans="1:16">
      <c r="A467">
        <v>466</v>
      </c>
      <c r="B467" s="2">
        <v>40564</v>
      </c>
      <c r="C467">
        <v>1</v>
      </c>
      <c r="D467">
        <v>0</v>
      </c>
      <c r="E467">
        <v>1</v>
      </c>
      <c r="F467">
        <v>10</v>
      </c>
      <c r="G467" t="b">
        <v>0</v>
      </c>
      <c r="H467">
        <v>5</v>
      </c>
      <c r="I467">
        <v>1</v>
      </c>
      <c r="J467">
        <v>0.2</v>
      </c>
      <c r="K467">
        <v>0.16669999999999999</v>
      </c>
      <c r="L467">
        <v>0.47</v>
      </c>
      <c r="M467">
        <v>0.4627</v>
      </c>
      <c r="N467">
        <v>6</v>
      </c>
      <c r="O467">
        <v>57</v>
      </c>
      <c r="P467">
        <v>63</v>
      </c>
    </row>
    <row r="468" spans="1:16">
      <c r="A468">
        <v>467</v>
      </c>
      <c r="B468" s="2">
        <v>40564</v>
      </c>
      <c r="C468">
        <v>1</v>
      </c>
      <c r="D468">
        <v>0</v>
      </c>
      <c r="E468">
        <v>1</v>
      </c>
      <c r="F468">
        <v>11</v>
      </c>
      <c r="G468" t="b">
        <v>0</v>
      </c>
      <c r="H468">
        <v>5</v>
      </c>
      <c r="I468">
        <v>1</v>
      </c>
      <c r="J468">
        <v>0.22</v>
      </c>
      <c r="K468">
        <v>0.18179999999999999</v>
      </c>
      <c r="L468">
        <v>0.41</v>
      </c>
      <c r="M468">
        <v>0.4627</v>
      </c>
      <c r="N468">
        <v>6</v>
      </c>
      <c r="O468">
        <v>53</v>
      </c>
      <c r="P468">
        <v>59</v>
      </c>
    </row>
    <row r="469" spans="1:16">
      <c r="A469">
        <v>468</v>
      </c>
      <c r="B469" s="2">
        <v>40564</v>
      </c>
      <c r="C469">
        <v>1</v>
      </c>
      <c r="D469">
        <v>0</v>
      </c>
      <c r="E469">
        <v>1</v>
      </c>
      <c r="F469">
        <v>12</v>
      </c>
      <c r="G469" t="b">
        <v>0</v>
      </c>
      <c r="H469">
        <v>5</v>
      </c>
      <c r="I469">
        <v>1</v>
      </c>
      <c r="J469">
        <v>0.22</v>
      </c>
      <c r="K469">
        <v>0.18179999999999999</v>
      </c>
      <c r="L469">
        <v>0.27</v>
      </c>
      <c r="M469">
        <v>0.58209999999999995</v>
      </c>
      <c r="N469">
        <v>11</v>
      </c>
      <c r="O469">
        <v>67</v>
      </c>
      <c r="P469">
        <v>78</v>
      </c>
    </row>
    <row r="470" spans="1:16">
      <c r="A470">
        <v>469</v>
      </c>
      <c r="B470" s="2">
        <v>40564</v>
      </c>
      <c r="C470">
        <v>1</v>
      </c>
      <c r="D470">
        <v>0</v>
      </c>
      <c r="E470">
        <v>1</v>
      </c>
      <c r="F470">
        <v>13</v>
      </c>
      <c r="G470" t="b">
        <v>0</v>
      </c>
      <c r="H470">
        <v>5</v>
      </c>
      <c r="I470">
        <v>1</v>
      </c>
      <c r="J470">
        <v>0.2</v>
      </c>
      <c r="K470">
        <v>0.1515</v>
      </c>
      <c r="L470">
        <v>0.21</v>
      </c>
      <c r="M470">
        <v>0.58209999999999995</v>
      </c>
      <c r="N470">
        <v>8</v>
      </c>
      <c r="O470">
        <v>65</v>
      </c>
      <c r="P470">
        <v>73</v>
      </c>
    </row>
    <row r="471" spans="1:16">
      <c r="A471">
        <v>470</v>
      </c>
      <c r="B471" s="2">
        <v>40564</v>
      </c>
      <c r="C471">
        <v>1</v>
      </c>
      <c r="D471">
        <v>0</v>
      </c>
      <c r="E471">
        <v>1</v>
      </c>
      <c r="F471">
        <v>14</v>
      </c>
      <c r="G471" t="b">
        <v>0</v>
      </c>
      <c r="H471">
        <v>5</v>
      </c>
      <c r="I471">
        <v>1</v>
      </c>
      <c r="J471">
        <v>0.2</v>
      </c>
      <c r="K471">
        <v>0.1515</v>
      </c>
      <c r="L471">
        <v>0.25</v>
      </c>
      <c r="M471">
        <v>0.52239999999999998</v>
      </c>
      <c r="N471">
        <v>6</v>
      </c>
      <c r="O471">
        <v>56</v>
      </c>
      <c r="P471">
        <v>62</v>
      </c>
    </row>
    <row r="472" spans="1:16">
      <c r="A472">
        <v>471</v>
      </c>
      <c r="B472" s="2">
        <v>40564</v>
      </c>
      <c r="C472">
        <v>1</v>
      </c>
      <c r="D472">
        <v>0</v>
      </c>
      <c r="E472">
        <v>1</v>
      </c>
      <c r="F472">
        <v>15</v>
      </c>
      <c r="G472" t="b">
        <v>0</v>
      </c>
      <c r="H472">
        <v>5</v>
      </c>
      <c r="I472">
        <v>1</v>
      </c>
      <c r="J472">
        <v>0.16</v>
      </c>
      <c r="K472">
        <v>0.1212</v>
      </c>
      <c r="L472">
        <v>0.26</v>
      </c>
      <c r="M472">
        <v>0.44779999999999998</v>
      </c>
      <c r="N472">
        <v>4</v>
      </c>
      <c r="O472">
        <v>61</v>
      </c>
      <c r="P472">
        <v>65</v>
      </c>
    </row>
    <row r="473" spans="1:16">
      <c r="A473">
        <v>472</v>
      </c>
      <c r="B473" s="2">
        <v>40564</v>
      </c>
      <c r="C473">
        <v>1</v>
      </c>
      <c r="D473">
        <v>0</v>
      </c>
      <c r="E473">
        <v>1</v>
      </c>
      <c r="F473">
        <v>16</v>
      </c>
      <c r="G473" t="b">
        <v>0</v>
      </c>
      <c r="H473">
        <v>5</v>
      </c>
      <c r="I473">
        <v>1</v>
      </c>
      <c r="J473">
        <v>0.16</v>
      </c>
      <c r="K473">
        <v>0.13639999999999999</v>
      </c>
      <c r="L473">
        <v>0.26</v>
      </c>
      <c r="M473">
        <v>0.35820000000000002</v>
      </c>
      <c r="N473">
        <v>0</v>
      </c>
      <c r="O473">
        <v>97</v>
      </c>
      <c r="P473">
        <v>97</v>
      </c>
    </row>
    <row r="474" spans="1:16">
      <c r="A474">
        <v>473</v>
      </c>
      <c r="B474" s="2">
        <v>40564</v>
      </c>
      <c r="C474">
        <v>1</v>
      </c>
      <c r="D474">
        <v>0</v>
      </c>
      <c r="E474">
        <v>1</v>
      </c>
      <c r="F474">
        <v>17</v>
      </c>
      <c r="G474" t="b">
        <v>0</v>
      </c>
      <c r="H474">
        <v>5</v>
      </c>
      <c r="I474">
        <v>1</v>
      </c>
      <c r="J474">
        <v>0.14000000000000001</v>
      </c>
      <c r="K474">
        <v>0.1212</v>
      </c>
      <c r="L474">
        <v>0.28000000000000003</v>
      </c>
      <c r="M474">
        <v>0.35820000000000002</v>
      </c>
      <c r="N474">
        <v>10</v>
      </c>
      <c r="O474">
        <v>151</v>
      </c>
      <c r="P474">
        <v>161</v>
      </c>
    </row>
    <row r="475" spans="1:16">
      <c r="A475">
        <v>474</v>
      </c>
      <c r="B475" s="2">
        <v>40564</v>
      </c>
      <c r="C475">
        <v>1</v>
      </c>
      <c r="D475">
        <v>0</v>
      </c>
      <c r="E475">
        <v>1</v>
      </c>
      <c r="F475">
        <v>18</v>
      </c>
      <c r="G475" t="b">
        <v>0</v>
      </c>
      <c r="H475">
        <v>5</v>
      </c>
      <c r="I475">
        <v>1</v>
      </c>
      <c r="J475">
        <v>0.12</v>
      </c>
      <c r="K475">
        <v>0.1212</v>
      </c>
      <c r="L475">
        <v>0.3</v>
      </c>
      <c r="M475">
        <v>0.25369999999999998</v>
      </c>
      <c r="N475">
        <v>1</v>
      </c>
      <c r="O475">
        <v>119</v>
      </c>
      <c r="P475">
        <v>120</v>
      </c>
    </row>
    <row r="476" spans="1:16">
      <c r="A476">
        <v>475</v>
      </c>
      <c r="B476" s="2">
        <v>40564</v>
      </c>
      <c r="C476">
        <v>1</v>
      </c>
      <c r="D476">
        <v>0</v>
      </c>
      <c r="E476">
        <v>1</v>
      </c>
      <c r="F476">
        <v>19</v>
      </c>
      <c r="G476" t="b">
        <v>0</v>
      </c>
      <c r="H476">
        <v>5</v>
      </c>
      <c r="I476">
        <v>1</v>
      </c>
      <c r="J476">
        <v>0.12</v>
      </c>
      <c r="K476">
        <v>0.1061</v>
      </c>
      <c r="L476">
        <v>0.3</v>
      </c>
      <c r="M476">
        <v>0.32840000000000003</v>
      </c>
      <c r="N476">
        <v>3</v>
      </c>
      <c r="O476">
        <v>93</v>
      </c>
      <c r="P476">
        <v>96</v>
      </c>
    </row>
    <row r="477" spans="1:16">
      <c r="A477">
        <v>476</v>
      </c>
      <c r="B477" s="2">
        <v>40564</v>
      </c>
      <c r="C477">
        <v>1</v>
      </c>
      <c r="D477">
        <v>0</v>
      </c>
      <c r="E477">
        <v>1</v>
      </c>
      <c r="F477">
        <v>20</v>
      </c>
      <c r="G477" t="b">
        <v>0</v>
      </c>
      <c r="H477">
        <v>5</v>
      </c>
      <c r="I477">
        <v>1</v>
      </c>
      <c r="J477">
        <v>0.1</v>
      </c>
      <c r="K477">
        <v>7.5800000000000006E-2</v>
      </c>
      <c r="L477">
        <v>0.33</v>
      </c>
      <c r="M477">
        <v>0.41789999999999999</v>
      </c>
      <c r="N477">
        <v>1</v>
      </c>
      <c r="O477">
        <v>52</v>
      </c>
      <c r="P477">
        <v>53</v>
      </c>
    </row>
    <row r="478" spans="1:16">
      <c r="A478">
        <v>477</v>
      </c>
      <c r="B478" s="2">
        <v>40564</v>
      </c>
      <c r="C478">
        <v>1</v>
      </c>
      <c r="D478">
        <v>0</v>
      </c>
      <c r="E478">
        <v>1</v>
      </c>
      <c r="F478">
        <v>21</v>
      </c>
      <c r="G478" t="b">
        <v>0</v>
      </c>
      <c r="H478">
        <v>5</v>
      </c>
      <c r="I478">
        <v>1</v>
      </c>
      <c r="J478">
        <v>0.08</v>
      </c>
      <c r="K478">
        <v>7.5800000000000006E-2</v>
      </c>
      <c r="L478">
        <v>0.38</v>
      </c>
      <c r="M478">
        <v>0.28360000000000002</v>
      </c>
      <c r="N478">
        <v>0</v>
      </c>
      <c r="O478">
        <v>41</v>
      </c>
      <c r="P478">
        <v>41</v>
      </c>
    </row>
    <row r="479" spans="1:16">
      <c r="A479">
        <v>478</v>
      </c>
      <c r="B479" s="2">
        <v>40564</v>
      </c>
      <c r="C479">
        <v>1</v>
      </c>
      <c r="D479">
        <v>0</v>
      </c>
      <c r="E479">
        <v>1</v>
      </c>
      <c r="F479">
        <v>22</v>
      </c>
      <c r="G479" t="b">
        <v>0</v>
      </c>
      <c r="H479">
        <v>5</v>
      </c>
      <c r="I479">
        <v>1</v>
      </c>
      <c r="J479">
        <v>0.06</v>
      </c>
      <c r="K479">
        <v>3.0300000000000001E-2</v>
      </c>
      <c r="L479">
        <v>0.41</v>
      </c>
      <c r="M479">
        <v>0.3881</v>
      </c>
      <c r="N479">
        <v>1</v>
      </c>
      <c r="O479">
        <v>33</v>
      </c>
      <c r="P479">
        <v>34</v>
      </c>
    </row>
    <row r="480" spans="1:16">
      <c r="A480">
        <v>479</v>
      </c>
      <c r="B480" s="2">
        <v>40564</v>
      </c>
      <c r="C480">
        <v>1</v>
      </c>
      <c r="D480">
        <v>0</v>
      </c>
      <c r="E480">
        <v>1</v>
      </c>
      <c r="F480">
        <v>23</v>
      </c>
      <c r="G480" t="b">
        <v>0</v>
      </c>
      <c r="H480">
        <v>5</v>
      </c>
      <c r="I480">
        <v>1</v>
      </c>
      <c r="J480">
        <v>0.06</v>
      </c>
      <c r="K480">
        <v>4.5499999999999999E-2</v>
      </c>
      <c r="L480">
        <v>0.38</v>
      </c>
      <c r="M480">
        <v>0.32840000000000003</v>
      </c>
      <c r="N480">
        <v>0</v>
      </c>
      <c r="O480">
        <v>27</v>
      </c>
      <c r="P480">
        <v>27</v>
      </c>
    </row>
    <row r="481" spans="1:16">
      <c r="A481">
        <v>480</v>
      </c>
      <c r="B481" s="2">
        <v>40565</v>
      </c>
      <c r="C481">
        <v>1</v>
      </c>
      <c r="D481">
        <v>0</v>
      </c>
      <c r="E481">
        <v>1</v>
      </c>
      <c r="F481">
        <v>0</v>
      </c>
      <c r="G481" t="b">
        <v>0</v>
      </c>
      <c r="H481">
        <v>6</v>
      </c>
      <c r="I481">
        <v>1</v>
      </c>
      <c r="J481">
        <v>0.04</v>
      </c>
      <c r="K481">
        <v>3.0300000000000001E-2</v>
      </c>
      <c r="L481">
        <v>0.45</v>
      </c>
      <c r="M481">
        <v>0.25369999999999998</v>
      </c>
      <c r="N481">
        <v>0</v>
      </c>
      <c r="O481">
        <v>13</v>
      </c>
      <c r="P481">
        <v>13</v>
      </c>
    </row>
    <row r="482" spans="1:16">
      <c r="A482">
        <v>481</v>
      </c>
      <c r="B482" s="2">
        <v>40565</v>
      </c>
      <c r="C482">
        <v>1</v>
      </c>
      <c r="D482">
        <v>0</v>
      </c>
      <c r="E482">
        <v>1</v>
      </c>
      <c r="F482">
        <v>1</v>
      </c>
      <c r="G482" t="b">
        <v>0</v>
      </c>
      <c r="H482">
        <v>6</v>
      </c>
      <c r="I482">
        <v>2</v>
      </c>
      <c r="J482">
        <v>0.04</v>
      </c>
      <c r="K482">
        <v>0</v>
      </c>
      <c r="L482">
        <v>0.41</v>
      </c>
      <c r="M482">
        <v>0.3881</v>
      </c>
      <c r="N482">
        <v>3</v>
      </c>
      <c r="O482">
        <v>9</v>
      </c>
      <c r="P482">
        <v>12</v>
      </c>
    </row>
    <row r="483" spans="1:16">
      <c r="A483">
        <v>482</v>
      </c>
      <c r="B483" s="2">
        <v>40565</v>
      </c>
      <c r="C483">
        <v>1</v>
      </c>
      <c r="D483">
        <v>0</v>
      </c>
      <c r="E483">
        <v>1</v>
      </c>
      <c r="F483">
        <v>2</v>
      </c>
      <c r="G483" t="b">
        <v>0</v>
      </c>
      <c r="H483">
        <v>6</v>
      </c>
      <c r="I483">
        <v>2</v>
      </c>
      <c r="J483">
        <v>0.04</v>
      </c>
      <c r="K483">
        <v>3.0300000000000001E-2</v>
      </c>
      <c r="L483">
        <v>0.41</v>
      </c>
      <c r="M483">
        <v>0.25369999999999998</v>
      </c>
      <c r="N483">
        <v>0</v>
      </c>
      <c r="O483">
        <v>11</v>
      </c>
      <c r="P483">
        <v>11</v>
      </c>
    </row>
    <row r="484" spans="1:16">
      <c r="A484">
        <v>483</v>
      </c>
      <c r="B484" s="2">
        <v>40565</v>
      </c>
      <c r="C484">
        <v>1</v>
      </c>
      <c r="D484">
        <v>0</v>
      </c>
      <c r="E484">
        <v>1</v>
      </c>
      <c r="F484">
        <v>3</v>
      </c>
      <c r="G484" t="b">
        <v>0</v>
      </c>
      <c r="H484">
        <v>6</v>
      </c>
      <c r="I484">
        <v>2</v>
      </c>
      <c r="J484">
        <v>0.04</v>
      </c>
      <c r="K484">
        <v>3.0300000000000001E-2</v>
      </c>
      <c r="L484">
        <v>0.41</v>
      </c>
      <c r="M484">
        <v>0.28360000000000002</v>
      </c>
      <c r="N484">
        <v>1</v>
      </c>
      <c r="O484">
        <v>6</v>
      </c>
      <c r="P484">
        <v>7</v>
      </c>
    </row>
    <row r="485" spans="1:16">
      <c r="A485">
        <v>484</v>
      </c>
      <c r="B485" s="2">
        <v>40565</v>
      </c>
      <c r="C485">
        <v>1</v>
      </c>
      <c r="D485">
        <v>0</v>
      </c>
      <c r="E485">
        <v>1</v>
      </c>
      <c r="F485">
        <v>4</v>
      </c>
      <c r="G485" t="b">
        <v>0</v>
      </c>
      <c r="H485">
        <v>6</v>
      </c>
      <c r="I485">
        <v>2</v>
      </c>
      <c r="J485">
        <v>0.02</v>
      </c>
      <c r="K485">
        <v>1.52E-2</v>
      </c>
      <c r="L485">
        <v>0.48</v>
      </c>
      <c r="M485">
        <v>0.29849999999999999</v>
      </c>
      <c r="N485">
        <v>0</v>
      </c>
      <c r="O485">
        <v>3</v>
      </c>
      <c r="P485">
        <v>3</v>
      </c>
    </row>
    <row r="486" spans="1:16">
      <c r="A486">
        <v>485</v>
      </c>
      <c r="B486" s="2">
        <v>40565</v>
      </c>
      <c r="C486">
        <v>1</v>
      </c>
      <c r="D486">
        <v>0</v>
      </c>
      <c r="E486">
        <v>1</v>
      </c>
      <c r="F486">
        <v>6</v>
      </c>
      <c r="G486" t="b">
        <v>0</v>
      </c>
      <c r="H486">
        <v>6</v>
      </c>
      <c r="I486">
        <v>2</v>
      </c>
      <c r="J486">
        <v>0.02</v>
      </c>
      <c r="K486">
        <v>3.0300000000000001E-2</v>
      </c>
      <c r="L486">
        <v>0.44</v>
      </c>
      <c r="M486">
        <v>0.22389999999999999</v>
      </c>
      <c r="N486">
        <v>0</v>
      </c>
      <c r="O486">
        <v>2</v>
      </c>
      <c r="P486">
        <v>2</v>
      </c>
    </row>
    <row r="487" spans="1:16">
      <c r="A487">
        <v>486</v>
      </c>
      <c r="B487" s="2">
        <v>40565</v>
      </c>
      <c r="C487">
        <v>1</v>
      </c>
      <c r="D487">
        <v>0</v>
      </c>
      <c r="E487">
        <v>1</v>
      </c>
      <c r="F487">
        <v>7</v>
      </c>
      <c r="G487" t="b">
        <v>0</v>
      </c>
      <c r="H487">
        <v>6</v>
      </c>
      <c r="I487">
        <v>1</v>
      </c>
      <c r="J487">
        <v>0.02</v>
      </c>
      <c r="K487">
        <v>1.52E-2</v>
      </c>
      <c r="L487">
        <v>0.44</v>
      </c>
      <c r="M487">
        <v>0.28360000000000002</v>
      </c>
      <c r="N487">
        <v>0</v>
      </c>
      <c r="O487">
        <v>8</v>
      </c>
      <c r="P487">
        <v>8</v>
      </c>
    </row>
    <row r="488" spans="1:16">
      <c r="A488">
        <v>487</v>
      </c>
      <c r="B488" s="2">
        <v>40565</v>
      </c>
      <c r="C488">
        <v>1</v>
      </c>
      <c r="D488">
        <v>0</v>
      </c>
      <c r="E488">
        <v>1</v>
      </c>
      <c r="F488">
        <v>8</v>
      </c>
      <c r="G488" t="b">
        <v>0</v>
      </c>
      <c r="H488">
        <v>6</v>
      </c>
      <c r="I488">
        <v>1</v>
      </c>
      <c r="J488">
        <v>0.02</v>
      </c>
      <c r="K488">
        <v>0</v>
      </c>
      <c r="L488">
        <v>0.44</v>
      </c>
      <c r="M488">
        <v>0.32840000000000003</v>
      </c>
      <c r="N488">
        <v>1</v>
      </c>
      <c r="O488">
        <v>26</v>
      </c>
      <c r="P488">
        <v>27</v>
      </c>
    </row>
    <row r="489" spans="1:16">
      <c r="A489">
        <v>488</v>
      </c>
      <c r="B489" s="2">
        <v>40565</v>
      </c>
      <c r="C489">
        <v>1</v>
      </c>
      <c r="D489">
        <v>0</v>
      </c>
      <c r="E489">
        <v>1</v>
      </c>
      <c r="F489">
        <v>9</v>
      </c>
      <c r="G489" t="b">
        <v>0</v>
      </c>
      <c r="H489">
        <v>6</v>
      </c>
      <c r="I489">
        <v>1</v>
      </c>
      <c r="J489">
        <v>0.04</v>
      </c>
      <c r="K489">
        <v>3.0300000000000001E-2</v>
      </c>
      <c r="L489">
        <v>0.41</v>
      </c>
      <c r="M489">
        <v>0.25369999999999998</v>
      </c>
      <c r="N489">
        <v>3</v>
      </c>
      <c r="O489">
        <v>37</v>
      </c>
      <c r="P489">
        <v>40</v>
      </c>
    </row>
    <row r="490" spans="1:16">
      <c r="A490">
        <v>489</v>
      </c>
      <c r="B490" s="2">
        <v>40565</v>
      </c>
      <c r="C490">
        <v>1</v>
      </c>
      <c r="D490">
        <v>0</v>
      </c>
      <c r="E490">
        <v>1</v>
      </c>
      <c r="F490">
        <v>10</v>
      </c>
      <c r="G490" t="b">
        <v>0</v>
      </c>
      <c r="H490">
        <v>6</v>
      </c>
      <c r="I490">
        <v>2</v>
      </c>
      <c r="J490">
        <v>0.04</v>
      </c>
      <c r="K490">
        <v>6.0600000000000001E-2</v>
      </c>
      <c r="L490">
        <v>0.41</v>
      </c>
      <c r="M490">
        <v>0.16420000000000001</v>
      </c>
      <c r="N490">
        <v>3</v>
      </c>
      <c r="O490">
        <v>50</v>
      </c>
      <c r="P490">
        <v>53</v>
      </c>
    </row>
    <row r="491" spans="1:16">
      <c r="A491">
        <v>490</v>
      </c>
      <c r="B491" s="2">
        <v>40565</v>
      </c>
      <c r="C491">
        <v>1</v>
      </c>
      <c r="D491">
        <v>0</v>
      </c>
      <c r="E491">
        <v>1</v>
      </c>
      <c r="F491">
        <v>11</v>
      </c>
      <c r="G491" t="b">
        <v>0</v>
      </c>
      <c r="H491">
        <v>6</v>
      </c>
      <c r="I491">
        <v>2</v>
      </c>
      <c r="J491">
        <v>0.06</v>
      </c>
      <c r="K491">
        <v>7.5800000000000006E-2</v>
      </c>
      <c r="L491">
        <v>0.38</v>
      </c>
      <c r="M491">
        <v>0.1343</v>
      </c>
      <c r="N491">
        <v>4</v>
      </c>
      <c r="O491">
        <v>59</v>
      </c>
      <c r="P491">
        <v>63</v>
      </c>
    </row>
    <row r="492" spans="1:16">
      <c r="A492">
        <v>491</v>
      </c>
      <c r="B492" s="2">
        <v>40565</v>
      </c>
      <c r="C492">
        <v>1</v>
      </c>
      <c r="D492">
        <v>0</v>
      </c>
      <c r="E492">
        <v>1</v>
      </c>
      <c r="F492">
        <v>12</v>
      </c>
      <c r="G492" t="b">
        <v>0</v>
      </c>
      <c r="H492">
        <v>6</v>
      </c>
      <c r="I492">
        <v>2</v>
      </c>
      <c r="J492">
        <v>0.06</v>
      </c>
      <c r="K492">
        <v>0.1061</v>
      </c>
      <c r="L492">
        <v>0.38</v>
      </c>
      <c r="M492">
        <v>0.1045</v>
      </c>
      <c r="N492">
        <v>10</v>
      </c>
      <c r="O492">
        <v>60</v>
      </c>
      <c r="P492">
        <v>70</v>
      </c>
    </row>
    <row r="493" spans="1:16">
      <c r="A493">
        <v>492</v>
      </c>
      <c r="B493" s="2">
        <v>40565</v>
      </c>
      <c r="C493">
        <v>1</v>
      </c>
      <c r="D493">
        <v>0</v>
      </c>
      <c r="E493">
        <v>1</v>
      </c>
      <c r="F493">
        <v>13</v>
      </c>
      <c r="G493" t="b">
        <v>0</v>
      </c>
      <c r="H493">
        <v>6</v>
      </c>
      <c r="I493">
        <v>1</v>
      </c>
      <c r="J493">
        <v>0.08</v>
      </c>
      <c r="K493">
        <v>0.16669999999999999</v>
      </c>
      <c r="L493">
        <v>0.35</v>
      </c>
      <c r="M493">
        <v>0</v>
      </c>
      <c r="N493">
        <v>12</v>
      </c>
      <c r="O493">
        <v>72</v>
      </c>
      <c r="P493">
        <v>84</v>
      </c>
    </row>
    <row r="494" spans="1:16">
      <c r="A494">
        <v>493</v>
      </c>
      <c r="B494" s="2">
        <v>40565</v>
      </c>
      <c r="C494">
        <v>1</v>
      </c>
      <c r="D494">
        <v>0</v>
      </c>
      <c r="E494">
        <v>1</v>
      </c>
      <c r="F494">
        <v>14</v>
      </c>
      <c r="G494" t="b">
        <v>0</v>
      </c>
      <c r="H494">
        <v>6</v>
      </c>
      <c r="I494">
        <v>1</v>
      </c>
      <c r="J494">
        <v>0.1</v>
      </c>
      <c r="K494">
        <v>0.13639999999999999</v>
      </c>
      <c r="L494">
        <v>0.33</v>
      </c>
      <c r="M494">
        <v>0.1045</v>
      </c>
      <c r="N494">
        <v>11</v>
      </c>
      <c r="O494">
        <v>64</v>
      </c>
      <c r="P494">
        <v>75</v>
      </c>
    </row>
    <row r="495" spans="1:16">
      <c r="A495">
        <v>494</v>
      </c>
      <c r="B495" s="2">
        <v>40565</v>
      </c>
      <c r="C495">
        <v>1</v>
      </c>
      <c r="D495">
        <v>0</v>
      </c>
      <c r="E495">
        <v>1</v>
      </c>
      <c r="F495">
        <v>15</v>
      </c>
      <c r="G495" t="b">
        <v>0</v>
      </c>
      <c r="H495">
        <v>6</v>
      </c>
      <c r="I495">
        <v>1</v>
      </c>
      <c r="J495">
        <v>0.12</v>
      </c>
      <c r="K495">
        <v>0.1515</v>
      </c>
      <c r="L495">
        <v>0.28000000000000003</v>
      </c>
      <c r="M495">
        <v>0</v>
      </c>
      <c r="N495">
        <v>10</v>
      </c>
      <c r="O495">
        <v>93</v>
      </c>
      <c r="P495">
        <v>103</v>
      </c>
    </row>
    <row r="496" spans="1:16">
      <c r="A496">
        <v>495</v>
      </c>
      <c r="B496" s="2">
        <v>40565</v>
      </c>
      <c r="C496">
        <v>1</v>
      </c>
      <c r="D496">
        <v>0</v>
      </c>
      <c r="E496">
        <v>1</v>
      </c>
      <c r="F496">
        <v>16</v>
      </c>
      <c r="G496" t="b">
        <v>0</v>
      </c>
      <c r="H496">
        <v>6</v>
      </c>
      <c r="I496">
        <v>1</v>
      </c>
      <c r="J496">
        <v>0.12</v>
      </c>
      <c r="K496">
        <v>0.13639999999999999</v>
      </c>
      <c r="L496">
        <v>0.28000000000000003</v>
      </c>
      <c r="M496">
        <v>0.19400000000000001</v>
      </c>
      <c r="N496">
        <v>11</v>
      </c>
      <c r="O496">
        <v>72</v>
      </c>
      <c r="P496">
        <v>83</v>
      </c>
    </row>
    <row r="497" spans="1:16">
      <c r="A497">
        <v>496</v>
      </c>
      <c r="B497" s="2">
        <v>40565</v>
      </c>
      <c r="C497">
        <v>1</v>
      </c>
      <c r="D497">
        <v>0</v>
      </c>
      <c r="E497">
        <v>1</v>
      </c>
      <c r="F497">
        <v>17</v>
      </c>
      <c r="G497" t="b">
        <v>0</v>
      </c>
      <c r="H497">
        <v>6</v>
      </c>
      <c r="I497">
        <v>1</v>
      </c>
      <c r="J497">
        <v>0.12</v>
      </c>
      <c r="K497">
        <v>0.19700000000000001</v>
      </c>
      <c r="L497">
        <v>0.28000000000000003</v>
      </c>
      <c r="M497">
        <v>0</v>
      </c>
      <c r="N497">
        <v>8</v>
      </c>
      <c r="O497">
        <v>59</v>
      </c>
      <c r="P497">
        <v>67</v>
      </c>
    </row>
    <row r="498" spans="1:16">
      <c r="A498">
        <v>497</v>
      </c>
      <c r="B498" s="2">
        <v>40565</v>
      </c>
      <c r="C498">
        <v>1</v>
      </c>
      <c r="D498">
        <v>0</v>
      </c>
      <c r="E498">
        <v>1</v>
      </c>
      <c r="F498">
        <v>18</v>
      </c>
      <c r="G498" t="b">
        <v>0</v>
      </c>
      <c r="H498">
        <v>6</v>
      </c>
      <c r="I498">
        <v>1</v>
      </c>
      <c r="J498">
        <v>0.08</v>
      </c>
      <c r="K498">
        <v>9.0899999999999995E-2</v>
      </c>
      <c r="L498">
        <v>0.35</v>
      </c>
      <c r="M498">
        <v>0.19400000000000001</v>
      </c>
      <c r="N498">
        <v>0</v>
      </c>
      <c r="O498">
        <v>54</v>
      </c>
      <c r="P498">
        <v>54</v>
      </c>
    </row>
    <row r="499" spans="1:16">
      <c r="A499">
        <v>498</v>
      </c>
      <c r="B499" s="2">
        <v>40565</v>
      </c>
      <c r="C499">
        <v>1</v>
      </c>
      <c r="D499">
        <v>0</v>
      </c>
      <c r="E499">
        <v>1</v>
      </c>
      <c r="F499">
        <v>19</v>
      </c>
      <c r="G499" t="b">
        <v>0</v>
      </c>
      <c r="H499">
        <v>6</v>
      </c>
      <c r="I499">
        <v>1</v>
      </c>
      <c r="J499">
        <v>0.08</v>
      </c>
      <c r="K499">
        <v>0.1061</v>
      </c>
      <c r="L499">
        <v>0.35</v>
      </c>
      <c r="M499">
        <v>0.1343</v>
      </c>
      <c r="N499">
        <v>6</v>
      </c>
      <c r="O499">
        <v>53</v>
      </c>
      <c r="P499">
        <v>59</v>
      </c>
    </row>
    <row r="500" spans="1:16">
      <c r="A500">
        <v>499</v>
      </c>
      <c r="B500" s="2">
        <v>40565</v>
      </c>
      <c r="C500">
        <v>1</v>
      </c>
      <c r="D500">
        <v>0</v>
      </c>
      <c r="E500">
        <v>1</v>
      </c>
      <c r="F500">
        <v>20</v>
      </c>
      <c r="G500" t="b">
        <v>0</v>
      </c>
      <c r="H500">
        <v>6</v>
      </c>
      <c r="I500">
        <v>1</v>
      </c>
      <c r="J500">
        <v>0.06</v>
      </c>
      <c r="K500">
        <v>7.5800000000000006E-2</v>
      </c>
      <c r="L500">
        <v>0.45</v>
      </c>
      <c r="M500">
        <v>0.16420000000000001</v>
      </c>
      <c r="N500">
        <v>1</v>
      </c>
      <c r="O500">
        <v>44</v>
      </c>
      <c r="P500">
        <v>45</v>
      </c>
    </row>
    <row r="501" spans="1:16">
      <c r="A501">
        <v>500</v>
      </c>
      <c r="B501" s="2">
        <v>40565</v>
      </c>
      <c r="C501">
        <v>1</v>
      </c>
      <c r="D501">
        <v>0</v>
      </c>
      <c r="E501">
        <v>1</v>
      </c>
      <c r="F501">
        <v>21</v>
      </c>
      <c r="G501" t="b">
        <v>0</v>
      </c>
      <c r="H501">
        <v>6</v>
      </c>
      <c r="I501">
        <v>1</v>
      </c>
      <c r="J501">
        <v>0.06</v>
      </c>
      <c r="K501">
        <v>0.1061</v>
      </c>
      <c r="L501">
        <v>0.41</v>
      </c>
      <c r="M501">
        <v>8.9599999999999999E-2</v>
      </c>
      <c r="N501">
        <v>0</v>
      </c>
      <c r="O501">
        <v>39</v>
      </c>
      <c r="P501">
        <v>39</v>
      </c>
    </row>
    <row r="502" spans="1:16">
      <c r="A502">
        <v>501</v>
      </c>
      <c r="B502" s="2">
        <v>40565</v>
      </c>
      <c r="C502">
        <v>1</v>
      </c>
      <c r="D502">
        <v>0</v>
      </c>
      <c r="E502">
        <v>1</v>
      </c>
      <c r="F502">
        <v>22</v>
      </c>
      <c r="G502" t="b">
        <v>0</v>
      </c>
      <c r="H502">
        <v>6</v>
      </c>
      <c r="I502">
        <v>1</v>
      </c>
      <c r="J502">
        <v>0.06</v>
      </c>
      <c r="K502">
        <v>0.1515</v>
      </c>
      <c r="L502">
        <v>0.49</v>
      </c>
      <c r="M502">
        <v>0</v>
      </c>
      <c r="N502">
        <v>7</v>
      </c>
      <c r="O502">
        <v>23</v>
      </c>
      <c r="P502">
        <v>30</v>
      </c>
    </row>
    <row r="503" spans="1:16">
      <c r="A503">
        <v>502</v>
      </c>
      <c r="B503" s="2">
        <v>40565</v>
      </c>
      <c r="C503">
        <v>1</v>
      </c>
      <c r="D503">
        <v>0</v>
      </c>
      <c r="E503">
        <v>1</v>
      </c>
      <c r="F503">
        <v>23</v>
      </c>
      <c r="G503" t="b">
        <v>0</v>
      </c>
      <c r="H503">
        <v>6</v>
      </c>
      <c r="I503">
        <v>1</v>
      </c>
      <c r="J503">
        <v>0.04</v>
      </c>
      <c r="K503">
        <v>7.5800000000000006E-2</v>
      </c>
      <c r="L503">
        <v>0.56999999999999995</v>
      </c>
      <c r="M503">
        <v>0.1045</v>
      </c>
      <c r="N503">
        <v>2</v>
      </c>
      <c r="O503">
        <v>31</v>
      </c>
      <c r="P503">
        <v>33</v>
      </c>
    </row>
    <row r="504" spans="1:16">
      <c r="A504">
        <v>503</v>
      </c>
      <c r="B504" s="2">
        <v>40566</v>
      </c>
      <c r="C504">
        <v>1</v>
      </c>
      <c r="D504">
        <v>0</v>
      </c>
      <c r="E504">
        <v>1</v>
      </c>
      <c r="F504">
        <v>0</v>
      </c>
      <c r="G504" t="b">
        <v>0</v>
      </c>
      <c r="H504">
        <v>0</v>
      </c>
      <c r="I504">
        <v>1</v>
      </c>
      <c r="J504">
        <v>0.04</v>
      </c>
      <c r="K504">
        <v>7.5800000000000006E-2</v>
      </c>
      <c r="L504">
        <v>0.56999999999999995</v>
      </c>
      <c r="M504">
        <v>0.1045</v>
      </c>
      <c r="N504">
        <v>2</v>
      </c>
      <c r="O504">
        <v>20</v>
      </c>
      <c r="P504">
        <v>22</v>
      </c>
    </row>
    <row r="505" spans="1:16">
      <c r="A505">
        <v>504</v>
      </c>
      <c r="B505" s="2">
        <v>40566</v>
      </c>
      <c r="C505">
        <v>1</v>
      </c>
      <c r="D505">
        <v>0</v>
      </c>
      <c r="E505">
        <v>1</v>
      </c>
      <c r="F505">
        <v>1</v>
      </c>
      <c r="G505" t="b">
        <v>0</v>
      </c>
      <c r="H505">
        <v>0</v>
      </c>
      <c r="I505">
        <v>1</v>
      </c>
      <c r="J505">
        <v>0.04</v>
      </c>
      <c r="K505">
        <v>7.5800000000000006E-2</v>
      </c>
      <c r="L505">
        <v>0.56999999999999995</v>
      </c>
      <c r="M505">
        <v>0.1045</v>
      </c>
      <c r="N505">
        <v>1</v>
      </c>
      <c r="O505">
        <v>12</v>
      </c>
      <c r="P505">
        <v>13</v>
      </c>
    </row>
    <row r="506" spans="1:16">
      <c r="A506">
        <v>505</v>
      </c>
      <c r="B506" s="2">
        <v>40566</v>
      </c>
      <c r="C506">
        <v>1</v>
      </c>
      <c r="D506">
        <v>0</v>
      </c>
      <c r="E506">
        <v>1</v>
      </c>
      <c r="F506">
        <v>2</v>
      </c>
      <c r="G506" t="b">
        <v>0</v>
      </c>
      <c r="H506">
        <v>0</v>
      </c>
      <c r="I506">
        <v>1</v>
      </c>
      <c r="J506">
        <v>0.02</v>
      </c>
      <c r="K506">
        <v>6.0600000000000001E-2</v>
      </c>
      <c r="L506">
        <v>0.62</v>
      </c>
      <c r="M506">
        <v>0.1343</v>
      </c>
      <c r="N506">
        <v>3</v>
      </c>
      <c r="O506">
        <v>15</v>
      </c>
      <c r="P506">
        <v>18</v>
      </c>
    </row>
    <row r="507" spans="1:16">
      <c r="A507">
        <v>506</v>
      </c>
      <c r="B507" s="2">
        <v>40566</v>
      </c>
      <c r="C507">
        <v>1</v>
      </c>
      <c r="D507">
        <v>0</v>
      </c>
      <c r="E507">
        <v>1</v>
      </c>
      <c r="F507">
        <v>3</v>
      </c>
      <c r="G507" t="b">
        <v>0</v>
      </c>
      <c r="H507">
        <v>0</v>
      </c>
      <c r="I507">
        <v>1</v>
      </c>
      <c r="J507">
        <v>0.02</v>
      </c>
      <c r="K507">
        <v>6.0600000000000001E-2</v>
      </c>
      <c r="L507">
        <v>0.62</v>
      </c>
      <c r="M507">
        <v>0.1343</v>
      </c>
      <c r="N507">
        <v>1</v>
      </c>
      <c r="O507">
        <v>4</v>
      </c>
      <c r="P507">
        <v>5</v>
      </c>
    </row>
    <row r="508" spans="1:16">
      <c r="A508">
        <v>507</v>
      </c>
      <c r="B508" s="2">
        <v>40566</v>
      </c>
      <c r="C508">
        <v>1</v>
      </c>
      <c r="D508">
        <v>0</v>
      </c>
      <c r="E508">
        <v>1</v>
      </c>
      <c r="F508">
        <v>5</v>
      </c>
      <c r="G508" t="b">
        <v>0</v>
      </c>
      <c r="H508">
        <v>0</v>
      </c>
      <c r="I508">
        <v>2</v>
      </c>
      <c r="J508">
        <v>0.04</v>
      </c>
      <c r="K508">
        <v>7.5800000000000006E-2</v>
      </c>
      <c r="L508">
        <v>0.56999999999999995</v>
      </c>
      <c r="M508">
        <v>0.1045</v>
      </c>
      <c r="N508">
        <v>0</v>
      </c>
      <c r="O508">
        <v>3</v>
      </c>
      <c r="P508">
        <v>3</v>
      </c>
    </row>
    <row r="509" spans="1:16">
      <c r="A509">
        <v>508</v>
      </c>
      <c r="B509" s="2">
        <v>40566</v>
      </c>
      <c r="C509">
        <v>1</v>
      </c>
      <c r="D509">
        <v>0</v>
      </c>
      <c r="E509">
        <v>1</v>
      </c>
      <c r="F509">
        <v>6</v>
      </c>
      <c r="G509" t="b">
        <v>0</v>
      </c>
      <c r="H509">
        <v>0</v>
      </c>
      <c r="I509">
        <v>2</v>
      </c>
      <c r="J509">
        <v>0.04</v>
      </c>
      <c r="K509">
        <v>7.5800000000000006E-2</v>
      </c>
      <c r="L509">
        <v>0.56999999999999995</v>
      </c>
      <c r="M509">
        <v>0.1045</v>
      </c>
      <c r="N509">
        <v>0</v>
      </c>
      <c r="O509">
        <v>1</v>
      </c>
      <c r="P509">
        <v>1</v>
      </c>
    </row>
    <row r="510" spans="1:16">
      <c r="A510">
        <v>509</v>
      </c>
      <c r="B510" s="2">
        <v>40566</v>
      </c>
      <c r="C510">
        <v>1</v>
      </c>
      <c r="D510">
        <v>0</v>
      </c>
      <c r="E510">
        <v>1</v>
      </c>
      <c r="F510">
        <v>7</v>
      </c>
      <c r="G510" t="b">
        <v>0</v>
      </c>
      <c r="H510">
        <v>0</v>
      </c>
      <c r="I510">
        <v>1</v>
      </c>
      <c r="J510">
        <v>0.08</v>
      </c>
      <c r="K510">
        <v>0.1061</v>
      </c>
      <c r="L510">
        <v>0.57999999999999996</v>
      </c>
      <c r="M510">
        <v>0.16420000000000001</v>
      </c>
      <c r="N510">
        <v>1</v>
      </c>
      <c r="O510">
        <v>1</v>
      </c>
      <c r="P510">
        <v>2</v>
      </c>
    </row>
    <row r="511" spans="1:16">
      <c r="A511">
        <v>510</v>
      </c>
      <c r="B511" s="2">
        <v>40566</v>
      </c>
      <c r="C511">
        <v>1</v>
      </c>
      <c r="D511">
        <v>0</v>
      </c>
      <c r="E511">
        <v>1</v>
      </c>
      <c r="F511">
        <v>8</v>
      </c>
      <c r="G511" t="b">
        <v>0</v>
      </c>
      <c r="H511">
        <v>0</v>
      </c>
      <c r="I511">
        <v>1</v>
      </c>
      <c r="J511">
        <v>0.06</v>
      </c>
      <c r="K511">
        <v>7.5800000000000006E-2</v>
      </c>
      <c r="L511">
        <v>0.62</v>
      </c>
      <c r="M511">
        <v>0.16420000000000001</v>
      </c>
      <c r="N511">
        <v>2</v>
      </c>
      <c r="O511">
        <v>17</v>
      </c>
      <c r="P511">
        <v>19</v>
      </c>
    </row>
    <row r="512" spans="1:16">
      <c r="A512">
        <v>511</v>
      </c>
      <c r="B512" s="2">
        <v>40566</v>
      </c>
      <c r="C512">
        <v>1</v>
      </c>
      <c r="D512">
        <v>0</v>
      </c>
      <c r="E512">
        <v>1</v>
      </c>
      <c r="F512">
        <v>9</v>
      </c>
      <c r="G512" t="b">
        <v>0</v>
      </c>
      <c r="H512">
        <v>0</v>
      </c>
      <c r="I512">
        <v>1</v>
      </c>
      <c r="J512">
        <v>0.1</v>
      </c>
      <c r="K512">
        <v>7.5800000000000006E-2</v>
      </c>
      <c r="L512">
        <v>0.54</v>
      </c>
      <c r="M512">
        <v>0.35820000000000002</v>
      </c>
      <c r="N512">
        <v>3</v>
      </c>
      <c r="O512">
        <v>25</v>
      </c>
      <c r="P512">
        <v>28</v>
      </c>
    </row>
    <row r="513" spans="1:16">
      <c r="A513">
        <v>512</v>
      </c>
      <c r="B513" s="2">
        <v>40566</v>
      </c>
      <c r="C513">
        <v>1</v>
      </c>
      <c r="D513">
        <v>0</v>
      </c>
      <c r="E513">
        <v>1</v>
      </c>
      <c r="F513">
        <v>10</v>
      </c>
      <c r="G513" t="b">
        <v>0</v>
      </c>
      <c r="H513">
        <v>0</v>
      </c>
      <c r="I513">
        <v>1</v>
      </c>
      <c r="J513">
        <v>0.14000000000000001</v>
      </c>
      <c r="K513">
        <v>0.1061</v>
      </c>
      <c r="L513">
        <v>0.46</v>
      </c>
      <c r="M513">
        <v>0.3881</v>
      </c>
      <c r="N513">
        <v>7</v>
      </c>
      <c r="O513">
        <v>51</v>
      </c>
      <c r="P513">
        <v>58</v>
      </c>
    </row>
    <row r="514" spans="1:16">
      <c r="A514">
        <v>513</v>
      </c>
      <c r="B514" s="2">
        <v>40566</v>
      </c>
      <c r="C514">
        <v>1</v>
      </c>
      <c r="D514">
        <v>0</v>
      </c>
      <c r="E514">
        <v>1</v>
      </c>
      <c r="F514">
        <v>11</v>
      </c>
      <c r="G514" t="b">
        <v>0</v>
      </c>
      <c r="H514">
        <v>0</v>
      </c>
      <c r="I514">
        <v>1</v>
      </c>
      <c r="J514">
        <v>0.14000000000000001</v>
      </c>
      <c r="K514">
        <v>0.13639999999999999</v>
      </c>
      <c r="L514">
        <v>0.43</v>
      </c>
      <c r="M514">
        <v>0.22389999999999999</v>
      </c>
      <c r="N514">
        <v>22</v>
      </c>
      <c r="O514">
        <v>77</v>
      </c>
      <c r="P514">
        <v>99</v>
      </c>
    </row>
    <row r="515" spans="1:16">
      <c r="A515">
        <v>514</v>
      </c>
      <c r="B515" s="2">
        <v>40566</v>
      </c>
      <c r="C515">
        <v>1</v>
      </c>
      <c r="D515">
        <v>0</v>
      </c>
      <c r="E515">
        <v>1</v>
      </c>
      <c r="F515">
        <v>12</v>
      </c>
      <c r="G515" t="b">
        <v>0</v>
      </c>
      <c r="H515">
        <v>0</v>
      </c>
      <c r="I515">
        <v>1</v>
      </c>
      <c r="J515">
        <v>0.16</v>
      </c>
      <c r="K515">
        <v>0.1212</v>
      </c>
      <c r="L515">
        <v>0.37</v>
      </c>
      <c r="M515">
        <v>0.4627</v>
      </c>
      <c r="N515">
        <v>24</v>
      </c>
      <c r="O515">
        <v>92</v>
      </c>
      <c r="P515">
        <v>116</v>
      </c>
    </row>
    <row r="516" spans="1:16">
      <c r="A516">
        <v>515</v>
      </c>
      <c r="B516" s="2">
        <v>40566</v>
      </c>
      <c r="C516">
        <v>1</v>
      </c>
      <c r="D516">
        <v>0</v>
      </c>
      <c r="E516">
        <v>1</v>
      </c>
      <c r="F516">
        <v>13</v>
      </c>
      <c r="G516" t="b">
        <v>0</v>
      </c>
      <c r="H516">
        <v>0</v>
      </c>
      <c r="I516">
        <v>1</v>
      </c>
      <c r="J516">
        <v>0.14000000000000001</v>
      </c>
      <c r="K516">
        <v>0.1061</v>
      </c>
      <c r="L516">
        <v>0.33</v>
      </c>
      <c r="M516">
        <v>0.3881</v>
      </c>
      <c r="N516">
        <v>12</v>
      </c>
      <c r="O516">
        <v>75</v>
      </c>
      <c r="P516">
        <v>87</v>
      </c>
    </row>
    <row r="517" spans="1:16">
      <c r="A517">
        <v>516</v>
      </c>
      <c r="B517" s="2">
        <v>40566</v>
      </c>
      <c r="C517">
        <v>1</v>
      </c>
      <c r="D517">
        <v>0</v>
      </c>
      <c r="E517">
        <v>1</v>
      </c>
      <c r="F517">
        <v>14</v>
      </c>
      <c r="G517" t="b">
        <v>0</v>
      </c>
      <c r="H517">
        <v>0</v>
      </c>
      <c r="I517">
        <v>1</v>
      </c>
      <c r="J517">
        <v>0.16</v>
      </c>
      <c r="K517">
        <v>0.13639999999999999</v>
      </c>
      <c r="L517">
        <v>0.28000000000000003</v>
      </c>
      <c r="M517">
        <v>0.35820000000000002</v>
      </c>
      <c r="N517">
        <v>17</v>
      </c>
      <c r="O517">
        <v>93</v>
      </c>
      <c r="P517">
        <v>110</v>
      </c>
    </row>
    <row r="518" spans="1:16">
      <c r="A518">
        <v>517</v>
      </c>
      <c r="B518" s="2">
        <v>40566</v>
      </c>
      <c r="C518">
        <v>1</v>
      </c>
      <c r="D518">
        <v>0</v>
      </c>
      <c r="E518">
        <v>1</v>
      </c>
      <c r="F518">
        <v>15</v>
      </c>
      <c r="G518" t="b">
        <v>0</v>
      </c>
      <c r="H518">
        <v>0</v>
      </c>
      <c r="I518">
        <v>1</v>
      </c>
      <c r="J518">
        <v>0.16</v>
      </c>
      <c r="K518">
        <v>0.13639999999999999</v>
      </c>
      <c r="L518">
        <v>0.28000000000000003</v>
      </c>
      <c r="M518">
        <v>0.35820000000000002</v>
      </c>
      <c r="N518">
        <v>13</v>
      </c>
      <c r="O518">
        <v>64</v>
      </c>
      <c r="P518">
        <v>77</v>
      </c>
    </row>
    <row r="519" spans="1:16">
      <c r="A519">
        <v>518</v>
      </c>
      <c r="B519" s="2">
        <v>40566</v>
      </c>
      <c r="C519">
        <v>1</v>
      </c>
      <c r="D519">
        <v>0</v>
      </c>
      <c r="E519">
        <v>1</v>
      </c>
      <c r="F519">
        <v>16</v>
      </c>
      <c r="G519" t="b">
        <v>0</v>
      </c>
      <c r="H519">
        <v>0</v>
      </c>
      <c r="I519">
        <v>1</v>
      </c>
      <c r="J519">
        <v>0.16</v>
      </c>
      <c r="K519">
        <v>0.13639999999999999</v>
      </c>
      <c r="L519">
        <v>0.26</v>
      </c>
      <c r="M519">
        <v>0.32840000000000003</v>
      </c>
      <c r="N519">
        <v>9</v>
      </c>
      <c r="O519">
        <v>56</v>
      </c>
      <c r="P519">
        <v>65</v>
      </c>
    </row>
    <row r="520" spans="1:16">
      <c r="A520">
        <v>519</v>
      </c>
      <c r="B520" s="2">
        <v>40566</v>
      </c>
      <c r="C520">
        <v>1</v>
      </c>
      <c r="D520">
        <v>0</v>
      </c>
      <c r="E520">
        <v>1</v>
      </c>
      <c r="F520">
        <v>17</v>
      </c>
      <c r="G520" t="b">
        <v>0</v>
      </c>
      <c r="H520">
        <v>0</v>
      </c>
      <c r="I520">
        <v>1</v>
      </c>
      <c r="J520">
        <v>0.14000000000000001</v>
      </c>
      <c r="K520">
        <v>0.1061</v>
      </c>
      <c r="L520">
        <v>0.26</v>
      </c>
      <c r="M520">
        <v>0.3881</v>
      </c>
      <c r="N520">
        <v>5</v>
      </c>
      <c r="O520">
        <v>50</v>
      </c>
      <c r="P520">
        <v>55</v>
      </c>
    </row>
    <row r="521" spans="1:16">
      <c r="A521">
        <v>520</v>
      </c>
      <c r="B521" s="2">
        <v>40566</v>
      </c>
      <c r="C521">
        <v>1</v>
      </c>
      <c r="D521">
        <v>0</v>
      </c>
      <c r="E521">
        <v>1</v>
      </c>
      <c r="F521">
        <v>18</v>
      </c>
      <c r="G521" t="b">
        <v>0</v>
      </c>
      <c r="H521">
        <v>0</v>
      </c>
      <c r="I521">
        <v>1</v>
      </c>
      <c r="J521">
        <v>0.12</v>
      </c>
      <c r="K521">
        <v>0.1212</v>
      </c>
      <c r="L521">
        <v>0.3</v>
      </c>
      <c r="M521">
        <v>0.25369999999999998</v>
      </c>
      <c r="N521">
        <v>5</v>
      </c>
      <c r="O521">
        <v>44</v>
      </c>
      <c r="P521">
        <v>49</v>
      </c>
    </row>
    <row r="522" spans="1:16">
      <c r="A522">
        <v>521</v>
      </c>
      <c r="B522" s="2">
        <v>40566</v>
      </c>
      <c r="C522">
        <v>1</v>
      </c>
      <c r="D522">
        <v>0</v>
      </c>
      <c r="E522">
        <v>1</v>
      </c>
      <c r="F522">
        <v>19</v>
      </c>
      <c r="G522" t="b">
        <v>0</v>
      </c>
      <c r="H522">
        <v>0</v>
      </c>
      <c r="I522">
        <v>1</v>
      </c>
      <c r="J522">
        <v>0.12</v>
      </c>
      <c r="K522">
        <v>0.1212</v>
      </c>
      <c r="L522">
        <v>0.3</v>
      </c>
      <c r="M522">
        <v>0.28360000000000002</v>
      </c>
      <c r="N522">
        <v>5</v>
      </c>
      <c r="O522">
        <v>45</v>
      </c>
      <c r="P522">
        <v>50</v>
      </c>
    </row>
    <row r="523" spans="1:16">
      <c r="A523">
        <v>522</v>
      </c>
      <c r="B523" s="2">
        <v>40566</v>
      </c>
      <c r="C523">
        <v>1</v>
      </c>
      <c r="D523">
        <v>0</v>
      </c>
      <c r="E523">
        <v>1</v>
      </c>
      <c r="F523">
        <v>20</v>
      </c>
      <c r="G523" t="b">
        <v>0</v>
      </c>
      <c r="H523">
        <v>0</v>
      </c>
      <c r="I523">
        <v>1</v>
      </c>
      <c r="J523">
        <v>0.1</v>
      </c>
      <c r="K523">
        <v>0.1061</v>
      </c>
      <c r="L523">
        <v>0.36</v>
      </c>
      <c r="M523">
        <v>0.25369999999999998</v>
      </c>
      <c r="N523">
        <v>4</v>
      </c>
      <c r="O523">
        <v>31</v>
      </c>
      <c r="P523">
        <v>35</v>
      </c>
    </row>
    <row r="524" spans="1:16">
      <c r="A524">
        <v>523</v>
      </c>
      <c r="B524" s="2">
        <v>40566</v>
      </c>
      <c r="C524">
        <v>1</v>
      </c>
      <c r="D524">
        <v>0</v>
      </c>
      <c r="E524">
        <v>1</v>
      </c>
      <c r="F524">
        <v>21</v>
      </c>
      <c r="G524" t="b">
        <v>0</v>
      </c>
      <c r="H524">
        <v>0</v>
      </c>
      <c r="I524">
        <v>1</v>
      </c>
      <c r="J524">
        <v>0.1</v>
      </c>
      <c r="K524">
        <v>0.1061</v>
      </c>
      <c r="L524">
        <v>0.36</v>
      </c>
      <c r="M524">
        <v>0.19400000000000001</v>
      </c>
      <c r="N524">
        <v>5</v>
      </c>
      <c r="O524">
        <v>20</v>
      </c>
      <c r="P524">
        <v>25</v>
      </c>
    </row>
    <row r="525" spans="1:16">
      <c r="A525">
        <v>524</v>
      </c>
      <c r="B525" s="2">
        <v>40566</v>
      </c>
      <c r="C525">
        <v>1</v>
      </c>
      <c r="D525">
        <v>0</v>
      </c>
      <c r="E525">
        <v>1</v>
      </c>
      <c r="F525">
        <v>22</v>
      </c>
      <c r="G525" t="b">
        <v>0</v>
      </c>
      <c r="H525">
        <v>0</v>
      </c>
      <c r="I525">
        <v>1</v>
      </c>
      <c r="J525">
        <v>0.08</v>
      </c>
      <c r="K525">
        <v>9.0899999999999995E-2</v>
      </c>
      <c r="L525">
        <v>0.38</v>
      </c>
      <c r="M525">
        <v>0.19400000000000001</v>
      </c>
      <c r="N525">
        <v>5</v>
      </c>
      <c r="O525">
        <v>23</v>
      </c>
      <c r="P525">
        <v>28</v>
      </c>
    </row>
    <row r="526" spans="1:16">
      <c r="A526">
        <v>525</v>
      </c>
      <c r="B526" s="2">
        <v>40566</v>
      </c>
      <c r="C526">
        <v>1</v>
      </c>
      <c r="D526">
        <v>0</v>
      </c>
      <c r="E526">
        <v>1</v>
      </c>
      <c r="F526">
        <v>23</v>
      </c>
      <c r="G526" t="b">
        <v>0</v>
      </c>
      <c r="H526">
        <v>0</v>
      </c>
      <c r="I526">
        <v>1</v>
      </c>
      <c r="J526">
        <v>0.06</v>
      </c>
      <c r="K526">
        <v>6.0600000000000001E-2</v>
      </c>
      <c r="L526">
        <v>0.41</v>
      </c>
      <c r="M526">
        <v>0.22389999999999999</v>
      </c>
      <c r="N526">
        <v>4</v>
      </c>
      <c r="O526">
        <v>17</v>
      </c>
      <c r="P526">
        <v>21</v>
      </c>
    </row>
    <row r="527" spans="1:16">
      <c r="A527">
        <v>526</v>
      </c>
      <c r="B527" s="2">
        <v>40567</v>
      </c>
      <c r="C527">
        <v>1</v>
      </c>
      <c r="D527">
        <v>0</v>
      </c>
      <c r="E527">
        <v>1</v>
      </c>
      <c r="F527">
        <v>0</v>
      </c>
      <c r="G527" t="b">
        <v>0</v>
      </c>
      <c r="H527">
        <v>1</v>
      </c>
      <c r="I527">
        <v>1</v>
      </c>
      <c r="J527">
        <v>0.06</v>
      </c>
      <c r="K527">
        <v>6.0600000000000001E-2</v>
      </c>
      <c r="L527">
        <v>0.41</v>
      </c>
      <c r="M527">
        <v>0.19400000000000001</v>
      </c>
      <c r="N527">
        <v>0</v>
      </c>
      <c r="O527">
        <v>7</v>
      </c>
      <c r="P527">
        <v>7</v>
      </c>
    </row>
    <row r="528" spans="1:16">
      <c r="A528">
        <v>527</v>
      </c>
      <c r="B528" s="2">
        <v>40567</v>
      </c>
      <c r="C528">
        <v>1</v>
      </c>
      <c r="D528">
        <v>0</v>
      </c>
      <c r="E528">
        <v>1</v>
      </c>
      <c r="F528">
        <v>1</v>
      </c>
      <c r="G528" t="b">
        <v>0</v>
      </c>
      <c r="H528">
        <v>1</v>
      </c>
      <c r="I528">
        <v>1</v>
      </c>
      <c r="J528">
        <v>0.04</v>
      </c>
      <c r="K528">
        <v>4.5499999999999999E-2</v>
      </c>
      <c r="L528">
        <v>0.45</v>
      </c>
      <c r="M528">
        <v>0.19400000000000001</v>
      </c>
      <c r="N528">
        <v>0</v>
      </c>
      <c r="O528">
        <v>1</v>
      </c>
      <c r="P528">
        <v>1</v>
      </c>
    </row>
    <row r="529" spans="1:16">
      <c r="A529">
        <v>528</v>
      </c>
      <c r="B529" s="2">
        <v>40567</v>
      </c>
      <c r="C529">
        <v>1</v>
      </c>
      <c r="D529">
        <v>0</v>
      </c>
      <c r="E529">
        <v>1</v>
      </c>
      <c r="F529">
        <v>3</v>
      </c>
      <c r="G529" t="b">
        <v>0</v>
      </c>
      <c r="H529">
        <v>1</v>
      </c>
      <c r="I529">
        <v>1</v>
      </c>
      <c r="J529">
        <v>0.04</v>
      </c>
      <c r="K529">
        <v>3.0300000000000001E-2</v>
      </c>
      <c r="L529">
        <v>0.45</v>
      </c>
      <c r="M529">
        <v>0.25369999999999998</v>
      </c>
      <c r="N529">
        <v>0</v>
      </c>
      <c r="O529">
        <v>1</v>
      </c>
      <c r="P529">
        <v>1</v>
      </c>
    </row>
    <row r="530" spans="1:16">
      <c r="A530">
        <v>529</v>
      </c>
      <c r="B530" s="2">
        <v>40567</v>
      </c>
      <c r="C530">
        <v>1</v>
      </c>
      <c r="D530">
        <v>0</v>
      </c>
      <c r="E530">
        <v>1</v>
      </c>
      <c r="F530">
        <v>4</v>
      </c>
      <c r="G530" t="b">
        <v>0</v>
      </c>
      <c r="H530">
        <v>1</v>
      </c>
      <c r="I530">
        <v>1</v>
      </c>
      <c r="J530">
        <v>0.02</v>
      </c>
      <c r="K530">
        <v>6.0600000000000001E-2</v>
      </c>
      <c r="L530">
        <v>0.48</v>
      </c>
      <c r="M530">
        <v>0.1343</v>
      </c>
      <c r="N530">
        <v>0</v>
      </c>
      <c r="O530">
        <v>1</v>
      </c>
      <c r="P530">
        <v>1</v>
      </c>
    </row>
    <row r="531" spans="1:16">
      <c r="A531">
        <v>530</v>
      </c>
      <c r="B531" s="2">
        <v>40567</v>
      </c>
      <c r="C531">
        <v>1</v>
      </c>
      <c r="D531">
        <v>0</v>
      </c>
      <c r="E531">
        <v>1</v>
      </c>
      <c r="F531">
        <v>5</v>
      </c>
      <c r="G531" t="b">
        <v>0</v>
      </c>
      <c r="H531">
        <v>1</v>
      </c>
      <c r="I531">
        <v>1</v>
      </c>
      <c r="J531">
        <v>0.02</v>
      </c>
      <c r="K531">
        <v>6.0600000000000001E-2</v>
      </c>
      <c r="L531">
        <v>0.48</v>
      </c>
      <c r="M531">
        <v>0.1343</v>
      </c>
      <c r="N531">
        <v>0</v>
      </c>
      <c r="O531">
        <v>5</v>
      </c>
      <c r="P531">
        <v>5</v>
      </c>
    </row>
    <row r="532" spans="1:16">
      <c r="A532">
        <v>531</v>
      </c>
      <c r="B532" s="2">
        <v>40567</v>
      </c>
      <c r="C532">
        <v>1</v>
      </c>
      <c r="D532">
        <v>0</v>
      </c>
      <c r="E532">
        <v>1</v>
      </c>
      <c r="F532">
        <v>6</v>
      </c>
      <c r="G532" t="b">
        <v>0</v>
      </c>
      <c r="H532">
        <v>1</v>
      </c>
      <c r="I532">
        <v>1</v>
      </c>
      <c r="J532">
        <v>0.02</v>
      </c>
      <c r="K532">
        <v>7.5800000000000006E-2</v>
      </c>
      <c r="L532">
        <v>0.48</v>
      </c>
      <c r="M532">
        <v>8.9599999999999999E-2</v>
      </c>
      <c r="N532">
        <v>0</v>
      </c>
      <c r="O532">
        <v>15</v>
      </c>
      <c r="P532">
        <v>15</v>
      </c>
    </row>
    <row r="533" spans="1:16">
      <c r="A533">
        <v>532</v>
      </c>
      <c r="B533" s="2">
        <v>40567</v>
      </c>
      <c r="C533">
        <v>1</v>
      </c>
      <c r="D533">
        <v>0</v>
      </c>
      <c r="E533">
        <v>1</v>
      </c>
      <c r="F533">
        <v>7</v>
      </c>
      <c r="G533" t="b">
        <v>0</v>
      </c>
      <c r="H533">
        <v>1</v>
      </c>
      <c r="I533">
        <v>1</v>
      </c>
      <c r="J533">
        <v>0.02</v>
      </c>
      <c r="K533">
        <v>0.1212</v>
      </c>
      <c r="L533">
        <v>0.48</v>
      </c>
      <c r="M533">
        <v>0</v>
      </c>
      <c r="N533">
        <v>5</v>
      </c>
      <c r="O533">
        <v>79</v>
      </c>
      <c r="P533">
        <v>84</v>
      </c>
    </row>
    <row r="534" spans="1:16">
      <c r="A534">
        <v>533</v>
      </c>
      <c r="B534" s="2">
        <v>40567</v>
      </c>
      <c r="C534">
        <v>1</v>
      </c>
      <c r="D534">
        <v>0</v>
      </c>
      <c r="E534">
        <v>1</v>
      </c>
      <c r="F534">
        <v>8</v>
      </c>
      <c r="G534" t="b">
        <v>0</v>
      </c>
      <c r="H534">
        <v>1</v>
      </c>
      <c r="I534">
        <v>1</v>
      </c>
      <c r="J534">
        <v>0.04</v>
      </c>
      <c r="K534">
        <v>0.13639999999999999</v>
      </c>
      <c r="L534">
        <v>0.49</v>
      </c>
      <c r="M534">
        <v>0</v>
      </c>
      <c r="N534">
        <v>6</v>
      </c>
      <c r="O534">
        <v>171</v>
      </c>
      <c r="P534">
        <v>177</v>
      </c>
    </row>
    <row r="535" spans="1:16">
      <c r="A535">
        <v>534</v>
      </c>
      <c r="B535" s="2">
        <v>40567</v>
      </c>
      <c r="C535">
        <v>1</v>
      </c>
      <c r="D535">
        <v>0</v>
      </c>
      <c r="E535">
        <v>1</v>
      </c>
      <c r="F535">
        <v>9</v>
      </c>
      <c r="G535" t="b">
        <v>0</v>
      </c>
      <c r="H535">
        <v>1</v>
      </c>
      <c r="I535">
        <v>1</v>
      </c>
      <c r="J535">
        <v>0.06</v>
      </c>
      <c r="K535">
        <v>0.1515</v>
      </c>
      <c r="L535">
        <v>0.41</v>
      </c>
      <c r="M535">
        <v>0</v>
      </c>
      <c r="N535">
        <v>4</v>
      </c>
      <c r="O535">
        <v>98</v>
      </c>
      <c r="P535">
        <v>102</v>
      </c>
    </row>
    <row r="536" spans="1:16">
      <c r="A536">
        <v>535</v>
      </c>
      <c r="B536" s="2">
        <v>40567</v>
      </c>
      <c r="C536">
        <v>1</v>
      </c>
      <c r="D536">
        <v>0</v>
      </c>
      <c r="E536">
        <v>1</v>
      </c>
      <c r="F536">
        <v>10</v>
      </c>
      <c r="G536" t="b">
        <v>0</v>
      </c>
      <c r="H536">
        <v>1</v>
      </c>
      <c r="I536">
        <v>1</v>
      </c>
      <c r="J536">
        <v>0.1</v>
      </c>
      <c r="K536">
        <v>0.13639999999999999</v>
      </c>
      <c r="L536">
        <v>0.42</v>
      </c>
      <c r="M536">
        <v>0</v>
      </c>
      <c r="N536">
        <v>6</v>
      </c>
      <c r="O536">
        <v>34</v>
      </c>
      <c r="P536">
        <v>40</v>
      </c>
    </row>
    <row r="537" spans="1:16">
      <c r="A537">
        <v>536</v>
      </c>
      <c r="B537" s="2">
        <v>40567</v>
      </c>
      <c r="C537">
        <v>1</v>
      </c>
      <c r="D537">
        <v>0</v>
      </c>
      <c r="E537">
        <v>1</v>
      </c>
      <c r="F537">
        <v>11</v>
      </c>
      <c r="G537" t="b">
        <v>0</v>
      </c>
      <c r="H537">
        <v>1</v>
      </c>
      <c r="I537">
        <v>1</v>
      </c>
      <c r="J537">
        <v>0.1</v>
      </c>
      <c r="K537">
        <v>0.1212</v>
      </c>
      <c r="L537">
        <v>0.46</v>
      </c>
      <c r="M537">
        <v>0.1343</v>
      </c>
      <c r="N537">
        <v>3</v>
      </c>
      <c r="O537">
        <v>43</v>
      </c>
      <c r="P537">
        <v>46</v>
      </c>
    </row>
    <row r="538" spans="1:16">
      <c r="A538">
        <v>537</v>
      </c>
      <c r="B538" s="2">
        <v>40567</v>
      </c>
      <c r="C538">
        <v>1</v>
      </c>
      <c r="D538">
        <v>0</v>
      </c>
      <c r="E538">
        <v>1</v>
      </c>
      <c r="F538">
        <v>12</v>
      </c>
      <c r="G538" t="b">
        <v>0</v>
      </c>
      <c r="H538">
        <v>1</v>
      </c>
      <c r="I538">
        <v>2</v>
      </c>
      <c r="J538">
        <v>0.12</v>
      </c>
      <c r="K538">
        <v>0.13639999999999999</v>
      </c>
      <c r="L538">
        <v>0.42</v>
      </c>
      <c r="M538">
        <v>0.19400000000000001</v>
      </c>
      <c r="N538">
        <v>11</v>
      </c>
      <c r="O538">
        <v>52</v>
      </c>
      <c r="P538">
        <v>63</v>
      </c>
    </row>
    <row r="539" spans="1:16">
      <c r="A539">
        <v>538</v>
      </c>
      <c r="B539" s="2">
        <v>40567</v>
      </c>
      <c r="C539">
        <v>1</v>
      </c>
      <c r="D539">
        <v>0</v>
      </c>
      <c r="E539">
        <v>1</v>
      </c>
      <c r="F539">
        <v>13</v>
      </c>
      <c r="G539" t="b">
        <v>0</v>
      </c>
      <c r="H539">
        <v>1</v>
      </c>
      <c r="I539">
        <v>2</v>
      </c>
      <c r="J539">
        <v>0.14000000000000001</v>
      </c>
      <c r="K539">
        <v>0.13639999999999999</v>
      </c>
      <c r="L539">
        <v>0.43</v>
      </c>
      <c r="M539">
        <v>0.22389999999999999</v>
      </c>
      <c r="N539">
        <v>6</v>
      </c>
      <c r="O539">
        <v>54</v>
      </c>
      <c r="P539">
        <v>60</v>
      </c>
    </row>
    <row r="540" spans="1:16">
      <c r="A540">
        <v>539</v>
      </c>
      <c r="B540" s="2">
        <v>40567</v>
      </c>
      <c r="C540">
        <v>1</v>
      </c>
      <c r="D540">
        <v>0</v>
      </c>
      <c r="E540">
        <v>1</v>
      </c>
      <c r="F540">
        <v>14</v>
      </c>
      <c r="G540" t="b">
        <v>0</v>
      </c>
      <c r="H540">
        <v>1</v>
      </c>
      <c r="I540">
        <v>2</v>
      </c>
      <c r="J540">
        <v>0.14000000000000001</v>
      </c>
      <c r="K540">
        <v>0.13639999999999999</v>
      </c>
      <c r="L540">
        <v>0.46</v>
      </c>
      <c r="M540">
        <v>0.22389999999999999</v>
      </c>
      <c r="N540">
        <v>2</v>
      </c>
      <c r="O540">
        <v>43</v>
      </c>
      <c r="P540">
        <v>45</v>
      </c>
    </row>
    <row r="541" spans="1:16">
      <c r="A541">
        <v>540</v>
      </c>
      <c r="B541" s="2">
        <v>40567</v>
      </c>
      <c r="C541">
        <v>1</v>
      </c>
      <c r="D541">
        <v>0</v>
      </c>
      <c r="E541">
        <v>1</v>
      </c>
      <c r="F541">
        <v>15</v>
      </c>
      <c r="G541" t="b">
        <v>0</v>
      </c>
      <c r="H541">
        <v>1</v>
      </c>
      <c r="I541">
        <v>1</v>
      </c>
      <c r="J541">
        <v>0.16</v>
      </c>
      <c r="K541">
        <v>0.16669999999999999</v>
      </c>
      <c r="L541">
        <v>0.4</v>
      </c>
      <c r="M541">
        <v>0.16420000000000001</v>
      </c>
      <c r="N541">
        <v>7</v>
      </c>
      <c r="O541">
        <v>50</v>
      </c>
      <c r="P541">
        <v>57</v>
      </c>
    </row>
    <row r="542" spans="1:16">
      <c r="A542">
        <v>541</v>
      </c>
      <c r="B542" s="2">
        <v>40567</v>
      </c>
      <c r="C542">
        <v>1</v>
      </c>
      <c r="D542">
        <v>0</v>
      </c>
      <c r="E542">
        <v>1</v>
      </c>
      <c r="F542">
        <v>16</v>
      </c>
      <c r="G542" t="b">
        <v>0</v>
      </c>
      <c r="H542">
        <v>1</v>
      </c>
      <c r="I542">
        <v>1</v>
      </c>
      <c r="J542">
        <v>0.16</v>
      </c>
      <c r="K542">
        <v>0.1515</v>
      </c>
      <c r="L542">
        <v>0.47</v>
      </c>
      <c r="M542">
        <v>0.25369999999999998</v>
      </c>
      <c r="N542">
        <v>4</v>
      </c>
      <c r="O542">
        <v>66</v>
      </c>
      <c r="P542">
        <v>70</v>
      </c>
    </row>
    <row r="543" spans="1:16">
      <c r="A543">
        <v>542</v>
      </c>
      <c r="B543" s="2">
        <v>40567</v>
      </c>
      <c r="C543">
        <v>1</v>
      </c>
      <c r="D543">
        <v>0</v>
      </c>
      <c r="E543">
        <v>1</v>
      </c>
      <c r="F543">
        <v>17</v>
      </c>
      <c r="G543" t="b">
        <v>0</v>
      </c>
      <c r="H543">
        <v>1</v>
      </c>
      <c r="I543">
        <v>1</v>
      </c>
      <c r="J543">
        <v>0.14000000000000001</v>
      </c>
      <c r="K543">
        <v>0.1212</v>
      </c>
      <c r="L543">
        <v>0.5</v>
      </c>
      <c r="M543">
        <v>0.25369999999999998</v>
      </c>
      <c r="N543">
        <v>6</v>
      </c>
      <c r="O543">
        <v>178</v>
      </c>
      <c r="P543">
        <v>184</v>
      </c>
    </row>
    <row r="544" spans="1:16">
      <c r="A544">
        <v>543</v>
      </c>
      <c r="B544" s="2">
        <v>40567</v>
      </c>
      <c r="C544">
        <v>1</v>
      </c>
      <c r="D544">
        <v>0</v>
      </c>
      <c r="E544">
        <v>1</v>
      </c>
      <c r="F544">
        <v>18</v>
      </c>
      <c r="G544" t="b">
        <v>0</v>
      </c>
      <c r="H544">
        <v>1</v>
      </c>
      <c r="I544">
        <v>1</v>
      </c>
      <c r="J544">
        <v>0.14000000000000001</v>
      </c>
      <c r="K544">
        <v>0.13639999999999999</v>
      </c>
      <c r="L544">
        <v>0.59</v>
      </c>
      <c r="M544">
        <v>0.19400000000000001</v>
      </c>
      <c r="N544">
        <v>8</v>
      </c>
      <c r="O544">
        <v>145</v>
      </c>
      <c r="P544">
        <v>153</v>
      </c>
    </row>
    <row r="545" spans="1:16">
      <c r="A545">
        <v>544</v>
      </c>
      <c r="B545" s="2">
        <v>40567</v>
      </c>
      <c r="C545">
        <v>1</v>
      </c>
      <c r="D545">
        <v>0</v>
      </c>
      <c r="E545">
        <v>1</v>
      </c>
      <c r="F545">
        <v>19</v>
      </c>
      <c r="G545" t="b">
        <v>0</v>
      </c>
      <c r="H545">
        <v>1</v>
      </c>
      <c r="I545">
        <v>1</v>
      </c>
      <c r="J545">
        <v>0.14000000000000001</v>
      </c>
      <c r="K545">
        <v>0.1515</v>
      </c>
      <c r="L545">
        <v>0.54</v>
      </c>
      <c r="M545">
        <v>0.16420000000000001</v>
      </c>
      <c r="N545">
        <v>5</v>
      </c>
      <c r="O545">
        <v>101</v>
      </c>
      <c r="P545">
        <v>106</v>
      </c>
    </row>
    <row r="546" spans="1:16">
      <c r="A546">
        <v>545</v>
      </c>
      <c r="B546" s="2">
        <v>40567</v>
      </c>
      <c r="C546">
        <v>1</v>
      </c>
      <c r="D546">
        <v>0</v>
      </c>
      <c r="E546">
        <v>1</v>
      </c>
      <c r="F546">
        <v>20</v>
      </c>
      <c r="G546" t="b">
        <v>0</v>
      </c>
      <c r="H546">
        <v>1</v>
      </c>
      <c r="I546">
        <v>1</v>
      </c>
      <c r="J546">
        <v>0.14000000000000001</v>
      </c>
      <c r="K546">
        <v>0.13639999999999999</v>
      </c>
      <c r="L546">
        <v>0.59</v>
      </c>
      <c r="M546">
        <v>0.19400000000000001</v>
      </c>
      <c r="N546">
        <v>1</v>
      </c>
      <c r="O546">
        <v>80</v>
      </c>
      <c r="P546">
        <v>81</v>
      </c>
    </row>
    <row r="547" spans="1:16">
      <c r="A547">
        <v>546</v>
      </c>
      <c r="B547" s="2">
        <v>40567</v>
      </c>
      <c r="C547">
        <v>1</v>
      </c>
      <c r="D547">
        <v>0</v>
      </c>
      <c r="E547">
        <v>1</v>
      </c>
      <c r="F547">
        <v>21</v>
      </c>
      <c r="G547" t="b">
        <v>0</v>
      </c>
      <c r="H547">
        <v>1</v>
      </c>
      <c r="I547">
        <v>1</v>
      </c>
      <c r="J547">
        <v>0.14000000000000001</v>
      </c>
      <c r="K547">
        <v>0.1515</v>
      </c>
      <c r="L547">
        <v>0.63</v>
      </c>
      <c r="M547">
        <v>0.16420000000000001</v>
      </c>
      <c r="N547">
        <v>6</v>
      </c>
      <c r="O547">
        <v>53</v>
      </c>
      <c r="P547">
        <v>59</v>
      </c>
    </row>
    <row r="548" spans="1:16">
      <c r="A548">
        <v>547</v>
      </c>
      <c r="B548" s="2">
        <v>40567</v>
      </c>
      <c r="C548">
        <v>1</v>
      </c>
      <c r="D548">
        <v>0</v>
      </c>
      <c r="E548">
        <v>1</v>
      </c>
      <c r="F548">
        <v>22</v>
      </c>
      <c r="G548" t="b">
        <v>0</v>
      </c>
      <c r="H548">
        <v>1</v>
      </c>
      <c r="I548">
        <v>2</v>
      </c>
      <c r="J548">
        <v>0.14000000000000001</v>
      </c>
      <c r="K548">
        <v>0.13639999999999999</v>
      </c>
      <c r="L548">
        <v>0.63</v>
      </c>
      <c r="M548">
        <v>0.22389999999999999</v>
      </c>
      <c r="N548">
        <v>3</v>
      </c>
      <c r="O548">
        <v>32</v>
      </c>
      <c r="P548">
        <v>35</v>
      </c>
    </row>
    <row r="549" spans="1:16">
      <c r="A549">
        <v>548</v>
      </c>
      <c r="B549" s="2">
        <v>40567</v>
      </c>
      <c r="C549">
        <v>1</v>
      </c>
      <c r="D549">
        <v>0</v>
      </c>
      <c r="E549">
        <v>1</v>
      </c>
      <c r="F549">
        <v>23</v>
      </c>
      <c r="G549" t="b">
        <v>0</v>
      </c>
      <c r="H549">
        <v>1</v>
      </c>
      <c r="I549">
        <v>2</v>
      </c>
      <c r="J549">
        <v>0.16</v>
      </c>
      <c r="K549">
        <v>0.1515</v>
      </c>
      <c r="L549">
        <v>0.64</v>
      </c>
      <c r="M549">
        <v>0.25369999999999998</v>
      </c>
      <c r="N549">
        <v>3</v>
      </c>
      <c r="O549">
        <v>21</v>
      </c>
      <c r="P549">
        <v>24</v>
      </c>
    </row>
    <row r="550" spans="1:16">
      <c r="A550">
        <v>549</v>
      </c>
      <c r="B550" s="2">
        <v>40568</v>
      </c>
      <c r="C550">
        <v>1</v>
      </c>
      <c r="D550">
        <v>0</v>
      </c>
      <c r="E550">
        <v>1</v>
      </c>
      <c r="F550">
        <v>0</v>
      </c>
      <c r="G550" t="b">
        <v>0</v>
      </c>
      <c r="H550">
        <v>2</v>
      </c>
      <c r="I550">
        <v>2</v>
      </c>
      <c r="J550">
        <v>0.16</v>
      </c>
      <c r="K550">
        <v>0.13639999999999999</v>
      </c>
      <c r="L550">
        <v>0.69</v>
      </c>
      <c r="M550">
        <v>0.28360000000000002</v>
      </c>
      <c r="N550">
        <v>3</v>
      </c>
      <c r="O550">
        <v>6</v>
      </c>
      <c r="P550">
        <v>9</v>
      </c>
    </row>
    <row r="551" spans="1:16">
      <c r="A551">
        <v>550</v>
      </c>
      <c r="B551" s="2">
        <v>40568</v>
      </c>
      <c r="C551">
        <v>1</v>
      </c>
      <c r="D551">
        <v>0</v>
      </c>
      <c r="E551">
        <v>1</v>
      </c>
      <c r="F551">
        <v>1</v>
      </c>
      <c r="G551" t="b">
        <v>0</v>
      </c>
      <c r="H551">
        <v>2</v>
      </c>
      <c r="I551">
        <v>2</v>
      </c>
      <c r="J551">
        <v>0.16</v>
      </c>
      <c r="K551">
        <v>0.16669999999999999</v>
      </c>
      <c r="L551">
        <v>0.69</v>
      </c>
      <c r="M551">
        <v>0.16420000000000001</v>
      </c>
      <c r="N551">
        <v>0</v>
      </c>
      <c r="O551">
        <v>5</v>
      </c>
      <c r="P551">
        <v>5</v>
      </c>
    </row>
    <row r="552" spans="1:16">
      <c r="A552">
        <v>551</v>
      </c>
      <c r="B552" s="2">
        <v>40568</v>
      </c>
      <c r="C552">
        <v>1</v>
      </c>
      <c r="D552">
        <v>0</v>
      </c>
      <c r="E552">
        <v>1</v>
      </c>
      <c r="F552">
        <v>2</v>
      </c>
      <c r="G552" t="b">
        <v>0</v>
      </c>
      <c r="H552">
        <v>2</v>
      </c>
      <c r="I552">
        <v>1</v>
      </c>
      <c r="J552">
        <v>0.16</v>
      </c>
      <c r="K552">
        <v>0.1515</v>
      </c>
      <c r="L552">
        <v>0.69</v>
      </c>
      <c r="M552">
        <v>0.22389999999999999</v>
      </c>
      <c r="N552">
        <v>0</v>
      </c>
      <c r="O552">
        <v>2</v>
      </c>
      <c r="P552">
        <v>2</v>
      </c>
    </row>
    <row r="553" spans="1:16">
      <c r="A553">
        <v>552</v>
      </c>
      <c r="B553" s="2">
        <v>40568</v>
      </c>
      <c r="C553">
        <v>1</v>
      </c>
      <c r="D553">
        <v>0</v>
      </c>
      <c r="E553">
        <v>1</v>
      </c>
      <c r="F553">
        <v>4</v>
      </c>
      <c r="G553" t="b">
        <v>0</v>
      </c>
      <c r="H553">
        <v>2</v>
      </c>
      <c r="I553">
        <v>1</v>
      </c>
      <c r="J553">
        <v>0.14000000000000001</v>
      </c>
      <c r="K553">
        <v>0.16669999999999999</v>
      </c>
      <c r="L553">
        <v>0.74</v>
      </c>
      <c r="M553">
        <v>0.1045</v>
      </c>
      <c r="N553">
        <v>0</v>
      </c>
      <c r="O553">
        <v>1</v>
      </c>
      <c r="P553">
        <v>1</v>
      </c>
    </row>
    <row r="554" spans="1:16">
      <c r="A554">
        <v>553</v>
      </c>
      <c r="B554" s="2">
        <v>40568</v>
      </c>
      <c r="C554">
        <v>1</v>
      </c>
      <c r="D554">
        <v>0</v>
      </c>
      <c r="E554">
        <v>1</v>
      </c>
      <c r="F554">
        <v>5</v>
      </c>
      <c r="G554" t="b">
        <v>0</v>
      </c>
      <c r="H554">
        <v>2</v>
      </c>
      <c r="I554">
        <v>1</v>
      </c>
      <c r="J554">
        <v>0.14000000000000001</v>
      </c>
      <c r="K554">
        <v>0.13639999999999999</v>
      </c>
      <c r="L554">
        <v>0.74</v>
      </c>
      <c r="M554">
        <v>0.22389999999999999</v>
      </c>
      <c r="N554">
        <v>0</v>
      </c>
      <c r="O554">
        <v>9</v>
      </c>
      <c r="P554">
        <v>9</v>
      </c>
    </row>
    <row r="555" spans="1:16">
      <c r="A555">
        <v>554</v>
      </c>
      <c r="B555" s="2">
        <v>40568</v>
      </c>
      <c r="C555">
        <v>1</v>
      </c>
      <c r="D555">
        <v>0</v>
      </c>
      <c r="E555">
        <v>1</v>
      </c>
      <c r="F555">
        <v>6</v>
      </c>
      <c r="G555" t="b">
        <v>0</v>
      </c>
      <c r="H555">
        <v>2</v>
      </c>
      <c r="I555">
        <v>1</v>
      </c>
      <c r="J555">
        <v>0.16</v>
      </c>
      <c r="K555">
        <v>0.18179999999999999</v>
      </c>
      <c r="L555">
        <v>0.74</v>
      </c>
      <c r="M555">
        <v>0.1045</v>
      </c>
      <c r="N555">
        <v>1</v>
      </c>
      <c r="O555">
        <v>35</v>
      </c>
      <c r="P555">
        <v>36</v>
      </c>
    </row>
    <row r="556" spans="1:16">
      <c r="A556">
        <v>555</v>
      </c>
      <c r="B556" s="2">
        <v>40568</v>
      </c>
      <c r="C556">
        <v>1</v>
      </c>
      <c r="D556">
        <v>0</v>
      </c>
      <c r="E556">
        <v>1</v>
      </c>
      <c r="F556">
        <v>7</v>
      </c>
      <c r="G556" t="b">
        <v>0</v>
      </c>
      <c r="H556">
        <v>2</v>
      </c>
      <c r="I556">
        <v>1</v>
      </c>
      <c r="J556">
        <v>0.16</v>
      </c>
      <c r="K556">
        <v>0.1515</v>
      </c>
      <c r="L556">
        <v>0.74</v>
      </c>
      <c r="M556">
        <v>0.22389999999999999</v>
      </c>
      <c r="N556">
        <v>5</v>
      </c>
      <c r="O556">
        <v>103</v>
      </c>
      <c r="P556">
        <v>108</v>
      </c>
    </row>
    <row r="557" spans="1:16">
      <c r="A557">
        <v>556</v>
      </c>
      <c r="B557" s="2">
        <v>40568</v>
      </c>
      <c r="C557">
        <v>1</v>
      </c>
      <c r="D557">
        <v>0</v>
      </c>
      <c r="E557">
        <v>1</v>
      </c>
      <c r="F557">
        <v>8</v>
      </c>
      <c r="G557" t="b">
        <v>0</v>
      </c>
      <c r="H557">
        <v>2</v>
      </c>
      <c r="I557">
        <v>2</v>
      </c>
      <c r="J557">
        <v>0.16</v>
      </c>
      <c r="K557">
        <v>0.18179999999999999</v>
      </c>
      <c r="L557">
        <v>0.74</v>
      </c>
      <c r="M557">
        <v>0.1343</v>
      </c>
      <c r="N557">
        <v>5</v>
      </c>
      <c r="O557">
        <v>233</v>
      </c>
      <c r="P557">
        <v>238</v>
      </c>
    </row>
    <row r="558" spans="1:16">
      <c r="A558">
        <v>557</v>
      </c>
      <c r="B558" s="2">
        <v>40568</v>
      </c>
      <c r="C558">
        <v>1</v>
      </c>
      <c r="D558">
        <v>0</v>
      </c>
      <c r="E558">
        <v>1</v>
      </c>
      <c r="F558">
        <v>9</v>
      </c>
      <c r="G558" t="b">
        <v>0</v>
      </c>
      <c r="H558">
        <v>2</v>
      </c>
      <c r="I558">
        <v>2</v>
      </c>
      <c r="J558">
        <v>0.2</v>
      </c>
      <c r="K558">
        <v>0.2273</v>
      </c>
      <c r="L558">
        <v>0.64</v>
      </c>
      <c r="M558">
        <v>8.9599999999999999E-2</v>
      </c>
      <c r="N558">
        <v>10</v>
      </c>
      <c r="O558">
        <v>134</v>
      </c>
      <c r="P558">
        <v>144</v>
      </c>
    </row>
    <row r="559" spans="1:16">
      <c r="A559">
        <v>558</v>
      </c>
      <c r="B559" s="2">
        <v>40568</v>
      </c>
      <c r="C559">
        <v>1</v>
      </c>
      <c r="D559">
        <v>0</v>
      </c>
      <c r="E559">
        <v>1</v>
      </c>
      <c r="F559">
        <v>10</v>
      </c>
      <c r="G559" t="b">
        <v>0</v>
      </c>
      <c r="H559">
        <v>2</v>
      </c>
      <c r="I559">
        <v>2</v>
      </c>
      <c r="J559">
        <v>0.22</v>
      </c>
      <c r="K559">
        <v>0.2424</v>
      </c>
      <c r="L559">
        <v>0.6</v>
      </c>
      <c r="M559">
        <v>0.1045</v>
      </c>
      <c r="N559">
        <v>6</v>
      </c>
      <c r="O559">
        <v>49</v>
      </c>
      <c r="P559">
        <v>55</v>
      </c>
    </row>
    <row r="560" spans="1:16">
      <c r="A560">
        <v>559</v>
      </c>
      <c r="B560" s="2">
        <v>40568</v>
      </c>
      <c r="C560">
        <v>1</v>
      </c>
      <c r="D560">
        <v>0</v>
      </c>
      <c r="E560">
        <v>1</v>
      </c>
      <c r="F560">
        <v>11</v>
      </c>
      <c r="G560" t="b">
        <v>0</v>
      </c>
      <c r="H560">
        <v>2</v>
      </c>
      <c r="I560">
        <v>2</v>
      </c>
      <c r="J560">
        <v>0.24</v>
      </c>
      <c r="K560">
        <v>0.2424</v>
      </c>
      <c r="L560">
        <v>0.6</v>
      </c>
      <c r="M560">
        <v>0.1343</v>
      </c>
      <c r="N560">
        <v>6</v>
      </c>
      <c r="O560">
        <v>55</v>
      </c>
      <c r="P560">
        <v>61</v>
      </c>
    </row>
    <row r="561" spans="1:16">
      <c r="A561">
        <v>560</v>
      </c>
      <c r="B561" s="2">
        <v>40568</v>
      </c>
      <c r="C561">
        <v>1</v>
      </c>
      <c r="D561">
        <v>0</v>
      </c>
      <c r="E561">
        <v>1</v>
      </c>
      <c r="F561">
        <v>12</v>
      </c>
      <c r="G561" t="b">
        <v>0</v>
      </c>
      <c r="H561">
        <v>2</v>
      </c>
      <c r="I561">
        <v>2</v>
      </c>
      <c r="J561">
        <v>0.26</v>
      </c>
      <c r="K561">
        <v>0.28789999999999999</v>
      </c>
      <c r="L561">
        <v>0.56000000000000005</v>
      </c>
      <c r="M561">
        <v>8.9599999999999999E-2</v>
      </c>
      <c r="N561">
        <v>21</v>
      </c>
      <c r="O561">
        <v>85</v>
      </c>
      <c r="P561">
        <v>106</v>
      </c>
    </row>
    <row r="562" spans="1:16">
      <c r="A562">
        <v>561</v>
      </c>
      <c r="B562" s="2">
        <v>40568</v>
      </c>
      <c r="C562">
        <v>1</v>
      </c>
      <c r="D562">
        <v>0</v>
      </c>
      <c r="E562">
        <v>1</v>
      </c>
      <c r="F562">
        <v>13</v>
      </c>
      <c r="G562" t="b">
        <v>0</v>
      </c>
      <c r="H562">
        <v>2</v>
      </c>
      <c r="I562">
        <v>2</v>
      </c>
      <c r="J562">
        <v>0.26</v>
      </c>
      <c r="K562">
        <v>0.2727</v>
      </c>
      <c r="L562">
        <v>0.56000000000000005</v>
      </c>
      <c r="M562">
        <v>0.1343</v>
      </c>
      <c r="N562">
        <v>21</v>
      </c>
      <c r="O562">
        <v>72</v>
      </c>
      <c r="P562">
        <v>93</v>
      </c>
    </row>
    <row r="563" spans="1:16">
      <c r="A563">
        <v>562</v>
      </c>
      <c r="B563" s="2">
        <v>40568</v>
      </c>
      <c r="C563">
        <v>1</v>
      </c>
      <c r="D563">
        <v>0</v>
      </c>
      <c r="E563">
        <v>1</v>
      </c>
      <c r="F563">
        <v>14</v>
      </c>
      <c r="G563" t="b">
        <v>0</v>
      </c>
      <c r="H563">
        <v>2</v>
      </c>
      <c r="I563">
        <v>2</v>
      </c>
      <c r="J563">
        <v>0.3</v>
      </c>
      <c r="K563">
        <v>0.33329999999999999</v>
      </c>
      <c r="L563">
        <v>0.45</v>
      </c>
      <c r="M563">
        <v>0</v>
      </c>
      <c r="N563">
        <v>11</v>
      </c>
      <c r="O563">
        <v>57</v>
      </c>
      <c r="P563">
        <v>68</v>
      </c>
    </row>
    <row r="564" spans="1:16">
      <c r="A564">
        <v>563</v>
      </c>
      <c r="B564" s="2">
        <v>40568</v>
      </c>
      <c r="C564">
        <v>1</v>
      </c>
      <c r="D564">
        <v>0</v>
      </c>
      <c r="E564">
        <v>1</v>
      </c>
      <c r="F564">
        <v>15</v>
      </c>
      <c r="G564" t="b">
        <v>0</v>
      </c>
      <c r="H564">
        <v>2</v>
      </c>
      <c r="I564">
        <v>2</v>
      </c>
      <c r="J564">
        <v>0.32</v>
      </c>
      <c r="K564">
        <v>0.34849999999999998</v>
      </c>
      <c r="L564">
        <v>0.42</v>
      </c>
      <c r="M564">
        <v>0</v>
      </c>
      <c r="N564">
        <v>21</v>
      </c>
      <c r="O564">
        <v>63</v>
      </c>
      <c r="P564">
        <v>84</v>
      </c>
    </row>
    <row r="565" spans="1:16">
      <c r="A565">
        <v>564</v>
      </c>
      <c r="B565" s="2">
        <v>40568</v>
      </c>
      <c r="C565">
        <v>1</v>
      </c>
      <c r="D565">
        <v>0</v>
      </c>
      <c r="E565">
        <v>1</v>
      </c>
      <c r="F565">
        <v>16</v>
      </c>
      <c r="G565" t="b">
        <v>0</v>
      </c>
      <c r="H565">
        <v>2</v>
      </c>
      <c r="I565">
        <v>2</v>
      </c>
      <c r="J565">
        <v>0.32</v>
      </c>
      <c r="K565">
        <v>0.34849999999999998</v>
      </c>
      <c r="L565">
        <v>0.42</v>
      </c>
      <c r="M565">
        <v>0</v>
      </c>
      <c r="N565">
        <v>14</v>
      </c>
      <c r="O565">
        <v>102</v>
      </c>
      <c r="P565">
        <v>116</v>
      </c>
    </row>
    <row r="566" spans="1:16">
      <c r="A566">
        <v>565</v>
      </c>
      <c r="B566" s="2">
        <v>40568</v>
      </c>
      <c r="C566">
        <v>1</v>
      </c>
      <c r="D566">
        <v>0</v>
      </c>
      <c r="E566">
        <v>1</v>
      </c>
      <c r="F566">
        <v>17</v>
      </c>
      <c r="G566" t="b">
        <v>0</v>
      </c>
      <c r="H566">
        <v>2</v>
      </c>
      <c r="I566">
        <v>1</v>
      </c>
      <c r="J566">
        <v>0.3</v>
      </c>
      <c r="K566">
        <v>0.33329999999999999</v>
      </c>
      <c r="L566">
        <v>0.45</v>
      </c>
      <c r="M566">
        <v>0</v>
      </c>
      <c r="N566">
        <v>14</v>
      </c>
      <c r="O566">
        <v>208</v>
      </c>
      <c r="P566">
        <v>222</v>
      </c>
    </row>
    <row r="567" spans="1:16">
      <c r="A567">
        <v>566</v>
      </c>
      <c r="B567" s="2">
        <v>40568</v>
      </c>
      <c r="C567">
        <v>1</v>
      </c>
      <c r="D567">
        <v>0</v>
      </c>
      <c r="E567">
        <v>1</v>
      </c>
      <c r="F567">
        <v>18</v>
      </c>
      <c r="G567" t="b">
        <v>0</v>
      </c>
      <c r="H567">
        <v>2</v>
      </c>
      <c r="I567">
        <v>2</v>
      </c>
      <c r="J567">
        <v>0.3</v>
      </c>
      <c r="K567">
        <v>0.31819999999999998</v>
      </c>
      <c r="L567">
        <v>0.49</v>
      </c>
      <c r="M567">
        <v>8.9599999999999999E-2</v>
      </c>
      <c r="N567">
        <v>7</v>
      </c>
      <c r="O567">
        <v>218</v>
      </c>
      <c r="P567">
        <v>225</v>
      </c>
    </row>
    <row r="568" spans="1:16">
      <c r="A568">
        <v>567</v>
      </c>
      <c r="B568" s="2">
        <v>40568</v>
      </c>
      <c r="C568">
        <v>1</v>
      </c>
      <c r="D568">
        <v>0</v>
      </c>
      <c r="E568">
        <v>1</v>
      </c>
      <c r="F568">
        <v>19</v>
      </c>
      <c r="G568" t="b">
        <v>0</v>
      </c>
      <c r="H568">
        <v>2</v>
      </c>
      <c r="I568">
        <v>2</v>
      </c>
      <c r="J568">
        <v>0.26</v>
      </c>
      <c r="K568">
        <v>0.2576</v>
      </c>
      <c r="L568">
        <v>0.65</v>
      </c>
      <c r="M568">
        <v>0.16420000000000001</v>
      </c>
      <c r="N568">
        <v>13</v>
      </c>
      <c r="O568">
        <v>133</v>
      </c>
      <c r="P568">
        <v>146</v>
      </c>
    </row>
    <row r="569" spans="1:16">
      <c r="A569">
        <v>568</v>
      </c>
      <c r="B569" s="2">
        <v>40568</v>
      </c>
      <c r="C569">
        <v>1</v>
      </c>
      <c r="D569">
        <v>0</v>
      </c>
      <c r="E569">
        <v>1</v>
      </c>
      <c r="F569">
        <v>20</v>
      </c>
      <c r="G569" t="b">
        <v>0</v>
      </c>
      <c r="H569">
        <v>2</v>
      </c>
      <c r="I569">
        <v>1</v>
      </c>
      <c r="J569">
        <v>0.24</v>
      </c>
      <c r="K569">
        <v>0.2273</v>
      </c>
      <c r="L569">
        <v>0.65</v>
      </c>
      <c r="M569">
        <v>0.19400000000000001</v>
      </c>
      <c r="N569">
        <v>16</v>
      </c>
      <c r="O569">
        <v>103</v>
      </c>
      <c r="P569">
        <v>119</v>
      </c>
    </row>
    <row r="570" spans="1:16">
      <c r="A570">
        <v>569</v>
      </c>
      <c r="B570" s="2">
        <v>40568</v>
      </c>
      <c r="C570">
        <v>1</v>
      </c>
      <c r="D570">
        <v>0</v>
      </c>
      <c r="E570">
        <v>1</v>
      </c>
      <c r="F570">
        <v>21</v>
      </c>
      <c r="G570" t="b">
        <v>0</v>
      </c>
      <c r="H570">
        <v>2</v>
      </c>
      <c r="I570">
        <v>1</v>
      </c>
      <c r="J570">
        <v>0.24</v>
      </c>
      <c r="K570">
        <v>0.2273</v>
      </c>
      <c r="L570">
        <v>0.65</v>
      </c>
      <c r="M570">
        <v>0.19400000000000001</v>
      </c>
      <c r="N570">
        <v>5</v>
      </c>
      <c r="O570">
        <v>40</v>
      </c>
      <c r="P570">
        <v>45</v>
      </c>
    </row>
    <row r="571" spans="1:16">
      <c r="A571">
        <v>570</v>
      </c>
      <c r="B571" s="2">
        <v>40568</v>
      </c>
      <c r="C571">
        <v>1</v>
      </c>
      <c r="D571">
        <v>0</v>
      </c>
      <c r="E571">
        <v>1</v>
      </c>
      <c r="F571">
        <v>22</v>
      </c>
      <c r="G571" t="b">
        <v>0</v>
      </c>
      <c r="H571">
        <v>2</v>
      </c>
      <c r="I571">
        <v>1</v>
      </c>
      <c r="J571">
        <v>0.22</v>
      </c>
      <c r="K571">
        <v>0.2273</v>
      </c>
      <c r="L571">
        <v>0.64</v>
      </c>
      <c r="M571">
        <v>0.16420000000000001</v>
      </c>
      <c r="N571">
        <v>4</v>
      </c>
      <c r="O571">
        <v>49</v>
      </c>
      <c r="P571">
        <v>53</v>
      </c>
    </row>
    <row r="572" spans="1:16">
      <c r="A572">
        <v>571</v>
      </c>
      <c r="B572" s="2">
        <v>40568</v>
      </c>
      <c r="C572">
        <v>1</v>
      </c>
      <c r="D572">
        <v>0</v>
      </c>
      <c r="E572">
        <v>1</v>
      </c>
      <c r="F572">
        <v>23</v>
      </c>
      <c r="G572" t="b">
        <v>0</v>
      </c>
      <c r="H572">
        <v>2</v>
      </c>
      <c r="I572">
        <v>2</v>
      </c>
      <c r="J572">
        <v>0.22</v>
      </c>
      <c r="K572">
        <v>0.2273</v>
      </c>
      <c r="L572">
        <v>0.64</v>
      </c>
      <c r="M572">
        <v>0.16420000000000001</v>
      </c>
      <c r="N572">
        <v>3</v>
      </c>
      <c r="O572">
        <v>37</v>
      </c>
      <c r="P572">
        <v>40</v>
      </c>
    </row>
    <row r="573" spans="1:16">
      <c r="A573">
        <v>572</v>
      </c>
      <c r="B573" s="2">
        <v>40569</v>
      </c>
      <c r="C573">
        <v>1</v>
      </c>
      <c r="D573">
        <v>0</v>
      </c>
      <c r="E573">
        <v>1</v>
      </c>
      <c r="F573">
        <v>0</v>
      </c>
      <c r="G573" t="b">
        <v>0</v>
      </c>
      <c r="H573">
        <v>3</v>
      </c>
      <c r="I573">
        <v>2</v>
      </c>
      <c r="J573">
        <v>0.22</v>
      </c>
      <c r="K573">
        <v>0.2273</v>
      </c>
      <c r="L573">
        <v>0.69</v>
      </c>
      <c r="M573">
        <v>0.1343</v>
      </c>
      <c r="N573">
        <v>3</v>
      </c>
      <c r="O573">
        <v>14</v>
      </c>
      <c r="P573">
        <v>17</v>
      </c>
    </row>
    <row r="574" spans="1:16">
      <c r="A574">
        <v>573</v>
      </c>
      <c r="B574" s="2">
        <v>40569</v>
      </c>
      <c r="C574">
        <v>1</v>
      </c>
      <c r="D574">
        <v>0</v>
      </c>
      <c r="E574">
        <v>1</v>
      </c>
      <c r="F574">
        <v>1</v>
      </c>
      <c r="G574" t="b">
        <v>0</v>
      </c>
      <c r="H574">
        <v>3</v>
      </c>
      <c r="I574">
        <v>2</v>
      </c>
      <c r="J574">
        <v>0.24</v>
      </c>
      <c r="K574">
        <v>0.2424</v>
      </c>
      <c r="L574">
        <v>0.65</v>
      </c>
      <c r="M574">
        <v>0.1343</v>
      </c>
      <c r="N574">
        <v>0</v>
      </c>
      <c r="O574">
        <v>5</v>
      </c>
      <c r="P574">
        <v>5</v>
      </c>
    </row>
    <row r="575" spans="1:16">
      <c r="A575">
        <v>574</v>
      </c>
      <c r="B575" s="2">
        <v>40569</v>
      </c>
      <c r="C575">
        <v>1</v>
      </c>
      <c r="D575">
        <v>0</v>
      </c>
      <c r="E575">
        <v>1</v>
      </c>
      <c r="F575">
        <v>2</v>
      </c>
      <c r="G575" t="b">
        <v>0</v>
      </c>
      <c r="H575">
        <v>3</v>
      </c>
      <c r="I575">
        <v>3</v>
      </c>
      <c r="J575">
        <v>0.22</v>
      </c>
      <c r="K575">
        <v>0.2273</v>
      </c>
      <c r="L575">
        <v>0.69</v>
      </c>
      <c r="M575">
        <v>0.19400000000000001</v>
      </c>
      <c r="N575">
        <v>3</v>
      </c>
      <c r="O575">
        <v>7</v>
      </c>
      <c r="P575">
        <v>10</v>
      </c>
    </row>
    <row r="576" spans="1:16">
      <c r="A576">
        <v>575</v>
      </c>
      <c r="B576" s="2">
        <v>40569</v>
      </c>
      <c r="C576">
        <v>1</v>
      </c>
      <c r="D576">
        <v>0</v>
      </c>
      <c r="E576">
        <v>1</v>
      </c>
      <c r="F576">
        <v>5</v>
      </c>
      <c r="G576" t="b">
        <v>0</v>
      </c>
      <c r="H576">
        <v>3</v>
      </c>
      <c r="I576">
        <v>3</v>
      </c>
      <c r="J576">
        <v>0.2</v>
      </c>
      <c r="K576">
        <v>0.18179999999999999</v>
      </c>
      <c r="L576">
        <v>0.86</v>
      </c>
      <c r="M576">
        <v>0.28360000000000002</v>
      </c>
      <c r="N576">
        <v>0</v>
      </c>
      <c r="O576">
        <v>1</v>
      </c>
      <c r="P576">
        <v>1</v>
      </c>
    </row>
    <row r="577" spans="1:16">
      <c r="A577">
        <v>576</v>
      </c>
      <c r="B577" s="2">
        <v>40569</v>
      </c>
      <c r="C577">
        <v>1</v>
      </c>
      <c r="D577">
        <v>0</v>
      </c>
      <c r="E577">
        <v>1</v>
      </c>
      <c r="F577">
        <v>6</v>
      </c>
      <c r="G577" t="b">
        <v>0</v>
      </c>
      <c r="H577">
        <v>3</v>
      </c>
      <c r="I577">
        <v>3</v>
      </c>
      <c r="J577">
        <v>0.2</v>
      </c>
      <c r="K577">
        <v>0.18179999999999999</v>
      </c>
      <c r="L577">
        <v>0.86</v>
      </c>
      <c r="M577">
        <v>0.28360000000000002</v>
      </c>
      <c r="N577">
        <v>0</v>
      </c>
      <c r="O577">
        <v>8</v>
      </c>
      <c r="P577">
        <v>8</v>
      </c>
    </row>
    <row r="578" spans="1:16">
      <c r="A578">
        <v>577</v>
      </c>
      <c r="B578" s="2">
        <v>40569</v>
      </c>
      <c r="C578">
        <v>1</v>
      </c>
      <c r="D578">
        <v>0</v>
      </c>
      <c r="E578">
        <v>1</v>
      </c>
      <c r="F578">
        <v>7</v>
      </c>
      <c r="G578" t="b">
        <v>0</v>
      </c>
      <c r="H578">
        <v>3</v>
      </c>
      <c r="I578">
        <v>3</v>
      </c>
      <c r="J578">
        <v>0.22</v>
      </c>
      <c r="K578">
        <v>0.21210000000000001</v>
      </c>
      <c r="L578">
        <v>0.87</v>
      </c>
      <c r="M578">
        <v>0.29849999999999999</v>
      </c>
      <c r="N578">
        <v>1</v>
      </c>
      <c r="O578">
        <v>29</v>
      </c>
      <c r="P578">
        <v>30</v>
      </c>
    </row>
    <row r="579" spans="1:16">
      <c r="A579">
        <v>578</v>
      </c>
      <c r="B579" s="2">
        <v>40569</v>
      </c>
      <c r="C579">
        <v>1</v>
      </c>
      <c r="D579">
        <v>0</v>
      </c>
      <c r="E579">
        <v>1</v>
      </c>
      <c r="F579">
        <v>8</v>
      </c>
      <c r="G579" t="b">
        <v>0</v>
      </c>
      <c r="H579">
        <v>3</v>
      </c>
      <c r="I579">
        <v>3</v>
      </c>
      <c r="J579">
        <v>0.22</v>
      </c>
      <c r="K579">
        <v>0.21210000000000001</v>
      </c>
      <c r="L579">
        <v>0.87</v>
      </c>
      <c r="M579">
        <v>0.29849999999999999</v>
      </c>
      <c r="N579">
        <v>3</v>
      </c>
      <c r="O579">
        <v>69</v>
      </c>
      <c r="P579">
        <v>72</v>
      </c>
    </row>
    <row r="580" spans="1:16">
      <c r="A580">
        <v>579</v>
      </c>
      <c r="B580" s="2">
        <v>40569</v>
      </c>
      <c r="C580">
        <v>1</v>
      </c>
      <c r="D580">
        <v>0</v>
      </c>
      <c r="E580">
        <v>1</v>
      </c>
      <c r="F580">
        <v>9</v>
      </c>
      <c r="G580" t="b">
        <v>0</v>
      </c>
      <c r="H580">
        <v>3</v>
      </c>
      <c r="I580">
        <v>3</v>
      </c>
      <c r="J580">
        <v>0.22</v>
      </c>
      <c r="K580">
        <v>0.21210000000000001</v>
      </c>
      <c r="L580">
        <v>0.87</v>
      </c>
      <c r="M580">
        <v>0.29849999999999999</v>
      </c>
      <c r="N580">
        <v>3</v>
      </c>
      <c r="O580">
        <v>55</v>
      </c>
      <c r="P580">
        <v>58</v>
      </c>
    </row>
    <row r="581" spans="1:16">
      <c r="A581">
        <v>580</v>
      </c>
      <c r="B581" s="2">
        <v>40569</v>
      </c>
      <c r="C581">
        <v>1</v>
      </c>
      <c r="D581">
        <v>0</v>
      </c>
      <c r="E581">
        <v>1</v>
      </c>
      <c r="F581">
        <v>10</v>
      </c>
      <c r="G581" t="b">
        <v>0</v>
      </c>
      <c r="H581">
        <v>3</v>
      </c>
      <c r="I581">
        <v>3</v>
      </c>
      <c r="J581">
        <v>0.22</v>
      </c>
      <c r="K581">
        <v>0.21210000000000001</v>
      </c>
      <c r="L581">
        <v>0.93</v>
      </c>
      <c r="M581">
        <v>0.28360000000000002</v>
      </c>
      <c r="N581">
        <v>2</v>
      </c>
      <c r="O581">
        <v>26</v>
      </c>
      <c r="P581">
        <v>28</v>
      </c>
    </row>
    <row r="582" spans="1:16">
      <c r="A582">
        <v>581</v>
      </c>
      <c r="B582" s="2">
        <v>40569</v>
      </c>
      <c r="C582">
        <v>1</v>
      </c>
      <c r="D582">
        <v>0</v>
      </c>
      <c r="E582">
        <v>1</v>
      </c>
      <c r="F582">
        <v>11</v>
      </c>
      <c r="G582" t="b">
        <v>0</v>
      </c>
      <c r="H582">
        <v>3</v>
      </c>
      <c r="I582">
        <v>3</v>
      </c>
      <c r="J582">
        <v>0.22</v>
      </c>
      <c r="K582">
        <v>0.19700000000000001</v>
      </c>
      <c r="L582">
        <v>0.93</v>
      </c>
      <c r="M582">
        <v>0.32840000000000003</v>
      </c>
      <c r="N582">
        <v>6</v>
      </c>
      <c r="O582">
        <v>35</v>
      </c>
      <c r="P582">
        <v>41</v>
      </c>
    </row>
    <row r="583" spans="1:16">
      <c r="A583">
        <v>582</v>
      </c>
      <c r="B583" s="2">
        <v>40569</v>
      </c>
      <c r="C583">
        <v>1</v>
      </c>
      <c r="D583">
        <v>0</v>
      </c>
      <c r="E583">
        <v>1</v>
      </c>
      <c r="F583">
        <v>12</v>
      </c>
      <c r="G583" t="b">
        <v>0</v>
      </c>
      <c r="H583">
        <v>3</v>
      </c>
      <c r="I583">
        <v>3</v>
      </c>
      <c r="J583">
        <v>0.22</v>
      </c>
      <c r="K583">
        <v>0.19700000000000001</v>
      </c>
      <c r="L583">
        <v>0.93</v>
      </c>
      <c r="M583">
        <v>0.32840000000000003</v>
      </c>
      <c r="N583">
        <v>7</v>
      </c>
      <c r="O583">
        <v>41</v>
      </c>
      <c r="P583">
        <v>48</v>
      </c>
    </row>
    <row r="584" spans="1:16">
      <c r="A584">
        <v>583</v>
      </c>
      <c r="B584" s="2">
        <v>40569</v>
      </c>
      <c r="C584">
        <v>1</v>
      </c>
      <c r="D584">
        <v>0</v>
      </c>
      <c r="E584">
        <v>1</v>
      </c>
      <c r="F584">
        <v>13</v>
      </c>
      <c r="G584" t="b">
        <v>0</v>
      </c>
      <c r="H584">
        <v>3</v>
      </c>
      <c r="I584">
        <v>3</v>
      </c>
      <c r="J584">
        <v>0.22</v>
      </c>
      <c r="K584">
        <v>0.19700000000000001</v>
      </c>
      <c r="L584">
        <v>0.93</v>
      </c>
      <c r="M584">
        <v>0.32840000000000003</v>
      </c>
      <c r="N584">
        <v>4</v>
      </c>
      <c r="O584">
        <v>43</v>
      </c>
      <c r="P584">
        <v>47</v>
      </c>
    </row>
    <row r="585" spans="1:16">
      <c r="A585">
        <v>584</v>
      </c>
      <c r="B585" s="2">
        <v>40569</v>
      </c>
      <c r="C585">
        <v>1</v>
      </c>
      <c r="D585">
        <v>0</v>
      </c>
      <c r="E585">
        <v>1</v>
      </c>
      <c r="F585">
        <v>14</v>
      </c>
      <c r="G585" t="b">
        <v>0</v>
      </c>
      <c r="H585">
        <v>3</v>
      </c>
      <c r="I585">
        <v>3</v>
      </c>
      <c r="J585">
        <v>0.22</v>
      </c>
      <c r="K585">
        <v>0.19700000000000001</v>
      </c>
      <c r="L585">
        <v>0.93</v>
      </c>
      <c r="M585">
        <v>0.35820000000000002</v>
      </c>
      <c r="N585">
        <v>0</v>
      </c>
      <c r="O585">
        <v>36</v>
      </c>
      <c r="P585">
        <v>36</v>
      </c>
    </row>
    <row r="586" spans="1:16">
      <c r="A586">
        <v>585</v>
      </c>
      <c r="B586" s="2">
        <v>40569</v>
      </c>
      <c r="C586">
        <v>1</v>
      </c>
      <c r="D586">
        <v>0</v>
      </c>
      <c r="E586">
        <v>1</v>
      </c>
      <c r="F586">
        <v>15</v>
      </c>
      <c r="G586" t="b">
        <v>0</v>
      </c>
      <c r="H586">
        <v>3</v>
      </c>
      <c r="I586">
        <v>3</v>
      </c>
      <c r="J586">
        <v>0.22</v>
      </c>
      <c r="K586">
        <v>0.18179999999999999</v>
      </c>
      <c r="L586">
        <v>0.93</v>
      </c>
      <c r="M586">
        <v>0.4627</v>
      </c>
      <c r="N586">
        <v>1</v>
      </c>
      <c r="O586">
        <v>42</v>
      </c>
      <c r="P586">
        <v>43</v>
      </c>
    </row>
    <row r="587" spans="1:16">
      <c r="A587">
        <v>586</v>
      </c>
      <c r="B587" s="2">
        <v>40569</v>
      </c>
      <c r="C587">
        <v>1</v>
      </c>
      <c r="D587">
        <v>0</v>
      </c>
      <c r="E587">
        <v>1</v>
      </c>
      <c r="F587">
        <v>16</v>
      </c>
      <c r="G587" t="b">
        <v>0</v>
      </c>
      <c r="H587">
        <v>3</v>
      </c>
      <c r="I587">
        <v>4</v>
      </c>
      <c r="J587">
        <v>0.22</v>
      </c>
      <c r="K587">
        <v>0.19700000000000001</v>
      </c>
      <c r="L587">
        <v>0.93</v>
      </c>
      <c r="M587">
        <v>0.32840000000000003</v>
      </c>
      <c r="N587">
        <v>1</v>
      </c>
      <c r="O587">
        <v>35</v>
      </c>
      <c r="P587">
        <v>36</v>
      </c>
    </row>
    <row r="588" spans="1:16">
      <c r="A588">
        <v>587</v>
      </c>
      <c r="B588" s="2">
        <v>40569</v>
      </c>
      <c r="C588">
        <v>1</v>
      </c>
      <c r="D588">
        <v>0</v>
      </c>
      <c r="E588">
        <v>1</v>
      </c>
      <c r="F588">
        <v>17</v>
      </c>
      <c r="G588" t="b">
        <v>0</v>
      </c>
      <c r="H588">
        <v>3</v>
      </c>
      <c r="I588">
        <v>3</v>
      </c>
      <c r="J588">
        <v>0.2</v>
      </c>
      <c r="K588">
        <v>0.18179999999999999</v>
      </c>
      <c r="L588">
        <v>0.93</v>
      </c>
      <c r="M588">
        <v>0.35820000000000002</v>
      </c>
      <c r="N588">
        <v>0</v>
      </c>
      <c r="O588">
        <v>26</v>
      </c>
      <c r="P588">
        <v>26</v>
      </c>
    </row>
    <row r="589" spans="1:16">
      <c r="A589">
        <v>588</v>
      </c>
      <c r="B589" s="2">
        <v>40570</v>
      </c>
      <c r="C589">
        <v>1</v>
      </c>
      <c r="D589">
        <v>0</v>
      </c>
      <c r="E589">
        <v>1</v>
      </c>
      <c r="F589">
        <v>16</v>
      </c>
      <c r="G589" t="b">
        <v>0</v>
      </c>
      <c r="H589">
        <v>4</v>
      </c>
      <c r="I589">
        <v>1</v>
      </c>
      <c r="J589">
        <v>0.22</v>
      </c>
      <c r="K589">
        <v>0.2273</v>
      </c>
      <c r="L589">
        <v>0.55000000000000004</v>
      </c>
      <c r="M589">
        <v>0.19400000000000001</v>
      </c>
      <c r="N589">
        <v>1</v>
      </c>
      <c r="O589">
        <v>23</v>
      </c>
      <c r="P589">
        <v>24</v>
      </c>
    </row>
    <row r="590" spans="1:16">
      <c r="A590">
        <v>589</v>
      </c>
      <c r="B590" s="2">
        <v>40570</v>
      </c>
      <c r="C590">
        <v>1</v>
      </c>
      <c r="D590">
        <v>0</v>
      </c>
      <c r="E590">
        <v>1</v>
      </c>
      <c r="F590">
        <v>17</v>
      </c>
      <c r="G590" t="b">
        <v>0</v>
      </c>
      <c r="H590">
        <v>4</v>
      </c>
      <c r="I590">
        <v>1</v>
      </c>
      <c r="J590">
        <v>0.22</v>
      </c>
      <c r="K590">
        <v>0.2424</v>
      </c>
      <c r="L590">
        <v>0.55000000000000004</v>
      </c>
      <c r="M590">
        <v>0.1045</v>
      </c>
      <c r="N590">
        <v>2</v>
      </c>
      <c r="O590">
        <v>82</v>
      </c>
      <c r="P590">
        <v>84</v>
      </c>
    </row>
    <row r="591" spans="1:16">
      <c r="A591">
        <v>590</v>
      </c>
      <c r="B591" s="2">
        <v>40570</v>
      </c>
      <c r="C591">
        <v>1</v>
      </c>
      <c r="D591">
        <v>0</v>
      </c>
      <c r="E591">
        <v>1</v>
      </c>
      <c r="F591">
        <v>18</v>
      </c>
      <c r="G591" t="b">
        <v>0</v>
      </c>
      <c r="H591">
        <v>4</v>
      </c>
      <c r="I591">
        <v>1</v>
      </c>
      <c r="J591">
        <v>0.2</v>
      </c>
      <c r="K591">
        <v>0.2273</v>
      </c>
      <c r="L591">
        <v>0.69</v>
      </c>
      <c r="M591">
        <v>8.9599999999999999E-2</v>
      </c>
      <c r="N591">
        <v>3</v>
      </c>
      <c r="O591">
        <v>101</v>
      </c>
      <c r="P591">
        <v>104</v>
      </c>
    </row>
    <row r="592" spans="1:16">
      <c r="A592">
        <v>591</v>
      </c>
      <c r="B592" s="2">
        <v>40570</v>
      </c>
      <c r="C592">
        <v>1</v>
      </c>
      <c r="D592">
        <v>0</v>
      </c>
      <c r="E592">
        <v>1</v>
      </c>
      <c r="F592">
        <v>19</v>
      </c>
      <c r="G592" t="b">
        <v>0</v>
      </c>
      <c r="H592">
        <v>4</v>
      </c>
      <c r="I592">
        <v>1</v>
      </c>
      <c r="J592">
        <v>0.2</v>
      </c>
      <c r="K592">
        <v>0.2273</v>
      </c>
      <c r="L592">
        <v>0.69</v>
      </c>
      <c r="M592">
        <v>8.9599999999999999E-2</v>
      </c>
      <c r="N592">
        <v>3</v>
      </c>
      <c r="O592">
        <v>76</v>
      </c>
      <c r="P592">
        <v>79</v>
      </c>
    </row>
    <row r="593" spans="1:16">
      <c r="A593">
        <v>592</v>
      </c>
      <c r="B593" s="2">
        <v>40570</v>
      </c>
      <c r="C593">
        <v>1</v>
      </c>
      <c r="D593">
        <v>0</v>
      </c>
      <c r="E593">
        <v>1</v>
      </c>
      <c r="F593">
        <v>20</v>
      </c>
      <c r="G593" t="b">
        <v>0</v>
      </c>
      <c r="H593">
        <v>4</v>
      </c>
      <c r="I593">
        <v>1</v>
      </c>
      <c r="J593">
        <v>0.18</v>
      </c>
      <c r="K593">
        <v>0.21210000000000001</v>
      </c>
      <c r="L593">
        <v>0.74</v>
      </c>
      <c r="M593">
        <v>8.9599999999999999E-2</v>
      </c>
      <c r="N593">
        <v>4</v>
      </c>
      <c r="O593">
        <v>55</v>
      </c>
      <c r="P593">
        <v>59</v>
      </c>
    </row>
    <row r="594" spans="1:16">
      <c r="A594">
        <v>593</v>
      </c>
      <c r="B594" s="2">
        <v>40570</v>
      </c>
      <c r="C594">
        <v>1</v>
      </c>
      <c r="D594">
        <v>0</v>
      </c>
      <c r="E594">
        <v>1</v>
      </c>
      <c r="F594">
        <v>21</v>
      </c>
      <c r="G594" t="b">
        <v>0</v>
      </c>
      <c r="H594">
        <v>4</v>
      </c>
      <c r="I594">
        <v>1</v>
      </c>
      <c r="J594">
        <v>0.18</v>
      </c>
      <c r="K594">
        <v>0.21210000000000001</v>
      </c>
      <c r="L594">
        <v>0.74</v>
      </c>
      <c r="M594">
        <v>8.9599999999999999E-2</v>
      </c>
      <c r="N594">
        <v>2</v>
      </c>
      <c r="O594">
        <v>36</v>
      </c>
      <c r="P594">
        <v>38</v>
      </c>
    </row>
    <row r="595" spans="1:16">
      <c r="A595">
        <v>594</v>
      </c>
      <c r="B595" s="2">
        <v>40570</v>
      </c>
      <c r="C595">
        <v>1</v>
      </c>
      <c r="D595">
        <v>0</v>
      </c>
      <c r="E595">
        <v>1</v>
      </c>
      <c r="F595">
        <v>22</v>
      </c>
      <c r="G595" t="b">
        <v>0</v>
      </c>
      <c r="H595">
        <v>4</v>
      </c>
      <c r="I595">
        <v>1</v>
      </c>
      <c r="J595">
        <v>0.18</v>
      </c>
      <c r="K595">
        <v>0.21210000000000001</v>
      </c>
      <c r="L595">
        <v>0.74</v>
      </c>
      <c r="M595">
        <v>8.9599999999999999E-2</v>
      </c>
      <c r="N595">
        <v>0</v>
      </c>
      <c r="O595">
        <v>27</v>
      </c>
      <c r="P595">
        <v>27</v>
      </c>
    </row>
    <row r="596" spans="1:16">
      <c r="A596">
        <v>595</v>
      </c>
      <c r="B596" s="2">
        <v>40570</v>
      </c>
      <c r="C596">
        <v>1</v>
      </c>
      <c r="D596">
        <v>0</v>
      </c>
      <c r="E596">
        <v>1</v>
      </c>
      <c r="F596">
        <v>23</v>
      </c>
      <c r="G596" t="b">
        <v>0</v>
      </c>
      <c r="H596">
        <v>4</v>
      </c>
      <c r="I596">
        <v>1</v>
      </c>
      <c r="J596">
        <v>0.18</v>
      </c>
      <c r="K596">
        <v>0.19700000000000001</v>
      </c>
      <c r="L596">
        <v>0.8</v>
      </c>
      <c r="M596">
        <v>0.16420000000000001</v>
      </c>
      <c r="N596">
        <v>0</v>
      </c>
      <c r="O596">
        <v>16</v>
      </c>
      <c r="P596">
        <v>16</v>
      </c>
    </row>
    <row r="597" spans="1:16">
      <c r="A597">
        <v>596</v>
      </c>
      <c r="B597" s="2">
        <v>40571</v>
      </c>
      <c r="C597">
        <v>1</v>
      </c>
      <c r="D597">
        <v>0</v>
      </c>
      <c r="E597">
        <v>1</v>
      </c>
      <c r="F597">
        <v>0</v>
      </c>
      <c r="G597" t="b">
        <v>0</v>
      </c>
      <c r="H597">
        <v>5</v>
      </c>
      <c r="I597">
        <v>2</v>
      </c>
      <c r="J597">
        <v>0.2</v>
      </c>
      <c r="K597">
        <v>0.21210000000000001</v>
      </c>
      <c r="L597">
        <v>0.75</v>
      </c>
      <c r="M597">
        <v>0.1343</v>
      </c>
      <c r="N597">
        <v>0</v>
      </c>
      <c r="O597">
        <v>9</v>
      </c>
      <c r="P597">
        <v>9</v>
      </c>
    </row>
    <row r="598" spans="1:16">
      <c r="A598">
        <v>597</v>
      </c>
      <c r="B598" s="2">
        <v>40571</v>
      </c>
      <c r="C598">
        <v>1</v>
      </c>
      <c r="D598">
        <v>0</v>
      </c>
      <c r="E598">
        <v>1</v>
      </c>
      <c r="F598">
        <v>1</v>
      </c>
      <c r="G598" t="b">
        <v>0</v>
      </c>
      <c r="H598">
        <v>5</v>
      </c>
      <c r="I598">
        <v>2</v>
      </c>
      <c r="J598">
        <v>0.2</v>
      </c>
      <c r="K598">
        <v>0.21210000000000001</v>
      </c>
      <c r="L598">
        <v>0.75</v>
      </c>
      <c r="M598">
        <v>0.1343</v>
      </c>
      <c r="N598">
        <v>1</v>
      </c>
      <c r="O598">
        <v>2</v>
      </c>
      <c r="P598">
        <v>3</v>
      </c>
    </row>
    <row r="599" spans="1:16">
      <c r="A599">
        <v>598</v>
      </c>
      <c r="B599" s="2">
        <v>40571</v>
      </c>
      <c r="C599">
        <v>1</v>
      </c>
      <c r="D599">
        <v>0</v>
      </c>
      <c r="E599">
        <v>1</v>
      </c>
      <c r="F599">
        <v>2</v>
      </c>
      <c r="G599" t="b">
        <v>0</v>
      </c>
      <c r="H599">
        <v>5</v>
      </c>
      <c r="I599">
        <v>2</v>
      </c>
      <c r="J599">
        <v>0.2</v>
      </c>
      <c r="K599">
        <v>0.21210000000000001</v>
      </c>
      <c r="L599">
        <v>0.75</v>
      </c>
      <c r="M599">
        <v>0.16420000000000001</v>
      </c>
      <c r="N599">
        <v>0</v>
      </c>
      <c r="O599">
        <v>2</v>
      </c>
      <c r="P599">
        <v>2</v>
      </c>
    </row>
    <row r="600" spans="1:16">
      <c r="A600">
        <v>599</v>
      </c>
      <c r="B600" s="2">
        <v>40571</v>
      </c>
      <c r="C600">
        <v>1</v>
      </c>
      <c r="D600">
        <v>0</v>
      </c>
      <c r="E600">
        <v>1</v>
      </c>
      <c r="F600">
        <v>3</v>
      </c>
      <c r="G600" t="b">
        <v>0</v>
      </c>
      <c r="H600">
        <v>5</v>
      </c>
      <c r="I600">
        <v>2</v>
      </c>
      <c r="J600">
        <v>0.2</v>
      </c>
      <c r="K600">
        <v>0.2273</v>
      </c>
      <c r="L600">
        <v>0.75</v>
      </c>
      <c r="M600">
        <v>0.1045</v>
      </c>
      <c r="N600">
        <v>1</v>
      </c>
      <c r="O600">
        <v>0</v>
      </c>
      <c r="P600">
        <v>1</v>
      </c>
    </row>
    <row r="601" spans="1:16">
      <c r="A601">
        <v>600</v>
      </c>
      <c r="B601" s="2">
        <v>40571</v>
      </c>
      <c r="C601">
        <v>1</v>
      </c>
      <c r="D601">
        <v>0</v>
      </c>
      <c r="E601">
        <v>1</v>
      </c>
      <c r="F601">
        <v>5</v>
      </c>
      <c r="G601" t="b">
        <v>0</v>
      </c>
      <c r="H601">
        <v>5</v>
      </c>
      <c r="I601">
        <v>2</v>
      </c>
      <c r="J601">
        <v>0.18</v>
      </c>
      <c r="K601">
        <v>0.21210000000000001</v>
      </c>
      <c r="L601">
        <v>0.8</v>
      </c>
      <c r="M601">
        <v>0.1045</v>
      </c>
      <c r="N601">
        <v>0</v>
      </c>
      <c r="O601">
        <v>4</v>
      </c>
      <c r="P601">
        <v>4</v>
      </c>
    </row>
    <row r="602" spans="1:16">
      <c r="A602">
        <v>601</v>
      </c>
      <c r="B602" s="2">
        <v>40571</v>
      </c>
      <c r="C602">
        <v>1</v>
      </c>
      <c r="D602">
        <v>0</v>
      </c>
      <c r="E602">
        <v>1</v>
      </c>
      <c r="F602">
        <v>6</v>
      </c>
      <c r="G602" t="b">
        <v>0</v>
      </c>
      <c r="H602">
        <v>5</v>
      </c>
      <c r="I602">
        <v>2</v>
      </c>
      <c r="J602">
        <v>0.18</v>
      </c>
      <c r="K602">
        <v>0.19700000000000001</v>
      </c>
      <c r="L602">
        <v>0.8</v>
      </c>
      <c r="M602">
        <v>0.1343</v>
      </c>
      <c r="N602">
        <v>0</v>
      </c>
      <c r="O602">
        <v>16</v>
      </c>
      <c r="P602">
        <v>16</v>
      </c>
    </row>
    <row r="603" spans="1:16">
      <c r="A603">
        <v>602</v>
      </c>
      <c r="B603" s="2">
        <v>40571</v>
      </c>
      <c r="C603">
        <v>1</v>
      </c>
      <c r="D603">
        <v>0</v>
      </c>
      <c r="E603">
        <v>1</v>
      </c>
      <c r="F603">
        <v>7</v>
      </c>
      <c r="G603" t="b">
        <v>0</v>
      </c>
      <c r="H603">
        <v>5</v>
      </c>
      <c r="I603">
        <v>2</v>
      </c>
      <c r="J603">
        <v>0.16</v>
      </c>
      <c r="K603">
        <v>0.19700000000000001</v>
      </c>
      <c r="L603">
        <v>0.86</v>
      </c>
      <c r="M603">
        <v>8.9599999999999999E-2</v>
      </c>
      <c r="N603">
        <v>2</v>
      </c>
      <c r="O603">
        <v>58</v>
      </c>
      <c r="P603">
        <v>60</v>
      </c>
    </row>
    <row r="604" spans="1:16">
      <c r="A604">
        <v>603</v>
      </c>
      <c r="B604" s="2">
        <v>40571</v>
      </c>
      <c r="C604">
        <v>1</v>
      </c>
      <c r="D604">
        <v>0</v>
      </c>
      <c r="E604">
        <v>1</v>
      </c>
      <c r="F604">
        <v>8</v>
      </c>
      <c r="G604" t="b">
        <v>0</v>
      </c>
      <c r="H604">
        <v>5</v>
      </c>
      <c r="I604">
        <v>2</v>
      </c>
      <c r="J604">
        <v>0.16</v>
      </c>
      <c r="K604">
        <v>0.19700000000000001</v>
      </c>
      <c r="L604">
        <v>0.86</v>
      </c>
      <c r="M604">
        <v>8.9599999999999999E-2</v>
      </c>
      <c r="N604">
        <v>2</v>
      </c>
      <c r="O604">
        <v>155</v>
      </c>
      <c r="P604">
        <v>157</v>
      </c>
    </row>
    <row r="605" spans="1:16">
      <c r="A605">
        <v>604</v>
      </c>
      <c r="B605" s="2">
        <v>40571</v>
      </c>
      <c r="C605">
        <v>1</v>
      </c>
      <c r="D605">
        <v>0</v>
      </c>
      <c r="E605">
        <v>1</v>
      </c>
      <c r="F605">
        <v>9</v>
      </c>
      <c r="G605" t="b">
        <v>0</v>
      </c>
      <c r="H605">
        <v>5</v>
      </c>
      <c r="I605">
        <v>3</v>
      </c>
      <c r="J605">
        <v>0.18</v>
      </c>
      <c r="K605">
        <v>0.21210000000000001</v>
      </c>
      <c r="L605">
        <v>0.86</v>
      </c>
      <c r="M605">
        <v>8.9599999999999999E-2</v>
      </c>
      <c r="N605">
        <v>6</v>
      </c>
      <c r="O605">
        <v>95</v>
      </c>
      <c r="P605">
        <v>101</v>
      </c>
    </row>
    <row r="606" spans="1:16">
      <c r="A606">
        <v>605</v>
      </c>
      <c r="B606" s="2">
        <v>40571</v>
      </c>
      <c r="C606">
        <v>1</v>
      </c>
      <c r="D606">
        <v>0</v>
      </c>
      <c r="E606">
        <v>1</v>
      </c>
      <c r="F606">
        <v>10</v>
      </c>
      <c r="G606" t="b">
        <v>0</v>
      </c>
      <c r="H606">
        <v>5</v>
      </c>
      <c r="I606">
        <v>3</v>
      </c>
      <c r="J606">
        <v>0.18</v>
      </c>
      <c r="K606">
        <v>0.21210000000000001</v>
      </c>
      <c r="L606">
        <v>0.86</v>
      </c>
      <c r="M606">
        <v>0.1045</v>
      </c>
      <c r="N606">
        <v>0</v>
      </c>
      <c r="O606">
        <v>49</v>
      </c>
      <c r="P606">
        <v>49</v>
      </c>
    </row>
    <row r="607" spans="1:16">
      <c r="A607">
        <v>606</v>
      </c>
      <c r="B607" s="2">
        <v>40571</v>
      </c>
      <c r="C607">
        <v>1</v>
      </c>
      <c r="D607">
        <v>0</v>
      </c>
      <c r="E607">
        <v>1</v>
      </c>
      <c r="F607">
        <v>11</v>
      </c>
      <c r="G607" t="b">
        <v>0</v>
      </c>
      <c r="H607">
        <v>5</v>
      </c>
      <c r="I607">
        <v>3</v>
      </c>
      <c r="J607">
        <v>0.18</v>
      </c>
      <c r="K607">
        <v>0.21210000000000001</v>
      </c>
      <c r="L607">
        <v>0.93</v>
      </c>
      <c r="M607">
        <v>0.1045</v>
      </c>
      <c r="N607">
        <v>0</v>
      </c>
      <c r="O607">
        <v>30</v>
      </c>
      <c r="P607">
        <v>30</v>
      </c>
    </row>
    <row r="608" spans="1:16">
      <c r="A608">
        <v>607</v>
      </c>
      <c r="B608" s="2">
        <v>40571</v>
      </c>
      <c r="C608">
        <v>1</v>
      </c>
      <c r="D608">
        <v>0</v>
      </c>
      <c r="E608">
        <v>1</v>
      </c>
      <c r="F608">
        <v>12</v>
      </c>
      <c r="G608" t="b">
        <v>0</v>
      </c>
      <c r="H608">
        <v>5</v>
      </c>
      <c r="I608">
        <v>3</v>
      </c>
      <c r="J608">
        <v>0.18</v>
      </c>
      <c r="K608">
        <v>0.21210000000000001</v>
      </c>
      <c r="L608">
        <v>0.93</v>
      </c>
      <c r="M608">
        <v>0.1045</v>
      </c>
      <c r="N608">
        <v>1</v>
      </c>
      <c r="O608">
        <v>28</v>
      </c>
      <c r="P608">
        <v>29</v>
      </c>
    </row>
    <row r="609" spans="1:16">
      <c r="A609">
        <v>608</v>
      </c>
      <c r="B609" s="2">
        <v>40571</v>
      </c>
      <c r="C609">
        <v>1</v>
      </c>
      <c r="D609">
        <v>0</v>
      </c>
      <c r="E609">
        <v>1</v>
      </c>
      <c r="F609">
        <v>13</v>
      </c>
      <c r="G609" t="b">
        <v>0</v>
      </c>
      <c r="H609">
        <v>5</v>
      </c>
      <c r="I609">
        <v>3</v>
      </c>
      <c r="J609">
        <v>0.18</v>
      </c>
      <c r="K609">
        <v>0.21210000000000001</v>
      </c>
      <c r="L609">
        <v>0.93</v>
      </c>
      <c r="M609">
        <v>0.1045</v>
      </c>
      <c r="N609">
        <v>0</v>
      </c>
      <c r="O609">
        <v>31</v>
      </c>
      <c r="P609">
        <v>31</v>
      </c>
    </row>
    <row r="610" spans="1:16">
      <c r="A610">
        <v>609</v>
      </c>
      <c r="B610" s="2">
        <v>40571</v>
      </c>
      <c r="C610">
        <v>1</v>
      </c>
      <c r="D610">
        <v>0</v>
      </c>
      <c r="E610">
        <v>1</v>
      </c>
      <c r="F610">
        <v>14</v>
      </c>
      <c r="G610" t="b">
        <v>0</v>
      </c>
      <c r="H610">
        <v>5</v>
      </c>
      <c r="I610">
        <v>3</v>
      </c>
      <c r="J610">
        <v>0.22</v>
      </c>
      <c r="K610">
        <v>0.2727</v>
      </c>
      <c r="L610">
        <v>0.8</v>
      </c>
      <c r="M610">
        <v>0</v>
      </c>
      <c r="N610">
        <v>2</v>
      </c>
      <c r="O610">
        <v>36</v>
      </c>
      <c r="P610">
        <v>38</v>
      </c>
    </row>
    <row r="611" spans="1:16">
      <c r="A611">
        <v>610</v>
      </c>
      <c r="B611" s="2">
        <v>40571</v>
      </c>
      <c r="C611">
        <v>1</v>
      </c>
      <c r="D611">
        <v>0</v>
      </c>
      <c r="E611">
        <v>1</v>
      </c>
      <c r="F611">
        <v>15</v>
      </c>
      <c r="G611" t="b">
        <v>0</v>
      </c>
      <c r="H611">
        <v>5</v>
      </c>
      <c r="I611">
        <v>2</v>
      </c>
      <c r="J611">
        <v>0.2</v>
      </c>
      <c r="K611">
        <v>0.2576</v>
      </c>
      <c r="L611">
        <v>0.86</v>
      </c>
      <c r="M611">
        <v>0</v>
      </c>
      <c r="N611">
        <v>1</v>
      </c>
      <c r="O611">
        <v>40</v>
      </c>
      <c r="P611">
        <v>41</v>
      </c>
    </row>
  </sheetData>
  <phoneticPr fontId="2" type="noConversion"/>
  <pageMargins left="0.7" right="0.7" top="0.75" bottom="0.75" header="0.3" footer="0.3"/>
  <pageSetup orientation="portrait"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1FC1AE-6176-4847-B2BD-E98C3C778E60}">
  <dimension ref="A1:AA1001"/>
  <sheetViews>
    <sheetView tabSelected="1" topLeftCell="P1" workbookViewId="0">
      <selection activeCell="V14" sqref="V14"/>
    </sheetView>
  </sheetViews>
  <sheetFormatPr defaultRowHeight="14.6"/>
  <cols>
    <col min="1" max="1" width="11.69140625" style="10" bestFit="1" customWidth="1"/>
    <col min="2" max="2" width="10.07421875" style="10" bestFit="1" customWidth="1"/>
    <col min="3" max="3" width="14.15234375" style="10" bestFit="1" customWidth="1"/>
    <col min="4" max="4" width="6.84375" style="10" bestFit="1" customWidth="1"/>
    <col min="5" max="5" width="8.765625" style="10" bestFit="1" customWidth="1"/>
    <col min="6" max="6" width="7.15234375" style="10" bestFit="1" customWidth="1"/>
    <col min="7" max="7" width="11.61328125" style="10" bestFit="1" customWidth="1"/>
    <col min="8" max="8" width="11.4609375" style="10" bestFit="1" customWidth="1"/>
    <col min="9" max="9" width="11.23046875" style="10" bestFit="1" customWidth="1"/>
    <col min="10" max="10" width="15.69140625" style="10" bestFit="1" customWidth="1"/>
    <col min="11" max="11" width="13.921875" style="10" bestFit="1" customWidth="1"/>
    <col min="12" max="12" width="22.61328125" style="10" bestFit="1" customWidth="1"/>
    <col min="13" max="13" width="10.61328125" style="10" bestFit="1" customWidth="1"/>
    <col min="14" max="14" width="13.61328125" style="10" bestFit="1" customWidth="1"/>
    <col min="15" max="15" width="15.69140625" style="10" bestFit="1" customWidth="1"/>
    <col min="16" max="16" width="19.07421875" style="10" bestFit="1" customWidth="1"/>
    <col min="17" max="17" width="14.4609375" style="10" bestFit="1" customWidth="1"/>
    <col min="18" max="18" width="20.921875" style="10" bestFit="1" customWidth="1"/>
    <col min="19" max="19" width="12.15234375" style="10" bestFit="1" customWidth="1"/>
    <col min="20" max="20" width="14.69140625" style="10" bestFit="1" customWidth="1"/>
    <col min="21" max="22" width="15.4609375" style="10" bestFit="1" customWidth="1"/>
    <col min="23" max="16384" width="9.23046875" style="10"/>
  </cols>
  <sheetData>
    <row r="1" spans="1:27">
      <c r="A1" s="22" t="s">
        <v>54</v>
      </c>
      <c r="B1" s="22" t="s">
        <v>55</v>
      </c>
      <c r="C1" s="22" t="s">
        <v>56</v>
      </c>
      <c r="D1" s="22" t="s">
        <v>57</v>
      </c>
      <c r="E1" s="22" t="s">
        <v>58</v>
      </c>
      <c r="F1" s="22" t="s">
        <v>59</v>
      </c>
      <c r="G1" s="22" t="s">
        <v>60</v>
      </c>
      <c r="H1" s="22" t="s">
        <v>70</v>
      </c>
      <c r="I1" s="22" t="s">
        <v>61</v>
      </c>
      <c r="J1" s="22" t="s">
        <v>62</v>
      </c>
      <c r="K1" s="22" t="s">
        <v>63</v>
      </c>
      <c r="L1" s="51" t="s">
        <v>84</v>
      </c>
      <c r="M1" s="22" t="s">
        <v>64</v>
      </c>
      <c r="N1" s="22" t="s">
        <v>65</v>
      </c>
      <c r="O1" s="22" t="s">
        <v>66</v>
      </c>
      <c r="P1" s="22" t="s">
        <v>67</v>
      </c>
      <c r="Q1" s="22" t="s">
        <v>68</v>
      </c>
      <c r="R1" s="22" t="s">
        <v>69</v>
      </c>
      <c r="S1" s="10" t="s">
        <v>26</v>
      </c>
      <c r="T1" s="10" t="s">
        <v>143</v>
      </c>
      <c r="U1" s="10" t="s">
        <v>140</v>
      </c>
    </row>
    <row r="2" spans="1:27">
      <c r="A2" s="22">
        <v>1</v>
      </c>
      <c r="B2" s="23">
        <v>40544</v>
      </c>
      <c r="C2" s="22">
        <v>1</v>
      </c>
      <c r="D2" s="22">
        <v>0</v>
      </c>
      <c r="E2" s="22">
        <v>1</v>
      </c>
      <c r="F2" s="22">
        <v>0</v>
      </c>
      <c r="G2" s="22" t="b">
        <v>0</v>
      </c>
      <c r="H2" s="22">
        <v>6</v>
      </c>
      <c r="I2" s="22" t="str">
        <f>IF(OR(Cleaned_datasetB[[#This Row],[Day_Code]]=0,Cleaned_datasetB[[#This Row],[Day_Code]]=6),"Weekend","Weekday")</f>
        <v>Weekend</v>
      </c>
      <c r="J2" s="22">
        <v>1</v>
      </c>
      <c r="K2" s="22">
        <v>0.24</v>
      </c>
      <c r="L2" s="51">
        <v>0.28789999999999999</v>
      </c>
      <c r="M2" s="22">
        <v>0.81</v>
      </c>
      <c r="N2" s="22">
        <v>0</v>
      </c>
      <c r="O2" s="22">
        <v>3</v>
      </c>
      <c r="P2" s="22">
        <v>13</v>
      </c>
      <c r="Q2" s="22">
        <v>16</v>
      </c>
      <c r="R2" s="22" t="str">
        <f>VLOOKUP(Cleaned_datasetB[[#This Row],[Weather_Code]],Lookup_Tables!$E$9:$F$13,2,FALSE)</f>
        <v>Clear</v>
      </c>
      <c r="S2" s="10" t="str">
        <f>INDEX(Lookup_Tables!$I$10:$I$16,MATCH(Cleaned_datasetB[[#This Row],[Day_Code]],Lookup_Tables!$H$10:$H$16,0))</f>
        <v>Saturday</v>
      </c>
      <c r="T2" s="10" t="str">
        <f>VLOOKUP(Cleaned_datasetB[[#This Row],[Month]], Lookup_Tables!$K$8:$L$19, 2, FALSE)</f>
        <v>January</v>
      </c>
      <c r="U2" s="10" t="str">
        <f>IF(AND(Cleaned_datasetB[[#This Row],[Day_Type]]="Weekday",Cleaned_datasetB[[#This Row],[Is_Holiday]]=FALSE),"Working Day","Non-Working Day")</f>
        <v>Non-Working Day</v>
      </c>
    </row>
    <row r="3" spans="1:27">
      <c r="A3" s="22">
        <v>2</v>
      </c>
      <c r="B3" s="23">
        <v>40544</v>
      </c>
      <c r="C3" s="22">
        <v>1</v>
      </c>
      <c r="D3" s="22">
        <v>0</v>
      </c>
      <c r="E3" s="22">
        <v>1</v>
      </c>
      <c r="F3" s="22">
        <v>1</v>
      </c>
      <c r="G3" s="22" t="b">
        <v>0</v>
      </c>
      <c r="H3" s="22">
        <v>6</v>
      </c>
      <c r="I3" s="22" t="str">
        <f>IF(OR(Cleaned_datasetB[[#This Row],[Day_Code]]=0,Cleaned_datasetB[[#This Row],[Day_Code]]=6),"Weekend","Weekday")</f>
        <v>Weekend</v>
      </c>
      <c r="J3" s="22">
        <v>1</v>
      </c>
      <c r="K3" s="22">
        <v>0.22</v>
      </c>
      <c r="L3" s="51">
        <v>0.2727</v>
      </c>
      <c r="M3" s="22">
        <v>0.8</v>
      </c>
      <c r="N3" s="22">
        <v>0</v>
      </c>
      <c r="O3" s="22">
        <v>8</v>
      </c>
      <c r="P3" s="22">
        <v>32</v>
      </c>
      <c r="Q3" s="22">
        <v>40</v>
      </c>
      <c r="R3" s="22" t="str">
        <f>VLOOKUP(Cleaned_datasetB[[#This Row],[Weather_Code]],Lookup_Tables!$E$9:$F$13,2,FALSE)</f>
        <v>Clear</v>
      </c>
      <c r="S3" s="10" t="str">
        <f>INDEX(Lookup_Tables!$I$10:$I$16,MATCH(Cleaned_datasetB[[#This Row],[Day_Code]],Lookup_Tables!$H$10:$H$16,0))</f>
        <v>Saturday</v>
      </c>
      <c r="T3" s="10" t="str">
        <f>VLOOKUP(Cleaned_datasetB[[#This Row],[Month]], Lookup_Tables!$K$8:$L$19, 2, FALSE)</f>
        <v>January</v>
      </c>
      <c r="U3" s="10" t="str">
        <f>IF(AND(Cleaned_datasetB[[#This Row],[Day_Type]]="Weekday",Cleaned_datasetB[[#This Row],[Is_Holiday]]=FALSE),"Working Day","Non-Working Day")</f>
        <v>Non-Working Day</v>
      </c>
    </row>
    <row r="4" spans="1:27">
      <c r="A4" s="22">
        <v>3</v>
      </c>
      <c r="B4" s="23">
        <v>40544</v>
      </c>
      <c r="C4" s="22">
        <v>1</v>
      </c>
      <c r="D4" s="22">
        <v>0</v>
      </c>
      <c r="E4" s="22">
        <v>1</v>
      </c>
      <c r="F4" s="22">
        <v>2</v>
      </c>
      <c r="G4" s="22" t="b">
        <v>0</v>
      </c>
      <c r="H4" s="22">
        <v>6</v>
      </c>
      <c r="I4" s="22" t="str">
        <f>IF(OR(Cleaned_datasetB[[#This Row],[Day_Code]]=0,Cleaned_datasetB[[#This Row],[Day_Code]]=6),"Weekend","Weekday")</f>
        <v>Weekend</v>
      </c>
      <c r="J4" s="22">
        <v>1</v>
      </c>
      <c r="K4" s="22">
        <v>0.22</v>
      </c>
      <c r="L4" s="51">
        <v>0.2727</v>
      </c>
      <c r="M4" s="22">
        <v>0.8</v>
      </c>
      <c r="N4" s="22">
        <v>0</v>
      </c>
      <c r="O4" s="22">
        <v>5</v>
      </c>
      <c r="P4" s="22">
        <v>27</v>
      </c>
      <c r="Q4" s="22">
        <v>32</v>
      </c>
      <c r="R4" s="22" t="str">
        <f>VLOOKUP(Cleaned_datasetB[[#This Row],[Weather_Code]],Lookup_Tables!$E$9:$F$13,2,FALSE)</f>
        <v>Clear</v>
      </c>
      <c r="S4" s="10" t="str">
        <f>INDEX(Lookup_Tables!$I$10:$I$16,MATCH(Cleaned_datasetB[[#This Row],[Day_Code]],Lookup_Tables!$H$10:$H$16,0))</f>
        <v>Saturday</v>
      </c>
      <c r="T4" s="10" t="str">
        <f>VLOOKUP(Cleaned_datasetB[[#This Row],[Month]], Lookup_Tables!$K$8:$L$19, 2, FALSE)</f>
        <v>January</v>
      </c>
      <c r="U4" s="10" t="str">
        <f>IF(AND(Cleaned_datasetB[[#This Row],[Day_Type]]="Weekday",Cleaned_datasetB[[#This Row],[Is_Holiday]]=FALSE),"Working Day","Non-Working Day")</f>
        <v>Non-Working Day</v>
      </c>
    </row>
    <row r="5" spans="1:27">
      <c r="A5" s="22">
        <v>4</v>
      </c>
      <c r="B5" s="23">
        <v>40544</v>
      </c>
      <c r="C5" s="22">
        <v>1</v>
      </c>
      <c r="D5" s="22">
        <v>0</v>
      </c>
      <c r="E5" s="22">
        <v>1</v>
      </c>
      <c r="F5" s="22">
        <v>3</v>
      </c>
      <c r="G5" s="22" t="b">
        <v>0</v>
      </c>
      <c r="H5" s="22">
        <v>6</v>
      </c>
      <c r="I5" s="22" t="str">
        <f>IF(OR(Cleaned_datasetB[[#This Row],[Day_Code]]=0,Cleaned_datasetB[[#This Row],[Day_Code]]=6),"Weekend","Weekday")</f>
        <v>Weekend</v>
      </c>
      <c r="J5" s="22">
        <v>1</v>
      </c>
      <c r="K5" s="22">
        <v>0.24</v>
      </c>
      <c r="L5" s="51">
        <v>0.28789999999999999</v>
      </c>
      <c r="M5" s="22">
        <v>0.75</v>
      </c>
      <c r="N5" s="22">
        <v>0</v>
      </c>
      <c r="O5" s="22">
        <v>3</v>
      </c>
      <c r="P5" s="22">
        <v>10</v>
      </c>
      <c r="Q5" s="22">
        <v>13</v>
      </c>
      <c r="R5" s="22" t="str">
        <f>VLOOKUP(Cleaned_datasetB[[#This Row],[Weather_Code]],Lookup_Tables!$E$9:$F$13,2,FALSE)</f>
        <v>Clear</v>
      </c>
      <c r="S5" s="10" t="str">
        <f>INDEX(Lookup_Tables!$I$10:$I$16,MATCH(Cleaned_datasetB[[#This Row],[Day_Code]],Lookup_Tables!$H$10:$H$16,0))</f>
        <v>Saturday</v>
      </c>
      <c r="T5" s="10" t="str">
        <f>VLOOKUP(Cleaned_datasetB[[#This Row],[Month]], Lookup_Tables!$K$8:$L$19, 2, FALSE)</f>
        <v>January</v>
      </c>
      <c r="U5" s="10" t="str">
        <f>IF(AND(Cleaned_datasetB[[#This Row],[Day_Type]]="Weekday",Cleaned_datasetB[[#This Row],[Is_Holiday]]=FALSE),"Working Day","Non-Working Day")</f>
        <v>Non-Working Day</v>
      </c>
      <c r="W5" s="48"/>
      <c r="X5" s="48"/>
      <c r="Y5" s="48"/>
      <c r="Z5" s="48"/>
      <c r="AA5" s="48"/>
    </row>
    <row r="6" spans="1:27">
      <c r="A6" s="22">
        <v>5</v>
      </c>
      <c r="B6" s="23">
        <v>40544</v>
      </c>
      <c r="C6" s="22">
        <v>1</v>
      </c>
      <c r="D6" s="22">
        <v>0</v>
      </c>
      <c r="E6" s="22">
        <v>1</v>
      </c>
      <c r="F6" s="22">
        <v>4</v>
      </c>
      <c r="G6" s="22" t="b">
        <v>0</v>
      </c>
      <c r="H6" s="22">
        <v>6</v>
      </c>
      <c r="I6" s="22" t="str">
        <f>IF(OR(Cleaned_datasetB[[#This Row],[Day_Code]]=0,Cleaned_datasetB[[#This Row],[Day_Code]]=6),"Weekend","Weekday")</f>
        <v>Weekend</v>
      </c>
      <c r="J6" s="22">
        <v>1</v>
      </c>
      <c r="K6" s="22">
        <v>0.24</v>
      </c>
      <c r="L6" s="51">
        <v>0.28789999999999999</v>
      </c>
      <c r="M6" s="22">
        <v>0.75</v>
      </c>
      <c r="N6" s="22">
        <v>0</v>
      </c>
      <c r="O6" s="22">
        <v>0</v>
      </c>
      <c r="P6" s="22">
        <v>1</v>
      </c>
      <c r="Q6" s="22">
        <v>1</v>
      </c>
      <c r="R6" s="22" t="str">
        <f>VLOOKUP(Cleaned_datasetB[[#This Row],[Weather_Code]],Lookup_Tables!$E$9:$F$13,2,FALSE)</f>
        <v>Clear</v>
      </c>
      <c r="S6" s="10" t="str">
        <f>INDEX(Lookup_Tables!$I$10:$I$16,MATCH(Cleaned_datasetB[[#This Row],[Day_Code]],Lookup_Tables!$H$10:$H$16,0))</f>
        <v>Saturday</v>
      </c>
      <c r="T6" s="10" t="str">
        <f>VLOOKUP(Cleaned_datasetB[[#This Row],[Month]], Lookup_Tables!$K$8:$L$19, 2, FALSE)</f>
        <v>January</v>
      </c>
      <c r="U6" s="10" t="str">
        <f>IF(AND(Cleaned_datasetB[[#This Row],[Day_Type]]="Weekday",Cleaned_datasetB[[#This Row],[Is_Holiday]]=FALSE),"Working Day","Non-Working Day")</f>
        <v>Non-Working Day</v>
      </c>
      <c r="W6" s="106" t="s">
        <v>326</v>
      </c>
      <c r="X6" s="106"/>
      <c r="Y6" s="106"/>
      <c r="Z6" s="106"/>
      <c r="AA6" s="48"/>
    </row>
    <row r="7" spans="1:27">
      <c r="A7" s="22">
        <v>6</v>
      </c>
      <c r="B7" s="23">
        <v>40544</v>
      </c>
      <c r="C7" s="22">
        <v>1</v>
      </c>
      <c r="D7" s="22">
        <v>0</v>
      </c>
      <c r="E7" s="22">
        <v>1</v>
      </c>
      <c r="F7" s="22">
        <v>5</v>
      </c>
      <c r="G7" s="22" t="b">
        <v>0</v>
      </c>
      <c r="H7" s="22">
        <v>6</v>
      </c>
      <c r="I7" s="22" t="str">
        <f>IF(OR(Cleaned_datasetB[[#This Row],[Day_Code]]=0,Cleaned_datasetB[[#This Row],[Day_Code]]=6),"Weekend","Weekday")</f>
        <v>Weekend</v>
      </c>
      <c r="J7" s="22">
        <v>2</v>
      </c>
      <c r="K7" s="22">
        <v>0.24</v>
      </c>
      <c r="L7" s="51">
        <v>0.2576</v>
      </c>
      <c r="M7" s="22">
        <v>0.75</v>
      </c>
      <c r="N7" s="22">
        <v>8.9599999999999999E-2</v>
      </c>
      <c r="O7" s="22">
        <v>0</v>
      </c>
      <c r="P7" s="22">
        <v>1</v>
      </c>
      <c r="Q7" s="22">
        <v>1</v>
      </c>
      <c r="R7" s="22" t="str">
        <f>VLOOKUP(Cleaned_datasetB[[#This Row],[Weather_Code]],Lookup_Tables!$E$9:$F$13,2,FALSE)</f>
        <v>Cloudy</v>
      </c>
      <c r="S7" s="10" t="str">
        <f>INDEX(Lookup_Tables!$I$10:$I$16,MATCH(Cleaned_datasetB[[#This Row],[Day_Code]],Lookup_Tables!$H$10:$H$16,0))</f>
        <v>Saturday</v>
      </c>
      <c r="T7" s="10" t="str">
        <f>VLOOKUP(Cleaned_datasetB[[#This Row],[Month]], Lookup_Tables!$K$8:$L$19, 2, FALSE)</f>
        <v>January</v>
      </c>
      <c r="U7" s="10" t="str">
        <f>IF(AND(Cleaned_datasetB[[#This Row],[Day_Type]]="Weekday",Cleaned_datasetB[[#This Row],[Is_Holiday]]=FALSE),"Working Day","Non-Working Day")</f>
        <v>Non-Working Day</v>
      </c>
      <c r="W7" s="106"/>
      <c r="X7" s="106"/>
      <c r="Y7" s="106"/>
      <c r="Z7" s="106"/>
      <c r="AA7" s="48"/>
    </row>
    <row r="8" spans="1:27">
      <c r="A8" s="22">
        <v>7</v>
      </c>
      <c r="B8" s="23">
        <v>40544</v>
      </c>
      <c r="C8" s="22">
        <v>1</v>
      </c>
      <c r="D8" s="22">
        <v>0</v>
      </c>
      <c r="E8" s="22">
        <v>1</v>
      </c>
      <c r="F8" s="22">
        <v>6</v>
      </c>
      <c r="G8" s="22" t="b">
        <v>0</v>
      </c>
      <c r="H8" s="22">
        <v>6</v>
      </c>
      <c r="I8" s="22" t="str">
        <f>IF(OR(Cleaned_datasetB[[#This Row],[Day_Code]]=0,Cleaned_datasetB[[#This Row],[Day_Code]]=6),"Weekend","Weekday")</f>
        <v>Weekend</v>
      </c>
      <c r="J8" s="22">
        <v>1</v>
      </c>
      <c r="K8" s="22">
        <v>0.22</v>
      </c>
      <c r="L8" s="51">
        <v>0.2727</v>
      </c>
      <c r="M8" s="22">
        <v>0.8</v>
      </c>
      <c r="N8" s="22">
        <v>0</v>
      </c>
      <c r="O8" s="22">
        <v>2</v>
      </c>
      <c r="P8" s="22">
        <v>0</v>
      </c>
      <c r="Q8" s="22">
        <v>2</v>
      </c>
      <c r="R8" s="22" t="str">
        <f>VLOOKUP(Cleaned_datasetB[[#This Row],[Weather_Code]],Lookup_Tables!$E$9:$F$13,2,FALSE)</f>
        <v>Clear</v>
      </c>
      <c r="S8" s="10" t="str">
        <f>INDEX(Lookup_Tables!$I$10:$I$16,MATCH(Cleaned_datasetB[[#This Row],[Day_Code]],Lookup_Tables!$H$10:$H$16,0))</f>
        <v>Saturday</v>
      </c>
      <c r="T8" s="10" t="str">
        <f>VLOOKUP(Cleaned_datasetB[[#This Row],[Month]], Lookup_Tables!$K$8:$L$19, 2, FALSE)</f>
        <v>January</v>
      </c>
      <c r="U8" s="10" t="str">
        <f>IF(AND(Cleaned_datasetB[[#This Row],[Day_Type]]="Weekday",Cleaned_datasetB[[#This Row],[Is_Holiday]]=FALSE),"Working Day","Non-Working Day")</f>
        <v>Non-Working Day</v>
      </c>
      <c r="W8" s="106"/>
      <c r="X8" s="106"/>
      <c r="Y8" s="106"/>
      <c r="Z8" s="106"/>
      <c r="AA8" s="48"/>
    </row>
    <row r="9" spans="1:27">
      <c r="A9" s="22">
        <v>8</v>
      </c>
      <c r="B9" s="23">
        <v>40544</v>
      </c>
      <c r="C9" s="22">
        <v>1</v>
      </c>
      <c r="D9" s="22">
        <v>0</v>
      </c>
      <c r="E9" s="22">
        <v>1</v>
      </c>
      <c r="F9" s="22">
        <v>7</v>
      </c>
      <c r="G9" s="22" t="b">
        <v>0</v>
      </c>
      <c r="H9" s="22">
        <v>6</v>
      </c>
      <c r="I9" s="22" t="str">
        <f>IF(OR(Cleaned_datasetB[[#This Row],[Day_Code]]=0,Cleaned_datasetB[[#This Row],[Day_Code]]=6),"Weekend","Weekday")</f>
        <v>Weekend</v>
      </c>
      <c r="J9" s="22">
        <v>1</v>
      </c>
      <c r="K9" s="22">
        <v>0.2</v>
      </c>
      <c r="L9" s="51">
        <v>0.2576</v>
      </c>
      <c r="M9" s="22">
        <v>0.86</v>
      </c>
      <c r="N9" s="22">
        <v>0</v>
      </c>
      <c r="O9" s="22">
        <v>1</v>
      </c>
      <c r="P9" s="22">
        <v>2</v>
      </c>
      <c r="Q9" s="22">
        <v>3</v>
      </c>
      <c r="R9" s="22" t="str">
        <f>VLOOKUP(Cleaned_datasetB[[#This Row],[Weather_Code]],Lookup_Tables!$E$9:$F$13,2,FALSE)</f>
        <v>Clear</v>
      </c>
      <c r="S9" s="10" t="str">
        <f>INDEX(Lookup_Tables!$I$10:$I$16,MATCH(Cleaned_datasetB[[#This Row],[Day_Code]],Lookup_Tables!$H$10:$H$16,0))</f>
        <v>Saturday</v>
      </c>
      <c r="T9" s="10" t="str">
        <f>VLOOKUP(Cleaned_datasetB[[#This Row],[Month]], Lookup_Tables!$K$8:$L$19, 2, FALSE)</f>
        <v>January</v>
      </c>
      <c r="U9" s="10" t="str">
        <f>IF(AND(Cleaned_datasetB[[#This Row],[Day_Type]]="Weekday",Cleaned_datasetB[[#This Row],[Is_Holiday]]=FALSE),"Working Day","Non-Working Day")</f>
        <v>Non-Working Day</v>
      </c>
      <c r="W9" s="48"/>
      <c r="X9" s="48"/>
      <c r="Y9" s="48"/>
      <c r="Z9" s="48"/>
      <c r="AA9" s="48"/>
    </row>
    <row r="10" spans="1:27">
      <c r="A10" s="22">
        <v>9</v>
      </c>
      <c r="B10" s="23">
        <v>40544</v>
      </c>
      <c r="C10" s="22">
        <v>1</v>
      </c>
      <c r="D10" s="22">
        <v>0</v>
      </c>
      <c r="E10" s="22">
        <v>1</v>
      </c>
      <c r="F10" s="22">
        <v>8</v>
      </c>
      <c r="G10" s="22" t="b">
        <v>0</v>
      </c>
      <c r="H10" s="22">
        <v>6</v>
      </c>
      <c r="I10" s="22" t="str">
        <f>IF(OR(Cleaned_datasetB[[#This Row],[Day_Code]]=0,Cleaned_datasetB[[#This Row],[Day_Code]]=6),"Weekend","Weekday")</f>
        <v>Weekend</v>
      </c>
      <c r="J10" s="22">
        <v>1</v>
      </c>
      <c r="K10" s="22">
        <v>0.24</v>
      </c>
      <c r="L10" s="51">
        <v>0.19993489148580967</v>
      </c>
      <c r="M10" s="22">
        <v>0.75</v>
      </c>
      <c r="N10" s="22">
        <v>0</v>
      </c>
      <c r="O10" s="22">
        <v>1</v>
      </c>
      <c r="P10" s="22">
        <v>7</v>
      </c>
      <c r="Q10" s="22">
        <v>8</v>
      </c>
      <c r="R10" s="22" t="str">
        <f>VLOOKUP(Cleaned_datasetB[[#This Row],[Weather_Code]],Lookup_Tables!$E$9:$F$13,2,FALSE)</f>
        <v>Clear</v>
      </c>
      <c r="S10" s="10" t="str">
        <f>INDEX(Lookup_Tables!$I$10:$I$16,MATCH(Cleaned_datasetB[[#This Row],[Day_Code]],Lookup_Tables!$H$10:$H$16,0))</f>
        <v>Saturday</v>
      </c>
      <c r="T10" s="10" t="str">
        <f>VLOOKUP(Cleaned_datasetB[[#This Row],[Month]], Lookup_Tables!$K$8:$L$19, 2, FALSE)</f>
        <v>January</v>
      </c>
      <c r="U10" s="10" t="str">
        <f>IF(AND(Cleaned_datasetB[[#This Row],[Day_Type]]="Weekday",Cleaned_datasetB[[#This Row],[Is_Holiday]]=FALSE),"Working Day","Non-Working Day")</f>
        <v>Non-Working Day</v>
      </c>
    </row>
    <row r="11" spans="1:27">
      <c r="A11" s="22">
        <v>10</v>
      </c>
      <c r="B11" s="23">
        <v>40544</v>
      </c>
      <c r="C11" s="22">
        <v>1</v>
      </c>
      <c r="D11" s="22">
        <v>0</v>
      </c>
      <c r="E11" s="22">
        <v>1</v>
      </c>
      <c r="F11" s="22">
        <v>9</v>
      </c>
      <c r="G11" s="22" t="b">
        <v>0</v>
      </c>
      <c r="H11" s="22">
        <v>6</v>
      </c>
      <c r="I11" s="22" t="str">
        <f>IF(OR(Cleaned_datasetB[[#This Row],[Day_Code]]=0,Cleaned_datasetB[[#This Row],[Day_Code]]=6),"Weekend","Weekday")</f>
        <v>Weekend</v>
      </c>
      <c r="J11" s="22">
        <v>1</v>
      </c>
      <c r="K11" s="22">
        <v>0.32</v>
      </c>
      <c r="L11" s="51">
        <v>0.34849999999999998</v>
      </c>
      <c r="M11" s="22">
        <v>0.76</v>
      </c>
      <c r="N11" s="22">
        <v>0</v>
      </c>
      <c r="O11" s="22">
        <v>8</v>
      </c>
      <c r="P11" s="22">
        <v>6</v>
      </c>
      <c r="Q11" s="22">
        <v>14</v>
      </c>
      <c r="R11" s="22" t="str">
        <f>VLOOKUP(Cleaned_datasetB[[#This Row],[Weather_Code]],Lookup_Tables!$E$9:$F$13,2,FALSE)</f>
        <v>Clear</v>
      </c>
      <c r="S11" s="10" t="str">
        <f>INDEX(Lookup_Tables!$I$10:$I$16,MATCH(Cleaned_datasetB[[#This Row],[Day_Code]],Lookup_Tables!$H$10:$H$16,0))</f>
        <v>Saturday</v>
      </c>
      <c r="T11" s="10" t="str">
        <f>VLOOKUP(Cleaned_datasetB[[#This Row],[Month]], Lookup_Tables!$K$8:$L$19, 2, FALSE)</f>
        <v>January</v>
      </c>
      <c r="U11" s="10" t="str">
        <f>IF(AND(Cleaned_datasetB[[#This Row],[Day_Type]]="Weekday",Cleaned_datasetB[[#This Row],[Is_Holiday]]=FALSE),"Working Day","Non-Working Day")</f>
        <v>Non-Working Day</v>
      </c>
    </row>
    <row r="12" spans="1:27">
      <c r="A12" s="22">
        <v>11</v>
      </c>
      <c r="B12" s="23">
        <v>40544</v>
      </c>
      <c r="C12" s="22">
        <v>1</v>
      </c>
      <c r="D12" s="22">
        <v>0</v>
      </c>
      <c r="E12" s="22">
        <v>1</v>
      </c>
      <c r="F12" s="22">
        <v>10</v>
      </c>
      <c r="G12" s="22" t="b">
        <v>0</v>
      </c>
      <c r="H12" s="22">
        <v>6</v>
      </c>
      <c r="I12" s="22" t="str">
        <f>IF(OR(Cleaned_datasetB[[#This Row],[Day_Code]]=0,Cleaned_datasetB[[#This Row],[Day_Code]]=6),"Weekend","Weekday")</f>
        <v>Weekend</v>
      </c>
      <c r="J12" s="22">
        <v>1</v>
      </c>
      <c r="K12" s="22">
        <v>0.38</v>
      </c>
      <c r="L12" s="51">
        <v>0.39389999999999997</v>
      </c>
      <c r="M12" s="22">
        <v>0.76</v>
      </c>
      <c r="N12" s="22">
        <v>0.25369999999999998</v>
      </c>
      <c r="O12" s="22">
        <v>12</v>
      </c>
      <c r="P12" s="22">
        <v>24</v>
      </c>
      <c r="Q12" s="22">
        <v>36</v>
      </c>
      <c r="R12" s="22" t="str">
        <f>VLOOKUP(Cleaned_datasetB[[#This Row],[Weather_Code]],Lookup_Tables!$E$9:$F$13,2,FALSE)</f>
        <v>Clear</v>
      </c>
      <c r="S12" s="10" t="str">
        <f>INDEX(Lookup_Tables!$I$10:$I$16,MATCH(Cleaned_datasetB[[#This Row],[Day_Code]],Lookup_Tables!$H$10:$H$16,0))</f>
        <v>Saturday</v>
      </c>
      <c r="T12" s="10" t="str">
        <f>VLOOKUP(Cleaned_datasetB[[#This Row],[Month]], Lookup_Tables!$K$8:$L$19, 2, FALSE)</f>
        <v>January</v>
      </c>
      <c r="U12" s="10" t="str">
        <f>IF(AND(Cleaned_datasetB[[#This Row],[Day_Type]]="Weekday",Cleaned_datasetB[[#This Row],[Is_Holiday]]=FALSE),"Working Day","Non-Working Day")</f>
        <v>Non-Working Day</v>
      </c>
    </row>
    <row r="13" spans="1:27">
      <c r="A13" s="10">
        <v>12</v>
      </c>
      <c r="B13" s="23">
        <v>40544</v>
      </c>
      <c r="C13" s="10">
        <v>1</v>
      </c>
      <c r="D13" s="10">
        <v>0</v>
      </c>
      <c r="E13" s="10">
        <v>1</v>
      </c>
      <c r="F13" s="10">
        <v>11</v>
      </c>
      <c r="G13" s="10" t="b">
        <v>0</v>
      </c>
      <c r="H13" s="10">
        <v>6</v>
      </c>
      <c r="I13" s="10" t="str">
        <f>IF(OR(Cleaned_datasetB[[#This Row],[Day_Code]]=0,Cleaned_datasetB[[#This Row],[Day_Code]]=6),"Weekend","Weekday")</f>
        <v>Weekend</v>
      </c>
      <c r="J13" s="10">
        <v>1</v>
      </c>
      <c r="K13" s="10">
        <v>0.36</v>
      </c>
      <c r="L13" s="51">
        <v>0.33329999999999999</v>
      </c>
      <c r="M13" s="10">
        <v>0.81</v>
      </c>
      <c r="N13" s="10">
        <v>0.28360000000000002</v>
      </c>
      <c r="O13" s="10">
        <v>26</v>
      </c>
      <c r="P13" s="10">
        <v>30</v>
      </c>
      <c r="Q13" s="10">
        <v>56</v>
      </c>
      <c r="R13" s="10" t="str">
        <f>VLOOKUP(Cleaned_datasetB[[#This Row],[Weather_Code]],Lookup_Tables!$E$9:$F$13,2,FALSE)</f>
        <v>Clear</v>
      </c>
      <c r="S13" s="10" t="str">
        <f>INDEX(Lookup_Tables!$I$10:$I$16,MATCH(Cleaned_datasetB[[#This Row],[Day_Code]],Lookup_Tables!$H$10:$H$16,0))</f>
        <v>Saturday</v>
      </c>
      <c r="T13" s="10" t="str">
        <f>VLOOKUP(Cleaned_datasetB[[#This Row],[Month]], Lookup_Tables!$K$8:$L$19, 2, FALSE)</f>
        <v>January</v>
      </c>
      <c r="U13" s="10" t="str">
        <f>IF(AND(Cleaned_datasetB[[#This Row],[Day_Type]]="Weekday",Cleaned_datasetB[[#This Row],[Is_Holiday]]=FALSE),"Working Day","Non-Working Day")</f>
        <v>Non-Working Day</v>
      </c>
    </row>
    <row r="14" spans="1:27">
      <c r="A14" s="10">
        <v>13</v>
      </c>
      <c r="B14" s="23">
        <v>40544</v>
      </c>
      <c r="C14" s="10">
        <v>1</v>
      </c>
      <c r="D14" s="10">
        <v>0</v>
      </c>
      <c r="E14" s="10">
        <v>1</v>
      </c>
      <c r="F14" s="10">
        <v>12</v>
      </c>
      <c r="G14" s="10" t="b">
        <v>0</v>
      </c>
      <c r="H14" s="10">
        <v>6</v>
      </c>
      <c r="I14" s="10" t="str">
        <f>IF(OR(Cleaned_datasetB[[#This Row],[Day_Code]]=0,Cleaned_datasetB[[#This Row],[Day_Code]]=6),"Weekend","Weekday")</f>
        <v>Weekend</v>
      </c>
      <c r="J14" s="10">
        <v>1</v>
      </c>
      <c r="K14" s="10">
        <v>0.42</v>
      </c>
      <c r="L14" s="51">
        <v>0.42420000000000002</v>
      </c>
      <c r="M14" s="10">
        <v>0.77</v>
      </c>
      <c r="N14" s="10">
        <v>0.28360000000000002</v>
      </c>
      <c r="O14" s="10">
        <v>29</v>
      </c>
      <c r="P14" s="10">
        <v>55</v>
      </c>
      <c r="Q14" s="10">
        <v>84</v>
      </c>
      <c r="R14" s="10" t="str">
        <f>VLOOKUP(Cleaned_datasetB[[#This Row],[Weather_Code]],Lookup_Tables!$E$9:$F$13,2,FALSE)</f>
        <v>Clear</v>
      </c>
      <c r="S14" s="10" t="str">
        <f>INDEX(Lookup_Tables!$I$10:$I$16,MATCH(Cleaned_datasetB[[#This Row],[Day_Code]],Lookup_Tables!$H$10:$H$16,0))</f>
        <v>Saturday</v>
      </c>
      <c r="T14" s="10" t="str">
        <f>VLOOKUP(Cleaned_datasetB[[#This Row],[Month]], Lookup_Tables!$K$8:$L$19, 2, FALSE)</f>
        <v>January</v>
      </c>
      <c r="U14" s="10" t="str">
        <f>IF(AND(Cleaned_datasetB[[#This Row],[Day_Type]]="Weekday",Cleaned_datasetB[[#This Row],[Is_Holiday]]=FALSE),"Working Day","Non-Working Day")</f>
        <v>Non-Working Day</v>
      </c>
    </row>
    <row r="15" spans="1:27">
      <c r="A15" s="10">
        <v>14</v>
      </c>
      <c r="B15" s="23">
        <v>40544</v>
      </c>
      <c r="C15" s="10">
        <v>1</v>
      </c>
      <c r="D15" s="10">
        <v>0</v>
      </c>
      <c r="E15" s="10">
        <v>1</v>
      </c>
      <c r="F15" s="10">
        <v>13</v>
      </c>
      <c r="G15" s="10" t="b">
        <v>0</v>
      </c>
      <c r="H15" s="10">
        <v>6</v>
      </c>
      <c r="I15" s="10" t="str">
        <f>IF(OR(Cleaned_datasetB[[#This Row],[Day_Code]]=0,Cleaned_datasetB[[#This Row],[Day_Code]]=6),"Weekend","Weekday")</f>
        <v>Weekend</v>
      </c>
      <c r="J15" s="10">
        <v>2</v>
      </c>
      <c r="K15" s="10">
        <v>0.46</v>
      </c>
      <c r="L15" s="51">
        <v>0.45450000000000002</v>
      </c>
      <c r="M15" s="10">
        <v>0.72</v>
      </c>
      <c r="N15" s="10">
        <v>0.29849999999999999</v>
      </c>
      <c r="O15" s="10">
        <v>47</v>
      </c>
      <c r="P15" s="10">
        <v>47</v>
      </c>
      <c r="Q15" s="10">
        <v>94</v>
      </c>
      <c r="R15" s="10" t="str">
        <f>VLOOKUP(Cleaned_datasetB[[#This Row],[Weather_Code]],Lookup_Tables!$E$9:$F$13,2,FALSE)</f>
        <v>Cloudy</v>
      </c>
      <c r="S15" s="10" t="str">
        <f>INDEX(Lookup_Tables!$I$10:$I$16,MATCH(Cleaned_datasetB[[#This Row],[Day_Code]],Lookup_Tables!$H$10:$H$16,0))</f>
        <v>Saturday</v>
      </c>
      <c r="T15" s="10" t="str">
        <f>VLOOKUP(Cleaned_datasetB[[#This Row],[Month]], Lookup_Tables!$K$8:$L$19, 2, FALSE)</f>
        <v>January</v>
      </c>
      <c r="U15" s="10" t="str">
        <f>IF(AND(Cleaned_datasetB[[#This Row],[Day_Type]]="Weekday",Cleaned_datasetB[[#This Row],[Is_Holiday]]=FALSE),"Working Day","Non-Working Day")</f>
        <v>Non-Working Day</v>
      </c>
    </row>
    <row r="16" spans="1:27">
      <c r="A16" s="10">
        <v>15</v>
      </c>
      <c r="B16" s="23">
        <v>40544</v>
      </c>
      <c r="C16" s="10">
        <v>1</v>
      </c>
      <c r="D16" s="10">
        <v>0</v>
      </c>
      <c r="E16" s="10">
        <v>1</v>
      </c>
      <c r="F16" s="10">
        <v>14</v>
      </c>
      <c r="G16" s="10" t="b">
        <v>0</v>
      </c>
      <c r="H16" s="10">
        <v>6</v>
      </c>
      <c r="I16" s="10" t="str">
        <f>IF(OR(Cleaned_datasetB[[#This Row],[Day_Code]]=0,Cleaned_datasetB[[#This Row],[Day_Code]]=6),"Weekend","Weekday")</f>
        <v>Weekend</v>
      </c>
      <c r="J16" s="10">
        <v>2</v>
      </c>
      <c r="K16" s="10">
        <v>0.46</v>
      </c>
      <c r="L16" s="51">
        <v>0.45450000000000002</v>
      </c>
      <c r="M16" s="10">
        <v>0.72</v>
      </c>
      <c r="N16" s="10">
        <v>0.28360000000000002</v>
      </c>
      <c r="O16" s="10">
        <v>35</v>
      </c>
      <c r="P16" s="10">
        <v>71</v>
      </c>
      <c r="Q16" s="10">
        <v>106</v>
      </c>
      <c r="R16" s="10" t="str">
        <f>VLOOKUP(Cleaned_datasetB[[#This Row],[Weather_Code]],Lookup_Tables!$E$9:$F$13,2,FALSE)</f>
        <v>Cloudy</v>
      </c>
      <c r="S16" s="10" t="str">
        <f>INDEX(Lookup_Tables!$I$10:$I$16,MATCH(Cleaned_datasetB[[#This Row],[Day_Code]],Lookup_Tables!$H$10:$H$16,0))</f>
        <v>Saturday</v>
      </c>
      <c r="T16" s="10" t="str">
        <f>VLOOKUP(Cleaned_datasetB[[#This Row],[Month]], Lookup_Tables!$K$8:$L$19, 2, FALSE)</f>
        <v>January</v>
      </c>
      <c r="U16" s="10" t="str">
        <f>IF(AND(Cleaned_datasetB[[#This Row],[Day_Type]]="Weekday",Cleaned_datasetB[[#This Row],[Is_Holiday]]=FALSE),"Working Day","Non-Working Day")</f>
        <v>Non-Working Day</v>
      </c>
    </row>
    <row r="17" spans="1:21">
      <c r="A17" s="10">
        <v>16</v>
      </c>
      <c r="B17" s="23">
        <v>40544</v>
      </c>
      <c r="C17" s="10">
        <v>1</v>
      </c>
      <c r="D17" s="10">
        <v>0</v>
      </c>
      <c r="E17" s="10">
        <v>1</v>
      </c>
      <c r="F17" s="10">
        <v>15</v>
      </c>
      <c r="G17" s="10" t="b">
        <v>0</v>
      </c>
      <c r="H17" s="10">
        <v>6</v>
      </c>
      <c r="I17" s="10" t="str">
        <f>IF(OR(Cleaned_datasetB[[#This Row],[Day_Code]]=0,Cleaned_datasetB[[#This Row],[Day_Code]]=6),"Weekend","Weekday")</f>
        <v>Weekend</v>
      </c>
      <c r="J17" s="10">
        <v>2</v>
      </c>
      <c r="K17" s="10">
        <v>0.44</v>
      </c>
      <c r="L17" s="51">
        <v>0.43940000000000001</v>
      </c>
      <c r="M17" s="10">
        <v>0.77</v>
      </c>
      <c r="N17" s="10">
        <v>0.29849999999999999</v>
      </c>
      <c r="O17" s="10">
        <v>40</v>
      </c>
      <c r="P17" s="10">
        <v>70</v>
      </c>
      <c r="Q17" s="10">
        <v>110</v>
      </c>
      <c r="R17" s="10" t="str">
        <f>VLOOKUP(Cleaned_datasetB[[#This Row],[Weather_Code]],Lookup_Tables!$E$9:$F$13,2,FALSE)</f>
        <v>Cloudy</v>
      </c>
      <c r="S17" s="10" t="str">
        <f>INDEX(Lookup_Tables!$I$10:$I$16,MATCH(Cleaned_datasetB[[#This Row],[Day_Code]],Lookup_Tables!$H$10:$H$16,0))</f>
        <v>Saturday</v>
      </c>
      <c r="T17" s="10" t="str">
        <f>VLOOKUP(Cleaned_datasetB[[#This Row],[Month]], Lookup_Tables!$K$8:$L$19, 2, FALSE)</f>
        <v>January</v>
      </c>
      <c r="U17" s="10" t="str">
        <f>IF(AND(Cleaned_datasetB[[#This Row],[Day_Type]]="Weekday",Cleaned_datasetB[[#This Row],[Is_Holiday]]=FALSE),"Working Day","Non-Working Day")</f>
        <v>Non-Working Day</v>
      </c>
    </row>
    <row r="18" spans="1:21">
      <c r="A18" s="10">
        <v>17</v>
      </c>
      <c r="B18" s="23">
        <v>40544</v>
      </c>
      <c r="C18" s="10">
        <v>1</v>
      </c>
      <c r="D18" s="10">
        <v>0</v>
      </c>
      <c r="E18" s="10">
        <v>1</v>
      </c>
      <c r="F18" s="10">
        <v>16</v>
      </c>
      <c r="G18" s="10" t="b">
        <v>0</v>
      </c>
      <c r="H18" s="10">
        <v>6</v>
      </c>
      <c r="I18" s="10" t="str">
        <f>IF(OR(Cleaned_datasetB[[#This Row],[Day_Code]]=0,Cleaned_datasetB[[#This Row],[Day_Code]]=6),"Weekend","Weekday")</f>
        <v>Weekend</v>
      </c>
      <c r="J18" s="10">
        <v>2</v>
      </c>
      <c r="K18" s="10">
        <v>0.42</v>
      </c>
      <c r="L18" s="51">
        <v>0.42420000000000002</v>
      </c>
      <c r="M18" s="10">
        <v>0.82</v>
      </c>
      <c r="N18" s="10">
        <v>0.29849999999999999</v>
      </c>
      <c r="O18" s="10">
        <v>41</v>
      </c>
      <c r="P18" s="10">
        <v>52</v>
      </c>
      <c r="Q18" s="10">
        <v>93</v>
      </c>
      <c r="R18" s="10" t="str">
        <f>VLOOKUP(Cleaned_datasetB[[#This Row],[Weather_Code]],Lookup_Tables!$E$9:$F$13,2,FALSE)</f>
        <v>Cloudy</v>
      </c>
      <c r="S18" s="10" t="str">
        <f>INDEX(Lookup_Tables!$I$10:$I$16,MATCH(Cleaned_datasetB[[#This Row],[Day_Code]],Lookup_Tables!$H$10:$H$16,0))</f>
        <v>Saturday</v>
      </c>
      <c r="T18" s="10" t="str">
        <f>VLOOKUP(Cleaned_datasetB[[#This Row],[Month]], Lookup_Tables!$K$8:$L$19, 2, FALSE)</f>
        <v>January</v>
      </c>
      <c r="U18" s="10" t="str">
        <f>IF(AND(Cleaned_datasetB[[#This Row],[Day_Type]]="Weekday",Cleaned_datasetB[[#This Row],[Is_Holiday]]=FALSE),"Working Day","Non-Working Day")</f>
        <v>Non-Working Day</v>
      </c>
    </row>
    <row r="19" spans="1:21">
      <c r="A19" s="10">
        <v>18</v>
      </c>
      <c r="B19" s="23">
        <v>40544</v>
      </c>
      <c r="C19" s="10">
        <v>1</v>
      </c>
      <c r="D19" s="10">
        <v>0</v>
      </c>
      <c r="E19" s="10">
        <v>1</v>
      </c>
      <c r="F19" s="10">
        <v>17</v>
      </c>
      <c r="G19" s="10" t="b">
        <v>0</v>
      </c>
      <c r="H19" s="10">
        <v>6</v>
      </c>
      <c r="I19" s="10" t="str">
        <f>IF(OR(Cleaned_datasetB[[#This Row],[Day_Code]]=0,Cleaned_datasetB[[#This Row],[Day_Code]]=6),"Weekend","Weekday")</f>
        <v>Weekend</v>
      </c>
      <c r="J19" s="10">
        <v>2</v>
      </c>
      <c r="K19" s="10">
        <v>0.44</v>
      </c>
      <c r="L19" s="51">
        <v>0.19993489148580967</v>
      </c>
      <c r="M19" s="10">
        <v>0.82</v>
      </c>
      <c r="N19" s="10">
        <v>0.28360000000000002</v>
      </c>
      <c r="O19" s="10">
        <v>15</v>
      </c>
      <c r="P19" s="10">
        <v>52</v>
      </c>
      <c r="Q19" s="10">
        <v>67</v>
      </c>
      <c r="R19" s="10" t="str">
        <f>VLOOKUP(Cleaned_datasetB[[#This Row],[Weather_Code]],Lookup_Tables!$E$9:$F$13,2,FALSE)</f>
        <v>Cloudy</v>
      </c>
      <c r="S19" s="10" t="str">
        <f>INDEX(Lookup_Tables!$I$10:$I$16,MATCH(Cleaned_datasetB[[#This Row],[Day_Code]],Lookup_Tables!$H$10:$H$16,0))</f>
        <v>Saturday</v>
      </c>
      <c r="T19" s="10" t="str">
        <f>VLOOKUP(Cleaned_datasetB[[#This Row],[Month]], Lookup_Tables!$K$8:$L$19, 2, FALSE)</f>
        <v>January</v>
      </c>
      <c r="U19" s="10" t="str">
        <f>IF(AND(Cleaned_datasetB[[#This Row],[Day_Type]]="Weekday",Cleaned_datasetB[[#This Row],[Is_Holiday]]=FALSE),"Working Day","Non-Working Day")</f>
        <v>Non-Working Day</v>
      </c>
    </row>
    <row r="20" spans="1:21">
      <c r="A20" s="10">
        <v>19</v>
      </c>
      <c r="B20" s="23">
        <v>40544</v>
      </c>
      <c r="C20" s="10">
        <v>1</v>
      </c>
      <c r="D20" s="10">
        <v>0</v>
      </c>
      <c r="E20" s="10">
        <v>1</v>
      </c>
      <c r="F20" s="10">
        <v>18</v>
      </c>
      <c r="G20" s="10" t="b">
        <v>0</v>
      </c>
      <c r="H20" s="10">
        <v>6</v>
      </c>
      <c r="I20" s="10" t="str">
        <f>IF(OR(Cleaned_datasetB[[#This Row],[Day_Code]]=0,Cleaned_datasetB[[#This Row],[Day_Code]]=6),"Weekend","Weekday")</f>
        <v>Weekend</v>
      </c>
      <c r="J20" s="10">
        <v>3</v>
      </c>
      <c r="K20" s="10">
        <v>0.42</v>
      </c>
      <c r="L20" s="51">
        <v>0.42420000000000002</v>
      </c>
      <c r="M20" s="10">
        <v>0.88</v>
      </c>
      <c r="N20" s="10">
        <v>0.25369999999999998</v>
      </c>
      <c r="O20" s="10">
        <v>9</v>
      </c>
      <c r="P20" s="10">
        <v>26</v>
      </c>
      <c r="Q20" s="10">
        <v>35</v>
      </c>
      <c r="R20" s="10" t="str">
        <f>VLOOKUP(Cleaned_datasetB[[#This Row],[Weather_Code]],Lookup_Tables!$E$9:$F$13,2,FALSE)</f>
        <v>Light Rain</v>
      </c>
      <c r="S20" s="10" t="str">
        <f>INDEX(Lookup_Tables!$I$10:$I$16,MATCH(Cleaned_datasetB[[#This Row],[Day_Code]],Lookup_Tables!$H$10:$H$16,0))</f>
        <v>Saturday</v>
      </c>
      <c r="T20" s="10" t="str">
        <f>VLOOKUP(Cleaned_datasetB[[#This Row],[Month]], Lookup_Tables!$K$8:$L$19, 2, FALSE)</f>
        <v>January</v>
      </c>
      <c r="U20" s="10" t="str">
        <f>IF(AND(Cleaned_datasetB[[#This Row],[Day_Type]]="Weekday",Cleaned_datasetB[[#This Row],[Is_Holiday]]=FALSE),"Working Day","Non-Working Day")</f>
        <v>Non-Working Day</v>
      </c>
    </row>
    <row r="21" spans="1:21">
      <c r="A21" s="10">
        <v>20</v>
      </c>
      <c r="B21" s="23">
        <v>40544</v>
      </c>
      <c r="C21" s="10">
        <v>1</v>
      </c>
      <c r="D21" s="10">
        <v>0</v>
      </c>
      <c r="E21" s="10">
        <v>1</v>
      </c>
      <c r="F21" s="10">
        <v>19</v>
      </c>
      <c r="G21" s="10" t="b">
        <v>0</v>
      </c>
      <c r="H21" s="10">
        <v>6</v>
      </c>
      <c r="I21" s="10" t="str">
        <f>IF(OR(Cleaned_datasetB[[#This Row],[Day_Code]]=0,Cleaned_datasetB[[#This Row],[Day_Code]]=6),"Weekend","Weekday")</f>
        <v>Weekend</v>
      </c>
      <c r="J21" s="10">
        <v>3</v>
      </c>
      <c r="K21" s="10">
        <v>0.42</v>
      </c>
      <c r="L21" s="51">
        <v>0.42420000000000002</v>
      </c>
      <c r="M21" s="10">
        <v>0.88</v>
      </c>
      <c r="N21" s="10">
        <v>0.25369999999999998</v>
      </c>
      <c r="O21" s="10">
        <v>6</v>
      </c>
      <c r="P21" s="10">
        <v>31</v>
      </c>
      <c r="Q21" s="10">
        <v>37</v>
      </c>
      <c r="R21" s="10" t="str">
        <f>VLOOKUP(Cleaned_datasetB[[#This Row],[Weather_Code]],Lookup_Tables!$E$9:$F$13,2,FALSE)</f>
        <v>Light Rain</v>
      </c>
      <c r="S21" s="10" t="str">
        <f>INDEX(Lookup_Tables!$I$10:$I$16,MATCH(Cleaned_datasetB[[#This Row],[Day_Code]],Lookup_Tables!$H$10:$H$16,0))</f>
        <v>Saturday</v>
      </c>
      <c r="T21" s="10" t="str">
        <f>VLOOKUP(Cleaned_datasetB[[#This Row],[Month]], Lookup_Tables!$K$8:$L$19, 2, FALSE)</f>
        <v>January</v>
      </c>
      <c r="U21" s="10" t="str">
        <f>IF(AND(Cleaned_datasetB[[#This Row],[Day_Type]]="Weekday",Cleaned_datasetB[[#This Row],[Is_Holiday]]=FALSE),"Working Day","Non-Working Day")</f>
        <v>Non-Working Day</v>
      </c>
    </row>
    <row r="22" spans="1:21">
      <c r="A22" s="10">
        <v>21</v>
      </c>
      <c r="B22" s="23">
        <v>40544</v>
      </c>
      <c r="C22" s="10">
        <v>1</v>
      </c>
      <c r="D22" s="10">
        <v>0</v>
      </c>
      <c r="E22" s="10">
        <v>1</v>
      </c>
      <c r="F22" s="10">
        <v>20</v>
      </c>
      <c r="G22" s="10" t="b">
        <v>0</v>
      </c>
      <c r="H22" s="10">
        <v>6</v>
      </c>
      <c r="I22" s="10" t="str">
        <f>IF(OR(Cleaned_datasetB[[#This Row],[Day_Code]]=0,Cleaned_datasetB[[#This Row],[Day_Code]]=6),"Weekend","Weekday")</f>
        <v>Weekend</v>
      </c>
      <c r="J22" s="10">
        <v>2</v>
      </c>
      <c r="K22" s="10">
        <v>0.4</v>
      </c>
      <c r="L22" s="51">
        <v>0.40910000000000002</v>
      </c>
      <c r="M22" s="10">
        <v>0.87</v>
      </c>
      <c r="N22" s="10">
        <v>0.25369999999999998</v>
      </c>
      <c r="O22" s="10">
        <v>11</v>
      </c>
      <c r="P22" s="10">
        <v>25</v>
      </c>
      <c r="Q22" s="10">
        <v>36</v>
      </c>
      <c r="R22" s="10" t="str">
        <f>VLOOKUP(Cleaned_datasetB[[#This Row],[Weather_Code]],Lookup_Tables!$E$9:$F$13,2,FALSE)</f>
        <v>Cloudy</v>
      </c>
      <c r="S22" s="10" t="str">
        <f>INDEX(Lookup_Tables!$I$10:$I$16,MATCH(Cleaned_datasetB[[#This Row],[Day_Code]],Lookup_Tables!$H$10:$H$16,0))</f>
        <v>Saturday</v>
      </c>
      <c r="T22" s="10" t="str">
        <f>VLOOKUP(Cleaned_datasetB[[#This Row],[Month]], Lookup_Tables!$K$8:$L$19, 2, FALSE)</f>
        <v>January</v>
      </c>
      <c r="U22" s="10" t="str">
        <f>IF(AND(Cleaned_datasetB[[#This Row],[Day_Type]]="Weekday",Cleaned_datasetB[[#This Row],[Is_Holiday]]=FALSE),"Working Day","Non-Working Day")</f>
        <v>Non-Working Day</v>
      </c>
    </row>
    <row r="23" spans="1:21">
      <c r="A23" s="10">
        <v>22</v>
      </c>
      <c r="B23" s="23">
        <v>40544</v>
      </c>
      <c r="C23" s="10">
        <v>1</v>
      </c>
      <c r="D23" s="10">
        <v>0</v>
      </c>
      <c r="E23" s="10">
        <v>1</v>
      </c>
      <c r="F23" s="10">
        <v>21</v>
      </c>
      <c r="G23" s="10" t="b">
        <v>0</v>
      </c>
      <c r="H23" s="10">
        <v>6</v>
      </c>
      <c r="I23" s="10" t="str">
        <f>IF(OR(Cleaned_datasetB[[#This Row],[Day_Code]]=0,Cleaned_datasetB[[#This Row],[Day_Code]]=6),"Weekend","Weekday")</f>
        <v>Weekend</v>
      </c>
      <c r="J23" s="10">
        <v>2</v>
      </c>
      <c r="K23" s="10">
        <v>0.4</v>
      </c>
      <c r="L23" s="51">
        <v>0.40910000000000002</v>
      </c>
      <c r="M23" s="10">
        <v>0.87</v>
      </c>
      <c r="N23" s="10">
        <v>0.19400000000000001</v>
      </c>
      <c r="O23" s="10">
        <v>3</v>
      </c>
      <c r="P23" s="10">
        <v>31</v>
      </c>
      <c r="Q23" s="10">
        <v>34</v>
      </c>
      <c r="R23" s="10" t="str">
        <f>VLOOKUP(Cleaned_datasetB[[#This Row],[Weather_Code]],Lookup_Tables!$E$9:$F$13,2,FALSE)</f>
        <v>Cloudy</v>
      </c>
      <c r="S23" s="10" t="str">
        <f>INDEX(Lookup_Tables!$I$10:$I$16,MATCH(Cleaned_datasetB[[#This Row],[Day_Code]],Lookup_Tables!$H$10:$H$16,0))</f>
        <v>Saturday</v>
      </c>
      <c r="T23" s="10" t="str">
        <f>VLOOKUP(Cleaned_datasetB[[#This Row],[Month]], Lookup_Tables!$K$8:$L$19, 2, FALSE)</f>
        <v>January</v>
      </c>
      <c r="U23" s="10" t="str">
        <f>IF(AND(Cleaned_datasetB[[#This Row],[Day_Type]]="Weekday",Cleaned_datasetB[[#This Row],[Is_Holiday]]=FALSE),"Working Day","Non-Working Day")</f>
        <v>Non-Working Day</v>
      </c>
    </row>
    <row r="24" spans="1:21">
      <c r="A24" s="10">
        <v>23</v>
      </c>
      <c r="B24" s="23">
        <v>40544</v>
      </c>
      <c r="C24" s="10">
        <v>1</v>
      </c>
      <c r="D24" s="10">
        <v>0</v>
      </c>
      <c r="E24" s="10">
        <v>1</v>
      </c>
      <c r="F24" s="10">
        <v>22</v>
      </c>
      <c r="G24" s="10" t="b">
        <v>0</v>
      </c>
      <c r="H24" s="10">
        <v>6</v>
      </c>
      <c r="I24" s="10" t="str">
        <f>IF(OR(Cleaned_datasetB[[#This Row],[Day_Code]]=0,Cleaned_datasetB[[#This Row],[Day_Code]]=6),"Weekend","Weekday")</f>
        <v>Weekend</v>
      </c>
      <c r="J24" s="10">
        <v>2</v>
      </c>
      <c r="K24" s="10">
        <v>0.4</v>
      </c>
      <c r="L24" s="51">
        <v>0.40910000000000002</v>
      </c>
      <c r="M24" s="10">
        <v>0.94</v>
      </c>
      <c r="N24" s="10">
        <v>0.22389999999999999</v>
      </c>
      <c r="O24" s="10">
        <v>11</v>
      </c>
      <c r="P24" s="10">
        <v>17</v>
      </c>
      <c r="Q24" s="10">
        <v>28</v>
      </c>
      <c r="R24" s="10" t="str">
        <f>VLOOKUP(Cleaned_datasetB[[#This Row],[Weather_Code]],Lookup_Tables!$E$9:$F$13,2,FALSE)</f>
        <v>Cloudy</v>
      </c>
      <c r="S24" s="10" t="str">
        <f>INDEX(Lookup_Tables!$I$10:$I$16,MATCH(Cleaned_datasetB[[#This Row],[Day_Code]],Lookup_Tables!$H$10:$H$16,0))</f>
        <v>Saturday</v>
      </c>
      <c r="T24" s="10" t="str">
        <f>VLOOKUP(Cleaned_datasetB[[#This Row],[Month]], Lookup_Tables!$K$8:$L$19, 2, FALSE)</f>
        <v>January</v>
      </c>
      <c r="U24" s="10" t="str">
        <f>IF(AND(Cleaned_datasetB[[#This Row],[Day_Type]]="Weekday",Cleaned_datasetB[[#This Row],[Is_Holiday]]=FALSE),"Working Day","Non-Working Day")</f>
        <v>Non-Working Day</v>
      </c>
    </row>
    <row r="25" spans="1:21">
      <c r="A25" s="10">
        <v>24</v>
      </c>
      <c r="B25" s="23">
        <v>40544</v>
      </c>
      <c r="C25" s="10">
        <v>1</v>
      </c>
      <c r="D25" s="10">
        <v>0</v>
      </c>
      <c r="E25" s="10">
        <v>1</v>
      </c>
      <c r="F25" s="10">
        <v>23</v>
      </c>
      <c r="G25" s="10" t="b">
        <v>0</v>
      </c>
      <c r="H25" s="10">
        <v>6</v>
      </c>
      <c r="I25" s="10" t="str">
        <f>IF(OR(Cleaned_datasetB[[#This Row],[Day_Code]]=0,Cleaned_datasetB[[#This Row],[Day_Code]]=6),"Weekend","Weekday")</f>
        <v>Weekend</v>
      </c>
      <c r="J25" s="10">
        <v>2</v>
      </c>
      <c r="K25" s="10">
        <v>0.46</v>
      </c>
      <c r="L25" s="51">
        <v>0.19993489148580967</v>
      </c>
      <c r="M25" s="10">
        <v>0.88</v>
      </c>
      <c r="N25" s="10">
        <v>0.29849999999999999</v>
      </c>
      <c r="O25" s="10">
        <v>15</v>
      </c>
      <c r="P25" s="10">
        <v>24</v>
      </c>
      <c r="Q25" s="10">
        <v>39</v>
      </c>
      <c r="R25" s="10" t="str">
        <f>VLOOKUP(Cleaned_datasetB[[#This Row],[Weather_Code]],Lookup_Tables!$E$9:$F$13,2,FALSE)</f>
        <v>Cloudy</v>
      </c>
      <c r="S25" s="10" t="str">
        <f>INDEX(Lookup_Tables!$I$10:$I$16,MATCH(Cleaned_datasetB[[#This Row],[Day_Code]],Lookup_Tables!$H$10:$H$16,0))</f>
        <v>Saturday</v>
      </c>
      <c r="T25" s="10" t="str">
        <f>VLOOKUP(Cleaned_datasetB[[#This Row],[Month]], Lookup_Tables!$K$8:$L$19, 2, FALSE)</f>
        <v>January</v>
      </c>
      <c r="U25" s="10" t="str">
        <f>IF(AND(Cleaned_datasetB[[#This Row],[Day_Type]]="Weekday",Cleaned_datasetB[[#This Row],[Is_Holiday]]=FALSE),"Working Day","Non-Working Day")</f>
        <v>Non-Working Day</v>
      </c>
    </row>
    <row r="26" spans="1:21">
      <c r="A26" s="10">
        <v>25</v>
      </c>
      <c r="B26" s="23">
        <v>40545</v>
      </c>
      <c r="C26" s="10">
        <v>1</v>
      </c>
      <c r="D26" s="10">
        <v>0</v>
      </c>
      <c r="E26" s="10">
        <v>1</v>
      </c>
      <c r="F26" s="10">
        <v>0</v>
      </c>
      <c r="G26" s="10" t="b">
        <v>0</v>
      </c>
      <c r="H26" s="10">
        <v>0</v>
      </c>
      <c r="I26" s="10" t="str">
        <f>IF(OR(Cleaned_datasetB[[#This Row],[Day_Code]]=0,Cleaned_datasetB[[#This Row],[Day_Code]]=6),"Weekend","Weekday")</f>
        <v>Weekend</v>
      </c>
      <c r="J26" s="10">
        <v>2</v>
      </c>
      <c r="K26" s="10">
        <v>0.46</v>
      </c>
      <c r="L26" s="51">
        <v>0.45450000000000002</v>
      </c>
      <c r="M26" s="10">
        <v>0.88</v>
      </c>
      <c r="N26" s="10">
        <v>0.29849999999999999</v>
      </c>
      <c r="O26" s="10">
        <v>4</v>
      </c>
      <c r="P26" s="10">
        <v>13</v>
      </c>
      <c r="Q26" s="10">
        <v>17</v>
      </c>
      <c r="R26" s="10" t="str">
        <f>VLOOKUP(Cleaned_datasetB[[#This Row],[Weather_Code]],Lookup_Tables!$E$9:$F$13,2,FALSE)</f>
        <v>Cloudy</v>
      </c>
      <c r="S26" s="10" t="str">
        <f>INDEX(Lookup_Tables!$I$10:$I$16,MATCH(Cleaned_datasetB[[#This Row],[Day_Code]],Lookup_Tables!$H$10:$H$16,0))</f>
        <v>Sunday</v>
      </c>
      <c r="T26" s="10" t="str">
        <f>VLOOKUP(Cleaned_datasetB[[#This Row],[Month]], Lookup_Tables!$K$8:$L$19, 2, FALSE)</f>
        <v>January</v>
      </c>
      <c r="U26" s="10" t="str">
        <f>IF(AND(Cleaned_datasetB[[#This Row],[Day_Type]]="Weekday",Cleaned_datasetB[[#This Row],[Is_Holiday]]=FALSE),"Working Day","Non-Working Day")</f>
        <v>Non-Working Day</v>
      </c>
    </row>
    <row r="27" spans="1:21">
      <c r="A27" s="10">
        <v>26</v>
      </c>
      <c r="B27" s="23">
        <v>40545</v>
      </c>
      <c r="C27" s="10">
        <v>1</v>
      </c>
      <c r="D27" s="10">
        <v>0</v>
      </c>
      <c r="E27" s="10">
        <v>1</v>
      </c>
      <c r="F27" s="10">
        <v>1</v>
      </c>
      <c r="G27" s="10" t="b">
        <v>0</v>
      </c>
      <c r="H27" s="10">
        <v>0</v>
      </c>
      <c r="I27" s="10" t="str">
        <f>IF(OR(Cleaned_datasetB[[#This Row],[Day_Code]]=0,Cleaned_datasetB[[#This Row],[Day_Code]]=6),"Weekend","Weekday")</f>
        <v>Weekend</v>
      </c>
      <c r="J27" s="10">
        <v>2</v>
      </c>
      <c r="K27" s="10">
        <v>0.44</v>
      </c>
      <c r="L27" s="51">
        <v>0.43940000000000001</v>
      </c>
      <c r="M27" s="10">
        <v>0.94</v>
      </c>
      <c r="N27" s="10">
        <v>0.25369999999999998</v>
      </c>
      <c r="O27" s="10">
        <v>1</v>
      </c>
      <c r="P27" s="10">
        <v>16</v>
      </c>
      <c r="Q27" s="10">
        <v>17</v>
      </c>
      <c r="R27" s="10" t="str">
        <f>VLOOKUP(Cleaned_datasetB[[#This Row],[Weather_Code]],Lookup_Tables!$E$9:$F$13,2,FALSE)</f>
        <v>Cloudy</v>
      </c>
      <c r="S27" s="10" t="str">
        <f>INDEX(Lookup_Tables!$I$10:$I$16,MATCH(Cleaned_datasetB[[#This Row],[Day_Code]],Lookup_Tables!$H$10:$H$16,0))</f>
        <v>Sunday</v>
      </c>
      <c r="T27" s="10" t="str">
        <f>VLOOKUP(Cleaned_datasetB[[#This Row],[Month]], Lookup_Tables!$K$8:$L$19, 2, FALSE)</f>
        <v>January</v>
      </c>
      <c r="U27" s="10" t="str">
        <f>IF(AND(Cleaned_datasetB[[#This Row],[Day_Type]]="Weekday",Cleaned_datasetB[[#This Row],[Is_Holiday]]=FALSE),"Working Day","Non-Working Day")</f>
        <v>Non-Working Day</v>
      </c>
    </row>
    <row r="28" spans="1:21">
      <c r="A28" s="10">
        <v>27</v>
      </c>
      <c r="B28" s="23">
        <v>40545</v>
      </c>
      <c r="C28" s="10">
        <v>1</v>
      </c>
      <c r="D28" s="10">
        <v>0</v>
      </c>
      <c r="E28" s="10">
        <v>1</v>
      </c>
      <c r="F28" s="10">
        <v>2</v>
      </c>
      <c r="G28" s="10" t="b">
        <v>0</v>
      </c>
      <c r="H28" s="10">
        <v>0</v>
      </c>
      <c r="I28" s="10" t="str">
        <f>IF(OR(Cleaned_datasetB[[#This Row],[Day_Code]]=0,Cleaned_datasetB[[#This Row],[Day_Code]]=6),"Weekend","Weekday")</f>
        <v>Weekend</v>
      </c>
      <c r="J28" s="10">
        <v>2</v>
      </c>
      <c r="K28" s="10">
        <v>0.42</v>
      </c>
      <c r="L28" s="51">
        <v>0.42420000000000002</v>
      </c>
      <c r="M28" s="10">
        <v>1</v>
      </c>
      <c r="N28" s="10">
        <v>0.28360000000000002</v>
      </c>
      <c r="O28" s="10">
        <v>1</v>
      </c>
      <c r="P28" s="10">
        <v>8</v>
      </c>
      <c r="Q28" s="10">
        <v>9</v>
      </c>
      <c r="R28" s="10" t="str">
        <f>VLOOKUP(Cleaned_datasetB[[#This Row],[Weather_Code]],Lookup_Tables!$E$9:$F$13,2,FALSE)</f>
        <v>Cloudy</v>
      </c>
      <c r="S28" s="10" t="str">
        <f>INDEX(Lookup_Tables!$I$10:$I$16,MATCH(Cleaned_datasetB[[#This Row],[Day_Code]],Lookup_Tables!$H$10:$H$16,0))</f>
        <v>Sunday</v>
      </c>
      <c r="T28" s="10" t="str">
        <f>VLOOKUP(Cleaned_datasetB[[#This Row],[Month]], Lookup_Tables!$K$8:$L$19, 2, FALSE)</f>
        <v>January</v>
      </c>
      <c r="U28" s="10" t="str">
        <f>IF(AND(Cleaned_datasetB[[#This Row],[Day_Type]]="Weekday",Cleaned_datasetB[[#This Row],[Is_Holiday]]=FALSE),"Working Day","Non-Working Day")</f>
        <v>Non-Working Day</v>
      </c>
    </row>
    <row r="29" spans="1:21">
      <c r="A29" s="10">
        <v>28</v>
      </c>
      <c r="B29" s="23">
        <v>40545</v>
      </c>
      <c r="C29" s="10">
        <v>1</v>
      </c>
      <c r="D29" s="10">
        <v>0</v>
      </c>
      <c r="E29" s="10">
        <v>1</v>
      </c>
      <c r="F29" s="10">
        <v>3</v>
      </c>
      <c r="G29" s="10" t="b">
        <v>0</v>
      </c>
      <c r="H29" s="10">
        <v>0</v>
      </c>
      <c r="I29" s="10" t="str">
        <f>IF(OR(Cleaned_datasetB[[#This Row],[Day_Code]]=0,Cleaned_datasetB[[#This Row],[Day_Code]]=6),"Weekend","Weekday")</f>
        <v>Weekend</v>
      </c>
      <c r="J29" s="10">
        <v>2</v>
      </c>
      <c r="K29" s="10">
        <v>0.46</v>
      </c>
      <c r="L29" s="51">
        <v>0.45450000000000002</v>
      </c>
      <c r="M29" s="10">
        <v>0.94</v>
      </c>
      <c r="N29" s="10">
        <v>0.19400000000000001</v>
      </c>
      <c r="O29" s="10">
        <v>2</v>
      </c>
      <c r="P29" s="10">
        <v>4</v>
      </c>
      <c r="Q29" s="10">
        <v>6</v>
      </c>
      <c r="R29" s="10" t="str">
        <f>VLOOKUP(Cleaned_datasetB[[#This Row],[Weather_Code]],Lookup_Tables!$E$9:$F$13,2,FALSE)</f>
        <v>Cloudy</v>
      </c>
      <c r="S29" s="10" t="str">
        <f>INDEX(Lookup_Tables!$I$10:$I$16,MATCH(Cleaned_datasetB[[#This Row],[Day_Code]],Lookup_Tables!$H$10:$H$16,0))</f>
        <v>Sunday</v>
      </c>
      <c r="T29" s="10" t="str">
        <f>VLOOKUP(Cleaned_datasetB[[#This Row],[Month]], Lookup_Tables!$K$8:$L$19, 2, FALSE)</f>
        <v>January</v>
      </c>
      <c r="U29" s="10" t="str">
        <f>IF(AND(Cleaned_datasetB[[#This Row],[Day_Type]]="Weekday",Cleaned_datasetB[[#This Row],[Is_Holiday]]=FALSE),"Working Day","Non-Working Day")</f>
        <v>Non-Working Day</v>
      </c>
    </row>
    <row r="30" spans="1:21">
      <c r="A30" s="10">
        <v>29</v>
      </c>
      <c r="B30" s="23">
        <v>40545</v>
      </c>
      <c r="C30" s="10">
        <v>1</v>
      </c>
      <c r="D30" s="10">
        <v>0</v>
      </c>
      <c r="E30" s="10">
        <v>1</v>
      </c>
      <c r="F30" s="10">
        <v>4</v>
      </c>
      <c r="G30" s="10" t="b">
        <v>0</v>
      </c>
      <c r="H30" s="10">
        <v>0</v>
      </c>
      <c r="I30" s="10" t="str">
        <f>IF(OR(Cleaned_datasetB[[#This Row],[Day_Code]]=0,Cleaned_datasetB[[#This Row],[Day_Code]]=6),"Weekend","Weekday")</f>
        <v>Weekend</v>
      </c>
      <c r="J30" s="10">
        <v>2</v>
      </c>
      <c r="K30" s="10">
        <v>0.46</v>
      </c>
      <c r="L30" s="51">
        <v>0.19993489148580967</v>
      </c>
      <c r="M30" s="10">
        <v>0.94</v>
      </c>
      <c r="N30" s="10">
        <v>0.19400000000000001</v>
      </c>
      <c r="O30" s="10">
        <v>2</v>
      </c>
      <c r="P30" s="10">
        <v>1</v>
      </c>
      <c r="Q30" s="10">
        <v>3</v>
      </c>
      <c r="R30" s="10" t="str">
        <f>VLOOKUP(Cleaned_datasetB[[#This Row],[Weather_Code]],Lookup_Tables!$E$9:$F$13,2,FALSE)</f>
        <v>Cloudy</v>
      </c>
      <c r="S30" s="10" t="str">
        <f>INDEX(Lookup_Tables!$I$10:$I$16,MATCH(Cleaned_datasetB[[#This Row],[Day_Code]],Lookup_Tables!$H$10:$H$16,0))</f>
        <v>Sunday</v>
      </c>
      <c r="T30" s="10" t="str">
        <f>VLOOKUP(Cleaned_datasetB[[#This Row],[Month]], Lookup_Tables!$K$8:$L$19, 2, FALSE)</f>
        <v>January</v>
      </c>
      <c r="U30" s="10" t="str">
        <f>IF(AND(Cleaned_datasetB[[#This Row],[Day_Type]]="Weekday",Cleaned_datasetB[[#This Row],[Is_Holiday]]=FALSE),"Working Day","Non-Working Day")</f>
        <v>Non-Working Day</v>
      </c>
    </row>
    <row r="31" spans="1:21">
      <c r="A31" s="10">
        <v>30</v>
      </c>
      <c r="B31" s="23">
        <v>40545</v>
      </c>
      <c r="C31" s="10">
        <v>1</v>
      </c>
      <c r="D31" s="10">
        <v>0</v>
      </c>
      <c r="E31" s="10">
        <v>1</v>
      </c>
      <c r="F31" s="10">
        <v>6</v>
      </c>
      <c r="G31" s="10" t="b">
        <v>0</v>
      </c>
      <c r="H31" s="10">
        <v>0</v>
      </c>
      <c r="I31" s="10" t="str">
        <f>IF(OR(Cleaned_datasetB[[#This Row],[Day_Code]]=0,Cleaned_datasetB[[#This Row],[Day_Code]]=6),"Weekend","Weekday")</f>
        <v>Weekend</v>
      </c>
      <c r="J31" s="10">
        <v>3</v>
      </c>
      <c r="K31" s="10">
        <v>0.42</v>
      </c>
      <c r="L31" s="51">
        <v>0.42420000000000002</v>
      </c>
      <c r="M31" s="10">
        <v>0.77</v>
      </c>
      <c r="N31" s="10">
        <v>0.29849999999999999</v>
      </c>
      <c r="O31" s="10">
        <v>0</v>
      </c>
      <c r="P31" s="10">
        <v>2</v>
      </c>
      <c r="Q31" s="10">
        <v>2</v>
      </c>
      <c r="R31" s="10" t="str">
        <f>VLOOKUP(Cleaned_datasetB[[#This Row],[Weather_Code]],Lookup_Tables!$E$9:$F$13,2,FALSE)</f>
        <v>Light Rain</v>
      </c>
      <c r="S31" s="10" t="str">
        <f>INDEX(Lookup_Tables!$I$10:$I$16,MATCH(Cleaned_datasetB[[#This Row],[Day_Code]],Lookup_Tables!$H$10:$H$16,0))</f>
        <v>Sunday</v>
      </c>
      <c r="T31" s="10" t="str">
        <f>VLOOKUP(Cleaned_datasetB[[#This Row],[Month]], Lookup_Tables!$K$8:$L$19, 2, FALSE)</f>
        <v>January</v>
      </c>
      <c r="U31" s="10" t="str">
        <f>IF(AND(Cleaned_datasetB[[#This Row],[Day_Type]]="Weekday",Cleaned_datasetB[[#This Row],[Is_Holiday]]=FALSE),"Working Day","Non-Working Day")</f>
        <v>Non-Working Day</v>
      </c>
    </row>
    <row r="32" spans="1:21">
      <c r="A32" s="10">
        <v>31</v>
      </c>
      <c r="B32" s="23">
        <v>40545</v>
      </c>
      <c r="C32" s="10">
        <v>1</v>
      </c>
      <c r="D32" s="10">
        <v>0</v>
      </c>
      <c r="E32" s="10">
        <v>1</v>
      </c>
      <c r="F32" s="10">
        <v>7</v>
      </c>
      <c r="G32" s="10" t="b">
        <v>0</v>
      </c>
      <c r="H32" s="10">
        <v>0</v>
      </c>
      <c r="I32" s="10" t="str">
        <f>IF(OR(Cleaned_datasetB[[#This Row],[Day_Code]]=0,Cleaned_datasetB[[#This Row],[Day_Code]]=6),"Weekend","Weekday")</f>
        <v>Weekend</v>
      </c>
      <c r="J32" s="10">
        <v>2</v>
      </c>
      <c r="K32" s="10">
        <v>0.4</v>
      </c>
      <c r="L32" s="51">
        <v>0.40910000000000002</v>
      </c>
      <c r="M32" s="10">
        <v>0.76</v>
      </c>
      <c r="N32" s="10">
        <v>0.19400000000000001</v>
      </c>
      <c r="O32" s="10">
        <v>0</v>
      </c>
      <c r="P32" s="10">
        <v>1</v>
      </c>
      <c r="Q32" s="10">
        <v>1</v>
      </c>
      <c r="R32" s="10" t="str">
        <f>VLOOKUP(Cleaned_datasetB[[#This Row],[Weather_Code]],Lookup_Tables!$E$9:$F$13,2,FALSE)</f>
        <v>Cloudy</v>
      </c>
      <c r="S32" s="10" t="str">
        <f>INDEX(Lookup_Tables!$I$10:$I$16,MATCH(Cleaned_datasetB[[#This Row],[Day_Code]],Lookup_Tables!$H$10:$H$16,0))</f>
        <v>Sunday</v>
      </c>
      <c r="T32" s="10" t="str">
        <f>VLOOKUP(Cleaned_datasetB[[#This Row],[Month]], Lookup_Tables!$K$8:$L$19, 2, FALSE)</f>
        <v>January</v>
      </c>
      <c r="U32" s="10" t="str">
        <f>IF(AND(Cleaned_datasetB[[#This Row],[Day_Type]]="Weekday",Cleaned_datasetB[[#This Row],[Is_Holiday]]=FALSE),"Working Day","Non-Working Day")</f>
        <v>Non-Working Day</v>
      </c>
    </row>
    <row r="33" spans="1:21">
      <c r="A33" s="10">
        <v>32</v>
      </c>
      <c r="B33" s="23">
        <v>40545</v>
      </c>
      <c r="C33" s="10">
        <v>1</v>
      </c>
      <c r="D33" s="10">
        <v>0</v>
      </c>
      <c r="E33" s="10">
        <v>1</v>
      </c>
      <c r="F33" s="10">
        <v>8</v>
      </c>
      <c r="G33" s="10" t="b">
        <v>0</v>
      </c>
      <c r="H33" s="10">
        <v>0</v>
      </c>
      <c r="I33" s="10" t="str">
        <f>IF(OR(Cleaned_datasetB[[#This Row],[Day_Code]]=0,Cleaned_datasetB[[#This Row],[Day_Code]]=6),"Weekend","Weekday")</f>
        <v>Weekend</v>
      </c>
      <c r="J33" s="10">
        <v>3</v>
      </c>
      <c r="K33" s="10">
        <v>0.4</v>
      </c>
      <c r="L33" s="51">
        <v>0.40910000000000002</v>
      </c>
      <c r="M33" s="10">
        <v>0.71</v>
      </c>
      <c r="N33" s="10">
        <v>0.22389999999999999</v>
      </c>
      <c r="O33" s="10">
        <v>0</v>
      </c>
      <c r="P33" s="10">
        <v>8</v>
      </c>
      <c r="Q33" s="10">
        <v>8</v>
      </c>
      <c r="R33" s="10" t="str">
        <f>VLOOKUP(Cleaned_datasetB[[#This Row],[Weather_Code]],Lookup_Tables!$E$9:$F$13,2,FALSE)</f>
        <v>Light Rain</v>
      </c>
      <c r="S33" s="10" t="str">
        <f>INDEX(Lookup_Tables!$I$10:$I$16,MATCH(Cleaned_datasetB[[#This Row],[Day_Code]],Lookup_Tables!$H$10:$H$16,0))</f>
        <v>Sunday</v>
      </c>
      <c r="T33" s="10" t="str">
        <f>VLOOKUP(Cleaned_datasetB[[#This Row],[Month]], Lookup_Tables!$K$8:$L$19, 2, FALSE)</f>
        <v>January</v>
      </c>
      <c r="U33" s="10" t="str">
        <f>IF(AND(Cleaned_datasetB[[#This Row],[Day_Type]]="Weekday",Cleaned_datasetB[[#This Row],[Is_Holiday]]=FALSE),"Working Day","Non-Working Day")</f>
        <v>Non-Working Day</v>
      </c>
    </row>
    <row r="34" spans="1:21">
      <c r="A34" s="10">
        <v>33</v>
      </c>
      <c r="B34" s="23">
        <v>40545</v>
      </c>
      <c r="C34" s="10">
        <v>1</v>
      </c>
      <c r="D34" s="10">
        <v>0</v>
      </c>
      <c r="E34" s="10">
        <v>1</v>
      </c>
      <c r="F34" s="10">
        <v>9</v>
      </c>
      <c r="G34" s="10" t="b">
        <v>0</v>
      </c>
      <c r="H34" s="10">
        <v>0</v>
      </c>
      <c r="I34" s="10" t="str">
        <f>IF(OR(Cleaned_datasetB[[#This Row],[Day_Code]]=0,Cleaned_datasetB[[#This Row],[Day_Code]]=6),"Weekend","Weekday")</f>
        <v>Weekend</v>
      </c>
      <c r="J34" s="10">
        <v>2</v>
      </c>
      <c r="K34" s="10">
        <v>0.38</v>
      </c>
      <c r="L34" s="51">
        <v>0.19993489148580967</v>
      </c>
      <c r="M34" s="10">
        <v>0.76</v>
      </c>
      <c r="N34" s="10">
        <v>0.22389999999999999</v>
      </c>
      <c r="O34" s="10">
        <v>1</v>
      </c>
      <c r="P34" s="10">
        <v>19</v>
      </c>
      <c r="Q34" s="10">
        <v>20</v>
      </c>
      <c r="R34" s="10" t="str">
        <f>VLOOKUP(Cleaned_datasetB[[#This Row],[Weather_Code]],Lookup_Tables!$E$9:$F$13,2,FALSE)</f>
        <v>Cloudy</v>
      </c>
      <c r="S34" s="10" t="str">
        <f>INDEX(Lookup_Tables!$I$10:$I$16,MATCH(Cleaned_datasetB[[#This Row],[Day_Code]],Lookup_Tables!$H$10:$H$16,0))</f>
        <v>Sunday</v>
      </c>
      <c r="T34" s="10" t="str">
        <f>VLOOKUP(Cleaned_datasetB[[#This Row],[Month]], Lookup_Tables!$K$8:$L$19, 2, FALSE)</f>
        <v>January</v>
      </c>
      <c r="U34" s="10" t="str">
        <f>IF(AND(Cleaned_datasetB[[#This Row],[Day_Type]]="Weekday",Cleaned_datasetB[[#This Row],[Is_Holiday]]=FALSE),"Working Day","Non-Working Day")</f>
        <v>Non-Working Day</v>
      </c>
    </row>
    <row r="35" spans="1:21">
      <c r="A35" s="10">
        <v>34</v>
      </c>
      <c r="B35" s="23">
        <v>40545</v>
      </c>
      <c r="C35" s="10">
        <v>1</v>
      </c>
      <c r="D35" s="10">
        <v>0</v>
      </c>
      <c r="E35" s="10">
        <v>1</v>
      </c>
      <c r="F35" s="10">
        <v>10</v>
      </c>
      <c r="G35" s="10" t="b">
        <v>0</v>
      </c>
      <c r="H35" s="10">
        <v>0</v>
      </c>
      <c r="I35" s="10" t="str">
        <f>IF(OR(Cleaned_datasetB[[#This Row],[Day_Code]]=0,Cleaned_datasetB[[#This Row],[Day_Code]]=6),"Weekend","Weekday")</f>
        <v>Weekend</v>
      </c>
      <c r="J35" s="10">
        <v>2</v>
      </c>
      <c r="K35" s="10">
        <v>0.36</v>
      </c>
      <c r="L35" s="51">
        <v>0.34849999999999998</v>
      </c>
      <c r="M35" s="10">
        <v>0.81</v>
      </c>
      <c r="N35" s="10">
        <v>0.22389999999999999</v>
      </c>
      <c r="O35" s="10">
        <v>7</v>
      </c>
      <c r="P35" s="10">
        <v>46</v>
      </c>
      <c r="Q35" s="10">
        <v>53</v>
      </c>
      <c r="R35" s="10" t="str">
        <f>VLOOKUP(Cleaned_datasetB[[#This Row],[Weather_Code]],Lookup_Tables!$E$9:$F$13,2,FALSE)</f>
        <v>Cloudy</v>
      </c>
      <c r="S35" s="10" t="str">
        <f>INDEX(Lookup_Tables!$I$10:$I$16,MATCH(Cleaned_datasetB[[#This Row],[Day_Code]],Lookup_Tables!$H$10:$H$16,0))</f>
        <v>Sunday</v>
      </c>
      <c r="T35" s="10" t="str">
        <f>VLOOKUP(Cleaned_datasetB[[#This Row],[Month]], Lookup_Tables!$K$8:$L$19, 2, FALSE)</f>
        <v>January</v>
      </c>
      <c r="U35" s="10" t="str">
        <f>IF(AND(Cleaned_datasetB[[#This Row],[Day_Type]]="Weekday",Cleaned_datasetB[[#This Row],[Is_Holiday]]=FALSE),"Working Day","Non-Working Day")</f>
        <v>Non-Working Day</v>
      </c>
    </row>
    <row r="36" spans="1:21">
      <c r="A36" s="10">
        <v>35</v>
      </c>
      <c r="B36" s="23">
        <v>40545</v>
      </c>
      <c r="C36" s="10">
        <v>1</v>
      </c>
      <c r="D36" s="10">
        <v>0</v>
      </c>
      <c r="E36" s="10">
        <v>1</v>
      </c>
      <c r="F36" s="10">
        <v>11</v>
      </c>
      <c r="G36" s="10" t="b">
        <v>0</v>
      </c>
      <c r="H36" s="10">
        <v>0</v>
      </c>
      <c r="I36" s="10" t="str">
        <f>IF(OR(Cleaned_datasetB[[#This Row],[Day_Code]]=0,Cleaned_datasetB[[#This Row],[Day_Code]]=6),"Weekend","Weekday")</f>
        <v>Weekend</v>
      </c>
      <c r="J36" s="10">
        <v>2</v>
      </c>
      <c r="K36" s="10">
        <v>0.36</v>
      </c>
      <c r="L36" s="51">
        <v>0.33329999999999999</v>
      </c>
      <c r="M36" s="10">
        <v>0.71</v>
      </c>
      <c r="N36" s="10">
        <v>0.25369999999999998</v>
      </c>
      <c r="O36" s="10">
        <v>16</v>
      </c>
      <c r="P36" s="10">
        <v>54</v>
      </c>
      <c r="Q36" s="10">
        <v>70</v>
      </c>
      <c r="R36" s="10" t="str">
        <f>VLOOKUP(Cleaned_datasetB[[#This Row],[Weather_Code]],Lookup_Tables!$E$9:$F$13,2,FALSE)</f>
        <v>Cloudy</v>
      </c>
      <c r="S36" s="10" t="str">
        <f>INDEX(Lookup_Tables!$I$10:$I$16,MATCH(Cleaned_datasetB[[#This Row],[Day_Code]],Lookup_Tables!$H$10:$H$16,0))</f>
        <v>Sunday</v>
      </c>
      <c r="T36" s="10" t="str">
        <f>VLOOKUP(Cleaned_datasetB[[#This Row],[Month]], Lookup_Tables!$K$8:$L$19, 2, FALSE)</f>
        <v>January</v>
      </c>
      <c r="U36" s="10" t="str">
        <f>IF(AND(Cleaned_datasetB[[#This Row],[Day_Type]]="Weekday",Cleaned_datasetB[[#This Row],[Is_Holiday]]=FALSE),"Working Day","Non-Working Day")</f>
        <v>Non-Working Day</v>
      </c>
    </row>
    <row r="37" spans="1:21">
      <c r="A37" s="10">
        <v>36</v>
      </c>
      <c r="B37" s="23">
        <v>40545</v>
      </c>
      <c r="C37" s="10">
        <v>1</v>
      </c>
      <c r="D37" s="10">
        <v>0</v>
      </c>
      <c r="E37" s="10">
        <v>1</v>
      </c>
      <c r="F37" s="10">
        <v>12</v>
      </c>
      <c r="G37" s="10" t="b">
        <v>0</v>
      </c>
      <c r="H37" s="10">
        <v>0</v>
      </c>
      <c r="I37" s="10" t="str">
        <f>IF(OR(Cleaned_datasetB[[#This Row],[Day_Code]]=0,Cleaned_datasetB[[#This Row],[Day_Code]]=6),"Weekend","Weekday")</f>
        <v>Weekend</v>
      </c>
      <c r="J37" s="10">
        <v>2</v>
      </c>
      <c r="K37" s="10">
        <v>0.36</v>
      </c>
      <c r="L37" s="51">
        <v>0.33329999999999999</v>
      </c>
      <c r="M37" s="10">
        <v>0.66</v>
      </c>
      <c r="N37" s="10">
        <v>0.29849999999999999</v>
      </c>
      <c r="O37" s="10">
        <v>20</v>
      </c>
      <c r="P37" s="10">
        <v>73</v>
      </c>
      <c r="Q37" s="10">
        <v>93</v>
      </c>
      <c r="R37" s="10" t="str">
        <f>VLOOKUP(Cleaned_datasetB[[#This Row],[Weather_Code]],Lookup_Tables!$E$9:$F$13,2,FALSE)</f>
        <v>Cloudy</v>
      </c>
      <c r="S37" s="10" t="str">
        <f>INDEX(Lookup_Tables!$I$10:$I$16,MATCH(Cleaned_datasetB[[#This Row],[Day_Code]],Lookup_Tables!$H$10:$H$16,0))</f>
        <v>Sunday</v>
      </c>
      <c r="T37" s="10" t="str">
        <f>VLOOKUP(Cleaned_datasetB[[#This Row],[Month]], Lookup_Tables!$K$8:$L$19, 2, FALSE)</f>
        <v>January</v>
      </c>
      <c r="U37" s="10" t="str">
        <f>IF(AND(Cleaned_datasetB[[#This Row],[Day_Type]]="Weekday",Cleaned_datasetB[[#This Row],[Is_Holiday]]=FALSE),"Working Day","Non-Working Day")</f>
        <v>Non-Working Day</v>
      </c>
    </row>
    <row r="38" spans="1:21">
      <c r="A38" s="10">
        <v>37</v>
      </c>
      <c r="B38" s="23">
        <v>40545</v>
      </c>
      <c r="C38" s="10">
        <v>1</v>
      </c>
      <c r="D38" s="10">
        <v>0</v>
      </c>
      <c r="E38" s="10">
        <v>1</v>
      </c>
      <c r="F38" s="10">
        <v>13</v>
      </c>
      <c r="G38" s="10" t="b">
        <v>0</v>
      </c>
      <c r="H38" s="10">
        <v>0</v>
      </c>
      <c r="I38" s="10" t="str">
        <f>IF(OR(Cleaned_datasetB[[#This Row],[Day_Code]]=0,Cleaned_datasetB[[#This Row],[Day_Code]]=6),"Weekend","Weekday")</f>
        <v>Weekend</v>
      </c>
      <c r="J38" s="10">
        <v>2</v>
      </c>
      <c r="K38" s="10">
        <v>0.36</v>
      </c>
      <c r="L38" s="51">
        <v>0.34849999999999998</v>
      </c>
      <c r="M38" s="10">
        <v>0.66</v>
      </c>
      <c r="N38" s="10">
        <v>0.1343</v>
      </c>
      <c r="O38" s="10">
        <v>11</v>
      </c>
      <c r="P38" s="10">
        <v>64</v>
      </c>
      <c r="Q38" s="10">
        <v>75</v>
      </c>
      <c r="R38" s="10" t="str">
        <f>VLOOKUP(Cleaned_datasetB[[#This Row],[Weather_Code]],Lookup_Tables!$E$9:$F$13,2,FALSE)</f>
        <v>Cloudy</v>
      </c>
      <c r="S38" s="10" t="str">
        <f>INDEX(Lookup_Tables!$I$10:$I$16,MATCH(Cleaned_datasetB[[#This Row],[Day_Code]],Lookup_Tables!$H$10:$H$16,0))</f>
        <v>Sunday</v>
      </c>
      <c r="T38" s="10" t="str">
        <f>VLOOKUP(Cleaned_datasetB[[#This Row],[Month]], Lookup_Tables!$K$8:$L$19, 2, FALSE)</f>
        <v>January</v>
      </c>
      <c r="U38" s="10" t="str">
        <f>IF(AND(Cleaned_datasetB[[#This Row],[Day_Type]]="Weekday",Cleaned_datasetB[[#This Row],[Is_Holiday]]=FALSE),"Working Day","Non-Working Day")</f>
        <v>Non-Working Day</v>
      </c>
    </row>
    <row r="39" spans="1:21">
      <c r="A39" s="10">
        <v>38</v>
      </c>
      <c r="B39" s="23">
        <v>40545</v>
      </c>
      <c r="C39" s="10">
        <v>1</v>
      </c>
      <c r="D39" s="10">
        <v>0</v>
      </c>
      <c r="E39" s="10">
        <v>1</v>
      </c>
      <c r="F39" s="10">
        <v>14</v>
      </c>
      <c r="G39" s="10" t="b">
        <v>0</v>
      </c>
      <c r="H39" s="10">
        <v>0</v>
      </c>
      <c r="I39" s="10" t="str">
        <f>IF(OR(Cleaned_datasetB[[#This Row],[Day_Code]]=0,Cleaned_datasetB[[#This Row],[Day_Code]]=6),"Weekend","Weekday")</f>
        <v>Weekend</v>
      </c>
      <c r="J39" s="10">
        <v>3</v>
      </c>
      <c r="K39" s="10">
        <v>0.36</v>
      </c>
      <c r="L39" s="51">
        <v>0.19993489148580967</v>
      </c>
      <c r="M39" s="10">
        <v>0.76</v>
      </c>
      <c r="N39" s="10">
        <v>0.19400000000000001</v>
      </c>
      <c r="O39" s="10">
        <v>4</v>
      </c>
      <c r="P39" s="10">
        <v>55</v>
      </c>
      <c r="Q39" s="10">
        <v>59</v>
      </c>
      <c r="R39" s="10" t="str">
        <f>VLOOKUP(Cleaned_datasetB[[#This Row],[Weather_Code]],Lookup_Tables!$E$9:$F$13,2,FALSE)</f>
        <v>Light Rain</v>
      </c>
      <c r="S39" s="10" t="str">
        <f>INDEX(Lookup_Tables!$I$10:$I$16,MATCH(Cleaned_datasetB[[#This Row],[Day_Code]],Lookup_Tables!$H$10:$H$16,0))</f>
        <v>Sunday</v>
      </c>
      <c r="T39" s="10" t="str">
        <f>VLOOKUP(Cleaned_datasetB[[#This Row],[Month]], Lookup_Tables!$K$8:$L$19, 2, FALSE)</f>
        <v>January</v>
      </c>
      <c r="U39" s="10" t="str">
        <f>IF(AND(Cleaned_datasetB[[#This Row],[Day_Type]]="Weekday",Cleaned_datasetB[[#This Row],[Is_Holiday]]=FALSE),"Working Day","Non-Working Day")</f>
        <v>Non-Working Day</v>
      </c>
    </row>
    <row r="40" spans="1:21">
      <c r="A40" s="10">
        <v>39</v>
      </c>
      <c r="B40" s="23">
        <v>40545</v>
      </c>
      <c r="C40" s="10">
        <v>1</v>
      </c>
      <c r="D40" s="10">
        <v>0</v>
      </c>
      <c r="E40" s="10">
        <v>1</v>
      </c>
      <c r="F40" s="10">
        <v>15</v>
      </c>
      <c r="G40" s="10" t="b">
        <v>0</v>
      </c>
      <c r="H40" s="10">
        <v>0</v>
      </c>
      <c r="I40" s="10" t="str">
        <f>IF(OR(Cleaned_datasetB[[#This Row],[Day_Code]]=0,Cleaned_datasetB[[#This Row],[Day_Code]]=6),"Weekend","Weekday")</f>
        <v>Weekend</v>
      </c>
      <c r="J40" s="10">
        <v>3</v>
      </c>
      <c r="K40" s="10">
        <v>0.34</v>
      </c>
      <c r="L40" s="51">
        <v>0.33329999999999999</v>
      </c>
      <c r="M40" s="10">
        <v>0.81</v>
      </c>
      <c r="N40" s="10">
        <v>0.16420000000000001</v>
      </c>
      <c r="O40" s="10">
        <v>19</v>
      </c>
      <c r="P40" s="10">
        <v>55</v>
      </c>
      <c r="Q40" s="10">
        <v>74</v>
      </c>
      <c r="R40" s="10" t="str">
        <f>VLOOKUP(Cleaned_datasetB[[#This Row],[Weather_Code]],Lookup_Tables!$E$9:$F$13,2,FALSE)</f>
        <v>Light Rain</v>
      </c>
      <c r="S40" s="10" t="str">
        <f>INDEX(Lookup_Tables!$I$10:$I$16,MATCH(Cleaned_datasetB[[#This Row],[Day_Code]],Lookup_Tables!$H$10:$H$16,0))</f>
        <v>Sunday</v>
      </c>
      <c r="T40" s="10" t="str">
        <f>VLOOKUP(Cleaned_datasetB[[#This Row],[Month]], Lookup_Tables!$K$8:$L$19, 2, FALSE)</f>
        <v>January</v>
      </c>
      <c r="U40" s="10" t="str">
        <f>IF(AND(Cleaned_datasetB[[#This Row],[Day_Type]]="Weekday",Cleaned_datasetB[[#This Row],[Is_Holiday]]=FALSE),"Working Day","Non-Working Day")</f>
        <v>Non-Working Day</v>
      </c>
    </row>
    <row r="41" spans="1:21">
      <c r="A41" s="10">
        <v>40</v>
      </c>
      <c r="B41" s="23">
        <v>40545</v>
      </c>
      <c r="C41" s="10">
        <v>1</v>
      </c>
      <c r="D41" s="10">
        <v>0</v>
      </c>
      <c r="E41" s="10">
        <v>1</v>
      </c>
      <c r="F41" s="10">
        <v>16</v>
      </c>
      <c r="G41" s="10" t="b">
        <v>0</v>
      </c>
      <c r="H41" s="10">
        <v>0</v>
      </c>
      <c r="I41" s="10" t="str">
        <f>IF(OR(Cleaned_datasetB[[#This Row],[Day_Code]]=0,Cleaned_datasetB[[#This Row],[Day_Code]]=6),"Weekend","Weekday")</f>
        <v>Weekend</v>
      </c>
      <c r="J41" s="10">
        <v>3</v>
      </c>
      <c r="K41" s="10">
        <v>0.34</v>
      </c>
      <c r="L41" s="51">
        <v>0.33329999999999999</v>
      </c>
      <c r="M41" s="10">
        <v>0.71</v>
      </c>
      <c r="N41" s="10">
        <v>0.16420000000000001</v>
      </c>
      <c r="O41" s="10">
        <v>9</v>
      </c>
      <c r="P41" s="10">
        <v>67</v>
      </c>
      <c r="Q41" s="10">
        <v>76</v>
      </c>
      <c r="R41" s="10" t="str">
        <f>VLOOKUP(Cleaned_datasetB[[#This Row],[Weather_Code]],Lookup_Tables!$E$9:$F$13,2,FALSE)</f>
        <v>Light Rain</v>
      </c>
      <c r="S41" s="10" t="str">
        <f>INDEX(Lookup_Tables!$I$10:$I$16,MATCH(Cleaned_datasetB[[#This Row],[Day_Code]],Lookup_Tables!$H$10:$H$16,0))</f>
        <v>Sunday</v>
      </c>
      <c r="T41" s="10" t="str">
        <f>VLOOKUP(Cleaned_datasetB[[#This Row],[Month]], Lookup_Tables!$K$8:$L$19, 2, FALSE)</f>
        <v>January</v>
      </c>
      <c r="U41" s="10" t="str">
        <f>IF(AND(Cleaned_datasetB[[#This Row],[Day_Type]]="Weekday",Cleaned_datasetB[[#This Row],[Is_Holiday]]=FALSE),"Working Day","Non-Working Day")</f>
        <v>Non-Working Day</v>
      </c>
    </row>
    <row r="42" spans="1:21">
      <c r="A42" s="10">
        <v>41</v>
      </c>
      <c r="B42" s="23">
        <v>40545</v>
      </c>
      <c r="C42" s="10">
        <v>1</v>
      </c>
      <c r="D42" s="10">
        <v>0</v>
      </c>
      <c r="E42" s="10">
        <v>1</v>
      </c>
      <c r="F42" s="10">
        <v>17</v>
      </c>
      <c r="G42" s="10" t="b">
        <v>0</v>
      </c>
      <c r="H42" s="10">
        <v>0</v>
      </c>
      <c r="I42" s="10" t="str">
        <f>IF(OR(Cleaned_datasetB[[#This Row],[Day_Code]]=0,Cleaned_datasetB[[#This Row],[Day_Code]]=6),"Weekend","Weekday")</f>
        <v>Weekend</v>
      </c>
      <c r="J42" s="10">
        <v>1</v>
      </c>
      <c r="K42" s="10">
        <v>0.34</v>
      </c>
      <c r="L42" s="51">
        <v>0.33329999999999999</v>
      </c>
      <c r="M42" s="10">
        <v>0.56999999999999995</v>
      </c>
      <c r="N42" s="10">
        <v>0.19400000000000001</v>
      </c>
      <c r="O42" s="10">
        <v>7</v>
      </c>
      <c r="P42" s="10">
        <v>58</v>
      </c>
      <c r="Q42" s="10">
        <v>65</v>
      </c>
      <c r="R42" s="10" t="str">
        <f>VLOOKUP(Cleaned_datasetB[[#This Row],[Weather_Code]],Lookup_Tables!$E$9:$F$13,2,FALSE)</f>
        <v>Clear</v>
      </c>
      <c r="S42" s="10" t="str">
        <f>INDEX(Lookup_Tables!$I$10:$I$16,MATCH(Cleaned_datasetB[[#This Row],[Day_Code]],Lookup_Tables!$H$10:$H$16,0))</f>
        <v>Sunday</v>
      </c>
      <c r="T42" s="10" t="str">
        <f>VLOOKUP(Cleaned_datasetB[[#This Row],[Month]], Lookup_Tables!$K$8:$L$19, 2, FALSE)</f>
        <v>January</v>
      </c>
      <c r="U42" s="10" t="str">
        <f>IF(AND(Cleaned_datasetB[[#This Row],[Day_Type]]="Weekday",Cleaned_datasetB[[#This Row],[Is_Holiday]]=FALSE),"Working Day","Non-Working Day")</f>
        <v>Non-Working Day</v>
      </c>
    </row>
    <row r="43" spans="1:21">
      <c r="A43" s="10">
        <v>42</v>
      </c>
      <c r="B43" s="23">
        <v>40545</v>
      </c>
      <c r="C43" s="10">
        <v>1</v>
      </c>
      <c r="D43" s="10">
        <v>0</v>
      </c>
      <c r="E43" s="10">
        <v>1</v>
      </c>
      <c r="F43" s="10">
        <v>18</v>
      </c>
      <c r="G43" s="10" t="b">
        <v>0</v>
      </c>
      <c r="H43" s="10">
        <v>0</v>
      </c>
      <c r="I43" s="10" t="str">
        <f>IF(OR(Cleaned_datasetB[[#This Row],[Day_Code]]=0,Cleaned_datasetB[[#This Row],[Day_Code]]=6),"Weekend","Weekday")</f>
        <v>Weekend</v>
      </c>
      <c r="J43" s="10">
        <v>2</v>
      </c>
      <c r="K43" s="10">
        <v>0.36</v>
      </c>
      <c r="L43" s="51">
        <v>0.33329999999999999</v>
      </c>
      <c r="M43" s="10">
        <v>0.46</v>
      </c>
      <c r="N43" s="10">
        <v>0.32840000000000003</v>
      </c>
      <c r="O43" s="10">
        <v>10</v>
      </c>
      <c r="P43" s="10">
        <v>43</v>
      </c>
      <c r="Q43" s="10">
        <v>53</v>
      </c>
      <c r="R43" s="10" t="str">
        <f>VLOOKUP(Cleaned_datasetB[[#This Row],[Weather_Code]],Lookup_Tables!$E$9:$F$13,2,FALSE)</f>
        <v>Cloudy</v>
      </c>
      <c r="S43" s="10" t="str">
        <f>INDEX(Lookup_Tables!$I$10:$I$16,MATCH(Cleaned_datasetB[[#This Row],[Day_Code]],Lookup_Tables!$H$10:$H$16,0))</f>
        <v>Sunday</v>
      </c>
      <c r="T43" s="10" t="str">
        <f>VLOOKUP(Cleaned_datasetB[[#This Row],[Month]], Lookup_Tables!$K$8:$L$19, 2, FALSE)</f>
        <v>January</v>
      </c>
      <c r="U43" s="10" t="str">
        <f>IF(AND(Cleaned_datasetB[[#This Row],[Day_Type]]="Weekday",Cleaned_datasetB[[#This Row],[Is_Holiday]]=FALSE),"Working Day","Non-Working Day")</f>
        <v>Non-Working Day</v>
      </c>
    </row>
    <row r="44" spans="1:21">
      <c r="A44" s="10">
        <v>43</v>
      </c>
      <c r="B44" s="23">
        <v>40545</v>
      </c>
      <c r="C44" s="10">
        <v>1</v>
      </c>
      <c r="D44" s="10">
        <v>0</v>
      </c>
      <c r="E44" s="10">
        <v>1</v>
      </c>
      <c r="F44" s="10">
        <v>19</v>
      </c>
      <c r="G44" s="10" t="b">
        <v>0</v>
      </c>
      <c r="H44" s="10">
        <v>0</v>
      </c>
      <c r="I44" s="10" t="str">
        <f>IF(OR(Cleaned_datasetB[[#This Row],[Day_Code]]=0,Cleaned_datasetB[[#This Row],[Day_Code]]=6),"Weekend","Weekday")</f>
        <v>Weekend</v>
      </c>
      <c r="J44" s="10">
        <v>1</v>
      </c>
      <c r="K44" s="10">
        <v>0.32</v>
      </c>
      <c r="L44" s="51">
        <v>0.28789999999999999</v>
      </c>
      <c r="M44" s="10">
        <v>0.42</v>
      </c>
      <c r="N44" s="10">
        <v>0.44779999999999998</v>
      </c>
      <c r="O44" s="10">
        <v>1</v>
      </c>
      <c r="P44" s="10">
        <v>29</v>
      </c>
      <c r="Q44" s="10">
        <v>30</v>
      </c>
      <c r="R44" s="10" t="str">
        <f>VLOOKUP(Cleaned_datasetB[[#This Row],[Weather_Code]],Lookup_Tables!$E$9:$F$13,2,FALSE)</f>
        <v>Clear</v>
      </c>
      <c r="S44" s="10" t="str">
        <f>INDEX(Lookup_Tables!$I$10:$I$16,MATCH(Cleaned_datasetB[[#This Row],[Day_Code]],Lookup_Tables!$H$10:$H$16,0))</f>
        <v>Sunday</v>
      </c>
      <c r="T44" s="10" t="str">
        <f>VLOOKUP(Cleaned_datasetB[[#This Row],[Month]], Lookup_Tables!$K$8:$L$19, 2, FALSE)</f>
        <v>January</v>
      </c>
      <c r="U44" s="10" t="str">
        <f>IF(AND(Cleaned_datasetB[[#This Row],[Day_Type]]="Weekday",Cleaned_datasetB[[#This Row],[Is_Holiday]]=FALSE),"Working Day","Non-Working Day")</f>
        <v>Non-Working Day</v>
      </c>
    </row>
    <row r="45" spans="1:21">
      <c r="A45" s="10">
        <v>44</v>
      </c>
      <c r="B45" s="23">
        <v>40545</v>
      </c>
      <c r="C45" s="10">
        <v>1</v>
      </c>
      <c r="D45" s="10">
        <v>0</v>
      </c>
      <c r="E45" s="10">
        <v>1</v>
      </c>
      <c r="F45" s="10">
        <v>20</v>
      </c>
      <c r="G45" s="10" t="b">
        <v>0</v>
      </c>
      <c r="H45" s="10">
        <v>0</v>
      </c>
      <c r="I45" s="10" t="str">
        <f>IF(OR(Cleaned_datasetB[[#This Row],[Day_Code]]=0,Cleaned_datasetB[[#This Row],[Day_Code]]=6),"Weekend","Weekday")</f>
        <v>Weekend</v>
      </c>
      <c r="J45" s="10">
        <v>1</v>
      </c>
      <c r="K45" s="10">
        <v>0.3</v>
      </c>
      <c r="L45" s="51">
        <v>0.19993489148580967</v>
      </c>
      <c r="M45" s="10">
        <v>0.39</v>
      </c>
      <c r="N45" s="10">
        <v>0.35820000000000002</v>
      </c>
      <c r="O45" s="10">
        <v>5</v>
      </c>
      <c r="P45" s="10">
        <v>17</v>
      </c>
      <c r="Q45" s="10">
        <v>22</v>
      </c>
      <c r="R45" s="10" t="str">
        <f>VLOOKUP(Cleaned_datasetB[[#This Row],[Weather_Code]],Lookup_Tables!$E$9:$F$13,2,FALSE)</f>
        <v>Clear</v>
      </c>
      <c r="S45" s="10" t="str">
        <f>INDEX(Lookup_Tables!$I$10:$I$16,MATCH(Cleaned_datasetB[[#This Row],[Day_Code]],Lookup_Tables!$H$10:$H$16,0))</f>
        <v>Sunday</v>
      </c>
      <c r="T45" s="10" t="str">
        <f>VLOOKUP(Cleaned_datasetB[[#This Row],[Month]], Lookup_Tables!$K$8:$L$19, 2, FALSE)</f>
        <v>January</v>
      </c>
      <c r="U45" s="10" t="str">
        <f>IF(AND(Cleaned_datasetB[[#This Row],[Day_Type]]="Weekday",Cleaned_datasetB[[#This Row],[Is_Holiday]]=FALSE),"Working Day","Non-Working Day")</f>
        <v>Non-Working Day</v>
      </c>
    </row>
    <row r="46" spans="1:21">
      <c r="A46" s="10">
        <v>45</v>
      </c>
      <c r="B46" s="23">
        <v>40545</v>
      </c>
      <c r="C46" s="10">
        <v>1</v>
      </c>
      <c r="D46" s="10">
        <v>0</v>
      </c>
      <c r="E46" s="10">
        <v>1</v>
      </c>
      <c r="F46" s="10">
        <v>21</v>
      </c>
      <c r="G46" s="10" t="b">
        <v>0</v>
      </c>
      <c r="H46" s="10">
        <v>0</v>
      </c>
      <c r="I46" s="10" t="str">
        <f>IF(OR(Cleaned_datasetB[[#This Row],[Day_Code]]=0,Cleaned_datasetB[[#This Row],[Day_Code]]=6),"Weekend","Weekday")</f>
        <v>Weekend</v>
      </c>
      <c r="J46" s="10">
        <v>1</v>
      </c>
      <c r="K46" s="10">
        <v>0.26</v>
      </c>
      <c r="L46" s="51">
        <v>0.2273</v>
      </c>
      <c r="M46" s="10">
        <v>0.44</v>
      </c>
      <c r="N46" s="10">
        <v>0.32840000000000003</v>
      </c>
      <c r="O46" s="10">
        <v>11</v>
      </c>
      <c r="P46" s="10">
        <v>20</v>
      </c>
      <c r="Q46" s="10">
        <v>31</v>
      </c>
      <c r="R46" s="10" t="str">
        <f>VLOOKUP(Cleaned_datasetB[[#This Row],[Weather_Code]],Lookup_Tables!$E$9:$F$13,2,FALSE)</f>
        <v>Clear</v>
      </c>
      <c r="S46" s="10" t="str">
        <f>INDEX(Lookup_Tables!$I$10:$I$16,MATCH(Cleaned_datasetB[[#This Row],[Day_Code]],Lookup_Tables!$H$10:$H$16,0))</f>
        <v>Sunday</v>
      </c>
      <c r="T46" s="10" t="str">
        <f>VLOOKUP(Cleaned_datasetB[[#This Row],[Month]], Lookup_Tables!$K$8:$L$19, 2, FALSE)</f>
        <v>January</v>
      </c>
      <c r="U46" s="10" t="str">
        <f>IF(AND(Cleaned_datasetB[[#This Row],[Day_Type]]="Weekday",Cleaned_datasetB[[#This Row],[Is_Holiday]]=FALSE),"Working Day","Non-Working Day")</f>
        <v>Non-Working Day</v>
      </c>
    </row>
    <row r="47" spans="1:21">
      <c r="A47" s="10">
        <v>46</v>
      </c>
      <c r="B47" s="23">
        <v>40545</v>
      </c>
      <c r="C47" s="10">
        <v>1</v>
      </c>
      <c r="D47" s="10">
        <v>0</v>
      </c>
      <c r="E47" s="10">
        <v>1</v>
      </c>
      <c r="F47" s="10">
        <v>22</v>
      </c>
      <c r="G47" s="10" t="b">
        <v>0</v>
      </c>
      <c r="H47" s="10">
        <v>0</v>
      </c>
      <c r="I47" s="10" t="str">
        <f>IF(OR(Cleaned_datasetB[[#This Row],[Day_Code]]=0,Cleaned_datasetB[[#This Row],[Day_Code]]=6),"Weekend","Weekday")</f>
        <v>Weekend</v>
      </c>
      <c r="J47" s="10">
        <v>1</v>
      </c>
      <c r="K47" s="10">
        <v>0.24</v>
      </c>
      <c r="L47" s="51">
        <v>0.21210000000000001</v>
      </c>
      <c r="M47" s="10">
        <v>0.44</v>
      </c>
      <c r="N47" s="10">
        <v>0.29849999999999999</v>
      </c>
      <c r="O47" s="10">
        <v>0</v>
      </c>
      <c r="P47" s="10">
        <v>9</v>
      </c>
      <c r="Q47" s="10">
        <v>9</v>
      </c>
      <c r="R47" s="10" t="str">
        <f>VLOOKUP(Cleaned_datasetB[[#This Row],[Weather_Code]],Lookup_Tables!$E$9:$F$13,2,FALSE)</f>
        <v>Clear</v>
      </c>
      <c r="S47" s="10" t="str">
        <f>INDEX(Lookup_Tables!$I$10:$I$16,MATCH(Cleaned_datasetB[[#This Row],[Day_Code]],Lookup_Tables!$H$10:$H$16,0))</f>
        <v>Sunday</v>
      </c>
      <c r="T47" s="10" t="str">
        <f>VLOOKUP(Cleaned_datasetB[[#This Row],[Month]], Lookup_Tables!$K$8:$L$19, 2, FALSE)</f>
        <v>January</v>
      </c>
      <c r="U47" s="10" t="str">
        <f>IF(AND(Cleaned_datasetB[[#This Row],[Day_Type]]="Weekday",Cleaned_datasetB[[#This Row],[Is_Holiday]]=FALSE),"Working Day","Non-Working Day")</f>
        <v>Non-Working Day</v>
      </c>
    </row>
    <row r="48" spans="1:21">
      <c r="A48" s="10">
        <v>47</v>
      </c>
      <c r="B48" s="23">
        <v>40545</v>
      </c>
      <c r="C48" s="10">
        <v>1</v>
      </c>
      <c r="D48" s="10">
        <v>0</v>
      </c>
      <c r="E48" s="10">
        <v>1</v>
      </c>
      <c r="F48" s="10">
        <v>23</v>
      </c>
      <c r="G48" s="10" t="b">
        <v>0</v>
      </c>
      <c r="H48" s="10">
        <v>0</v>
      </c>
      <c r="I48" s="10" t="str">
        <f>IF(OR(Cleaned_datasetB[[#This Row],[Day_Code]]=0,Cleaned_datasetB[[#This Row],[Day_Code]]=6),"Weekend","Weekday")</f>
        <v>Weekend</v>
      </c>
      <c r="J48" s="10">
        <v>1</v>
      </c>
      <c r="K48" s="10">
        <v>0.22</v>
      </c>
      <c r="L48" s="51">
        <v>0.2273</v>
      </c>
      <c r="M48" s="10">
        <v>0.47</v>
      </c>
      <c r="N48" s="10">
        <v>0.16420000000000001</v>
      </c>
      <c r="O48" s="10">
        <v>0</v>
      </c>
      <c r="P48" s="10">
        <v>8</v>
      </c>
      <c r="Q48" s="10">
        <v>8</v>
      </c>
      <c r="R48" s="10" t="str">
        <f>VLOOKUP(Cleaned_datasetB[[#This Row],[Weather_Code]],Lookup_Tables!$E$9:$F$13,2,FALSE)</f>
        <v>Clear</v>
      </c>
      <c r="S48" s="10" t="str">
        <f>INDEX(Lookup_Tables!$I$10:$I$16,MATCH(Cleaned_datasetB[[#This Row],[Day_Code]],Lookup_Tables!$H$10:$H$16,0))</f>
        <v>Sunday</v>
      </c>
      <c r="T48" s="10" t="str">
        <f>VLOOKUP(Cleaned_datasetB[[#This Row],[Month]], Lookup_Tables!$K$8:$L$19, 2, FALSE)</f>
        <v>January</v>
      </c>
      <c r="U48" s="10" t="str">
        <f>IF(AND(Cleaned_datasetB[[#This Row],[Day_Type]]="Weekday",Cleaned_datasetB[[#This Row],[Is_Holiday]]=FALSE),"Working Day","Non-Working Day")</f>
        <v>Non-Working Day</v>
      </c>
    </row>
    <row r="49" spans="1:21">
      <c r="A49" s="10">
        <v>48</v>
      </c>
      <c r="B49" s="23">
        <v>40546</v>
      </c>
      <c r="C49" s="10">
        <v>1</v>
      </c>
      <c r="D49" s="10">
        <v>0</v>
      </c>
      <c r="E49" s="10">
        <v>1</v>
      </c>
      <c r="F49" s="10">
        <v>0</v>
      </c>
      <c r="G49" s="10" t="b">
        <v>0</v>
      </c>
      <c r="H49" s="10">
        <v>1</v>
      </c>
      <c r="I49" s="10" t="str">
        <f>IF(OR(Cleaned_datasetB[[#This Row],[Day_Code]]=0,Cleaned_datasetB[[#This Row],[Day_Code]]=6),"Weekend","Weekday")</f>
        <v>Weekday</v>
      </c>
      <c r="J49" s="10">
        <v>1</v>
      </c>
      <c r="K49" s="10">
        <v>0.22</v>
      </c>
      <c r="L49" s="51">
        <v>0.19700000000000001</v>
      </c>
      <c r="M49" s="10">
        <v>0.44</v>
      </c>
      <c r="N49" s="10">
        <v>0.35820000000000002</v>
      </c>
      <c r="O49" s="10">
        <v>0</v>
      </c>
      <c r="P49" s="10">
        <v>5</v>
      </c>
      <c r="Q49" s="10">
        <v>5</v>
      </c>
      <c r="R49" s="10" t="str">
        <f>VLOOKUP(Cleaned_datasetB[[#This Row],[Weather_Code]],Lookup_Tables!$E$9:$F$13,2,FALSE)</f>
        <v>Clear</v>
      </c>
      <c r="S49" s="10" t="str">
        <f>INDEX(Lookup_Tables!$I$10:$I$16,MATCH(Cleaned_datasetB[[#This Row],[Day_Code]],Lookup_Tables!$H$10:$H$16,0))</f>
        <v>Monday</v>
      </c>
      <c r="T49" s="10" t="str">
        <f>VLOOKUP(Cleaned_datasetB[[#This Row],[Month]], Lookup_Tables!$K$8:$L$19, 2, FALSE)</f>
        <v>January</v>
      </c>
      <c r="U49" s="10" t="str">
        <f>IF(AND(Cleaned_datasetB[[#This Row],[Day_Type]]="Weekday",Cleaned_datasetB[[#This Row],[Is_Holiday]]=FALSE),"Working Day","Non-Working Day")</f>
        <v>Working Day</v>
      </c>
    </row>
    <row r="50" spans="1:21">
      <c r="A50" s="10">
        <v>49</v>
      </c>
      <c r="B50" s="23">
        <v>40546</v>
      </c>
      <c r="C50" s="10">
        <v>1</v>
      </c>
      <c r="D50" s="10">
        <v>0</v>
      </c>
      <c r="E50" s="10">
        <v>1</v>
      </c>
      <c r="F50" s="10">
        <v>1</v>
      </c>
      <c r="G50" s="10" t="b">
        <v>0</v>
      </c>
      <c r="H50" s="10">
        <v>1</v>
      </c>
      <c r="I50" s="10" t="str">
        <f>IF(OR(Cleaned_datasetB[[#This Row],[Day_Code]]=0,Cleaned_datasetB[[#This Row],[Day_Code]]=6),"Weekend","Weekday")</f>
        <v>Weekday</v>
      </c>
      <c r="J50" s="10">
        <v>1</v>
      </c>
      <c r="K50" s="10">
        <v>0.2</v>
      </c>
      <c r="L50" s="51">
        <v>0.19993489148580967</v>
      </c>
      <c r="M50" s="10">
        <v>0.44</v>
      </c>
      <c r="N50" s="10">
        <v>0.41789999999999999</v>
      </c>
      <c r="O50" s="10">
        <v>0</v>
      </c>
      <c r="P50" s="10">
        <v>2</v>
      </c>
      <c r="Q50" s="10">
        <v>2</v>
      </c>
      <c r="R50" s="10" t="str">
        <f>VLOOKUP(Cleaned_datasetB[[#This Row],[Weather_Code]],Lookup_Tables!$E$9:$F$13,2,FALSE)</f>
        <v>Clear</v>
      </c>
      <c r="S50" s="10" t="str">
        <f>INDEX(Lookup_Tables!$I$10:$I$16,MATCH(Cleaned_datasetB[[#This Row],[Day_Code]],Lookup_Tables!$H$10:$H$16,0))</f>
        <v>Monday</v>
      </c>
      <c r="T50" s="10" t="str">
        <f>VLOOKUP(Cleaned_datasetB[[#This Row],[Month]], Lookup_Tables!$K$8:$L$19, 2, FALSE)</f>
        <v>January</v>
      </c>
      <c r="U50" s="10" t="str">
        <f>IF(AND(Cleaned_datasetB[[#This Row],[Day_Type]]="Weekday",Cleaned_datasetB[[#This Row],[Is_Holiday]]=FALSE),"Working Day","Non-Working Day")</f>
        <v>Working Day</v>
      </c>
    </row>
    <row r="51" spans="1:21">
      <c r="A51" s="10">
        <v>50</v>
      </c>
      <c r="B51" s="23">
        <v>40546</v>
      </c>
      <c r="C51" s="10">
        <v>1</v>
      </c>
      <c r="D51" s="10">
        <v>0</v>
      </c>
      <c r="E51" s="10">
        <v>1</v>
      </c>
      <c r="F51" s="10">
        <v>4</v>
      </c>
      <c r="G51" s="10" t="b">
        <v>0</v>
      </c>
      <c r="H51" s="10">
        <v>1</v>
      </c>
      <c r="I51" s="10" t="str">
        <f>IF(OR(Cleaned_datasetB[[#This Row],[Day_Code]]=0,Cleaned_datasetB[[#This Row],[Day_Code]]=6),"Weekend","Weekday")</f>
        <v>Weekday</v>
      </c>
      <c r="J51" s="10">
        <v>1</v>
      </c>
      <c r="K51" s="10">
        <v>0.16</v>
      </c>
      <c r="L51" s="51">
        <v>0.13639999999999999</v>
      </c>
      <c r="M51" s="10">
        <v>0.47</v>
      </c>
      <c r="N51" s="10">
        <v>0.3881</v>
      </c>
      <c r="O51" s="10">
        <v>0</v>
      </c>
      <c r="P51" s="10">
        <v>1</v>
      </c>
      <c r="Q51" s="10">
        <v>1</v>
      </c>
      <c r="R51" s="10" t="str">
        <f>VLOOKUP(Cleaned_datasetB[[#This Row],[Weather_Code]],Lookup_Tables!$E$9:$F$13,2,FALSE)</f>
        <v>Clear</v>
      </c>
      <c r="S51" s="10" t="str">
        <f>INDEX(Lookup_Tables!$I$10:$I$16,MATCH(Cleaned_datasetB[[#This Row],[Day_Code]],Lookup_Tables!$H$10:$H$16,0))</f>
        <v>Monday</v>
      </c>
      <c r="T51" s="10" t="str">
        <f>VLOOKUP(Cleaned_datasetB[[#This Row],[Month]], Lookup_Tables!$K$8:$L$19, 2, FALSE)</f>
        <v>January</v>
      </c>
      <c r="U51" s="10" t="str">
        <f>IF(AND(Cleaned_datasetB[[#This Row],[Day_Type]]="Weekday",Cleaned_datasetB[[#This Row],[Is_Holiday]]=FALSE),"Working Day","Non-Working Day")</f>
        <v>Working Day</v>
      </c>
    </row>
    <row r="52" spans="1:21">
      <c r="A52" s="10">
        <v>51</v>
      </c>
      <c r="B52" s="23">
        <v>40546</v>
      </c>
      <c r="C52" s="10">
        <v>1</v>
      </c>
      <c r="D52" s="10">
        <v>0</v>
      </c>
      <c r="E52" s="10">
        <v>1</v>
      </c>
      <c r="F52" s="10">
        <v>5</v>
      </c>
      <c r="G52" s="10" t="b">
        <v>0</v>
      </c>
      <c r="H52" s="10">
        <v>1</v>
      </c>
      <c r="I52" s="10" t="str">
        <f>IF(OR(Cleaned_datasetB[[#This Row],[Day_Code]]=0,Cleaned_datasetB[[#This Row],[Day_Code]]=6),"Weekend","Weekday")</f>
        <v>Weekday</v>
      </c>
      <c r="J52" s="10">
        <v>1</v>
      </c>
      <c r="K52" s="10">
        <v>0.16</v>
      </c>
      <c r="L52" s="51">
        <v>0.13639999999999999</v>
      </c>
      <c r="M52" s="10">
        <v>0.47</v>
      </c>
      <c r="N52" s="10">
        <v>0.28360000000000002</v>
      </c>
      <c r="O52" s="10">
        <v>0</v>
      </c>
      <c r="P52" s="10">
        <v>3</v>
      </c>
      <c r="Q52" s="10">
        <v>3</v>
      </c>
      <c r="R52" s="10" t="str">
        <f>VLOOKUP(Cleaned_datasetB[[#This Row],[Weather_Code]],Lookup_Tables!$E$9:$F$13,2,FALSE)</f>
        <v>Clear</v>
      </c>
      <c r="S52" s="10" t="str">
        <f>INDEX(Lookup_Tables!$I$10:$I$16,MATCH(Cleaned_datasetB[[#This Row],[Day_Code]],Lookup_Tables!$H$10:$H$16,0))</f>
        <v>Monday</v>
      </c>
      <c r="T52" s="10" t="str">
        <f>VLOOKUP(Cleaned_datasetB[[#This Row],[Month]], Lookup_Tables!$K$8:$L$19, 2, FALSE)</f>
        <v>January</v>
      </c>
      <c r="U52" s="10" t="str">
        <f>IF(AND(Cleaned_datasetB[[#This Row],[Day_Type]]="Weekday",Cleaned_datasetB[[#This Row],[Is_Holiday]]=FALSE),"Working Day","Non-Working Day")</f>
        <v>Working Day</v>
      </c>
    </row>
    <row r="53" spans="1:21">
      <c r="A53" s="10">
        <v>52</v>
      </c>
      <c r="B53" s="23">
        <v>40546</v>
      </c>
      <c r="C53" s="10">
        <v>1</v>
      </c>
      <c r="D53" s="10">
        <v>0</v>
      </c>
      <c r="E53" s="10">
        <v>1</v>
      </c>
      <c r="F53" s="10">
        <v>6</v>
      </c>
      <c r="G53" s="10" t="b">
        <v>0</v>
      </c>
      <c r="H53" s="10">
        <v>1</v>
      </c>
      <c r="I53" s="10" t="str">
        <f>IF(OR(Cleaned_datasetB[[#This Row],[Day_Code]]=0,Cleaned_datasetB[[#This Row],[Day_Code]]=6),"Weekend","Weekday")</f>
        <v>Weekday</v>
      </c>
      <c r="J53" s="10">
        <v>1</v>
      </c>
      <c r="K53" s="10">
        <v>0.14000000000000001</v>
      </c>
      <c r="L53" s="51">
        <v>0.1061</v>
      </c>
      <c r="M53" s="10">
        <v>0.5</v>
      </c>
      <c r="N53" s="10">
        <v>0.3881</v>
      </c>
      <c r="O53" s="10">
        <v>0</v>
      </c>
      <c r="P53" s="10">
        <v>30</v>
      </c>
      <c r="Q53" s="10">
        <v>30</v>
      </c>
      <c r="R53" s="10" t="str">
        <f>VLOOKUP(Cleaned_datasetB[[#This Row],[Weather_Code]],Lookup_Tables!$E$9:$F$13,2,FALSE)</f>
        <v>Clear</v>
      </c>
      <c r="S53" s="10" t="str">
        <f>INDEX(Lookup_Tables!$I$10:$I$16,MATCH(Cleaned_datasetB[[#This Row],[Day_Code]],Lookup_Tables!$H$10:$H$16,0))</f>
        <v>Monday</v>
      </c>
      <c r="T53" s="10" t="str">
        <f>VLOOKUP(Cleaned_datasetB[[#This Row],[Month]], Lookup_Tables!$K$8:$L$19, 2, FALSE)</f>
        <v>January</v>
      </c>
      <c r="U53" s="10" t="str">
        <f>IF(AND(Cleaned_datasetB[[#This Row],[Day_Type]]="Weekday",Cleaned_datasetB[[#This Row],[Is_Holiday]]=FALSE),"Working Day","Non-Working Day")</f>
        <v>Working Day</v>
      </c>
    </row>
    <row r="54" spans="1:21">
      <c r="A54" s="10">
        <v>53</v>
      </c>
      <c r="B54" s="23">
        <v>40546</v>
      </c>
      <c r="C54" s="10">
        <v>1</v>
      </c>
      <c r="D54" s="10">
        <v>0</v>
      </c>
      <c r="E54" s="10">
        <v>1</v>
      </c>
      <c r="F54" s="10">
        <v>7</v>
      </c>
      <c r="G54" s="10" t="b">
        <v>0</v>
      </c>
      <c r="H54" s="10">
        <v>1</v>
      </c>
      <c r="I54" s="10" t="str">
        <f>IF(OR(Cleaned_datasetB[[#This Row],[Day_Code]]=0,Cleaned_datasetB[[#This Row],[Day_Code]]=6),"Weekend","Weekday")</f>
        <v>Weekday</v>
      </c>
      <c r="J54" s="10">
        <v>1</v>
      </c>
      <c r="K54" s="10">
        <v>0.14000000000000001</v>
      </c>
      <c r="L54" s="51">
        <v>0.13639999999999999</v>
      </c>
      <c r="M54" s="10">
        <v>0.5</v>
      </c>
      <c r="N54" s="10">
        <v>0.19400000000000001</v>
      </c>
      <c r="O54" s="10">
        <v>1</v>
      </c>
      <c r="P54" s="10">
        <v>63</v>
      </c>
      <c r="Q54" s="10">
        <v>64</v>
      </c>
      <c r="R54" s="10" t="str">
        <f>VLOOKUP(Cleaned_datasetB[[#This Row],[Weather_Code]],Lookup_Tables!$E$9:$F$13,2,FALSE)</f>
        <v>Clear</v>
      </c>
      <c r="S54" s="10" t="str">
        <f>INDEX(Lookup_Tables!$I$10:$I$16,MATCH(Cleaned_datasetB[[#This Row],[Day_Code]],Lookup_Tables!$H$10:$H$16,0))</f>
        <v>Monday</v>
      </c>
      <c r="T54" s="10" t="str">
        <f>VLOOKUP(Cleaned_datasetB[[#This Row],[Month]], Lookup_Tables!$K$8:$L$19, 2, FALSE)</f>
        <v>January</v>
      </c>
      <c r="U54" s="10" t="str">
        <f>IF(AND(Cleaned_datasetB[[#This Row],[Day_Type]]="Weekday",Cleaned_datasetB[[#This Row],[Is_Holiday]]=FALSE),"Working Day","Non-Working Day")</f>
        <v>Working Day</v>
      </c>
    </row>
    <row r="55" spans="1:21">
      <c r="A55" s="10">
        <v>54</v>
      </c>
      <c r="B55" s="23">
        <v>40546</v>
      </c>
      <c r="C55" s="10">
        <v>1</v>
      </c>
      <c r="D55" s="10">
        <v>0</v>
      </c>
      <c r="E55" s="10">
        <v>1</v>
      </c>
      <c r="F55" s="10">
        <v>8</v>
      </c>
      <c r="G55" s="10" t="b">
        <v>0</v>
      </c>
      <c r="H55" s="10">
        <v>1</v>
      </c>
      <c r="I55" s="10" t="str">
        <f>IF(OR(Cleaned_datasetB[[#This Row],[Day_Code]]=0,Cleaned_datasetB[[#This Row],[Day_Code]]=6),"Weekend","Weekday")</f>
        <v>Weekday</v>
      </c>
      <c r="J55" s="10">
        <v>1</v>
      </c>
      <c r="K55" s="10">
        <v>0.14000000000000001</v>
      </c>
      <c r="L55" s="51">
        <v>0.1212</v>
      </c>
      <c r="M55" s="10">
        <v>0.5</v>
      </c>
      <c r="N55" s="10">
        <v>0.28360000000000002</v>
      </c>
      <c r="O55" s="10">
        <v>1</v>
      </c>
      <c r="P55" s="10">
        <v>153</v>
      </c>
      <c r="Q55" s="10">
        <v>154</v>
      </c>
      <c r="R55" s="10" t="str">
        <f>VLOOKUP(Cleaned_datasetB[[#This Row],[Weather_Code]],Lookup_Tables!$E$9:$F$13,2,FALSE)</f>
        <v>Clear</v>
      </c>
      <c r="S55" s="10" t="str">
        <f>INDEX(Lookup_Tables!$I$10:$I$16,MATCH(Cleaned_datasetB[[#This Row],[Day_Code]],Lookup_Tables!$H$10:$H$16,0))</f>
        <v>Monday</v>
      </c>
      <c r="T55" s="10" t="str">
        <f>VLOOKUP(Cleaned_datasetB[[#This Row],[Month]], Lookup_Tables!$K$8:$L$19, 2, FALSE)</f>
        <v>January</v>
      </c>
      <c r="U55" s="10" t="str">
        <f>IF(AND(Cleaned_datasetB[[#This Row],[Day_Type]]="Weekday",Cleaned_datasetB[[#This Row],[Is_Holiday]]=FALSE),"Working Day","Non-Working Day")</f>
        <v>Working Day</v>
      </c>
    </row>
    <row r="56" spans="1:21">
      <c r="A56" s="10">
        <v>55</v>
      </c>
      <c r="B56" s="23">
        <v>40546</v>
      </c>
      <c r="C56" s="10">
        <v>1</v>
      </c>
      <c r="D56" s="10">
        <v>0</v>
      </c>
      <c r="E56" s="10">
        <v>1</v>
      </c>
      <c r="F56" s="10">
        <v>9</v>
      </c>
      <c r="G56" s="10" t="b">
        <v>0</v>
      </c>
      <c r="H56" s="10">
        <v>1</v>
      </c>
      <c r="I56" s="10" t="str">
        <f>IF(OR(Cleaned_datasetB[[#This Row],[Day_Code]]=0,Cleaned_datasetB[[#This Row],[Day_Code]]=6),"Weekend","Weekday")</f>
        <v>Weekday</v>
      </c>
      <c r="J56" s="10">
        <v>1</v>
      </c>
      <c r="K56" s="10">
        <v>0.16</v>
      </c>
      <c r="L56" s="51">
        <v>0.13639999999999999</v>
      </c>
      <c r="M56" s="10">
        <v>0.43</v>
      </c>
      <c r="N56" s="10">
        <v>0.3881</v>
      </c>
      <c r="O56" s="10">
        <v>7</v>
      </c>
      <c r="P56" s="10">
        <v>81</v>
      </c>
      <c r="Q56" s="10">
        <v>88</v>
      </c>
      <c r="R56" s="10" t="str">
        <f>VLOOKUP(Cleaned_datasetB[[#This Row],[Weather_Code]],Lookup_Tables!$E$9:$F$13,2,FALSE)</f>
        <v>Clear</v>
      </c>
      <c r="S56" s="10" t="str">
        <f>INDEX(Lookup_Tables!$I$10:$I$16,MATCH(Cleaned_datasetB[[#This Row],[Day_Code]],Lookup_Tables!$H$10:$H$16,0))</f>
        <v>Monday</v>
      </c>
      <c r="T56" s="10" t="str">
        <f>VLOOKUP(Cleaned_datasetB[[#This Row],[Month]], Lookup_Tables!$K$8:$L$19, 2, FALSE)</f>
        <v>January</v>
      </c>
      <c r="U56" s="10" t="str">
        <f>IF(AND(Cleaned_datasetB[[#This Row],[Day_Type]]="Weekday",Cleaned_datasetB[[#This Row],[Is_Holiday]]=FALSE),"Working Day","Non-Working Day")</f>
        <v>Working Day</v>
      </c>
    </row>
    <row r="57" spans="1:21">
      <c r="A57" s="10">
        <v>56</v>
      </c>
      <c r="B57" s="23">
        <v>40546</v>
      </c>
      <c r="C57" s="10">
        <v>1</v>
      </c>
      <c r="D57" s="10">
        <v>0</v>
      </c>
      <c r="E57" s="10">
        <v>1</v>
      </c>
      <c r="F57" s="10">
        <v>10</v>
      </c>
      <c r="G57" s="10" t="b">
        <v>0</v>
      </c>
      <c r="H57" s="10">
        <v>1</v>
      </c>
      <c r="I57" s="10" t="str">
        <f>IF(OR(Cleaned_datasetB[[#This Row],[Day_Code]]=0,Cleaned_datasetB[[#This Row],[Day_Code]]=6),"Weekend","Weekday")</f>
        <v>Weekday</v>
      </c>
      <c r="J57" s="10">
        <v>1</v>
      </c>
      <c r="K57" s="10">
        <v>0.18</v>
      </c>
      <c r="L57" s="51">
        <v>0.16669999999999999</v>
      </c>
      <c r="M57" s="10">
        <v>0.43</v>
      </c>
      <c r="N57" s="10">
        <v>0.25369999999999998</v>
      </c>
      <c r="O57" s="10">
        <v>11</v>
      </c>
      <c r="P57" s="10">
        <v>33</v>
      </c>
      <c r="Q57" s="10">
        <v>44</v>
      </c>
      <c r="R57" s="10" t="str">
        <f>VLOOKUP(Cleaned_datasetB[[#This Row],[Weather_Code]],Lookup_Tables!$E$9:$F$13,2,FALSE)</f>
        <v>Clear</v>
      </c>
      <c r="S57" s="10" t="str">
        <f>INDEX(Lookup_Tables!$I$10:$I$16,MATCH(Cleaned_datasetB[[#This Row],[Day_Code]],Lookup_Tables!$H$10:$H$16,0))</f>
        <v>Monday</v>
      </c>
      <c r="T57" s="10" t="str">
        <f>VLOOKUP(Cleaned_datasetB[[#This Row],[Month]], Lookup_Tables!$K$8:$L$19, 2, FALSE)</f>
        <v>January</v>
      </c>
      <c r="U57" s="10" t="str">
        <f>IF(AND(Cleaned_datasetB[[#This Row],[Day_Type]]="Weekday",Cleaned_datasetB[[#This Row],[Is_Holiday]]=FALSE),"Working Day","Non-Working Day")</f>
        <v>Working Day</v>
      </c>
    </row>
    <row r="58" spans="1:21">
      <c r="A58" s="10">
        <v>57</v>
      </c>
      <c r="B58" s="23">
        <v>40546</v>
      </c>
      <c r="C58" s="10">
        <v>1</v>
      </c>
      <c r="D58" s="10">
        <v>0</v>
      </c>
      <c r="E58" s="10">
        <v>1</v>
      </c>
      <c r="F58" s="10">
        <v>11</v>
      </c>
      <c r="G58" s="10" t="b">
        <v>0</v>
      </c>
      <c r="H58" s="10">
        <v>1</v>
      </c>
      <c r="I58" s="10" t="str">
        <f>IF(OR(Cleaned_datasetB[[#This Row],[Day_Code]]=0,Cleaned_datasetB[[#This Row],[Day_Code]]=6),"Weekend","Weekday")</f>
        <v>Weekday</v>
      </c>
      <c r="J58" s="10">
        <v>1</v>
      </c>
      <c r="K58" s="10">
        <v>0.2</v>
      </c>
      <c r="L58" s="51">
        <v>0.18179999999999999</v>
      </c>
      <c r="M58" s="10">
        <v>0.4</v>
      </c>
      <c r="N58" s="10">
        <v>0.32840000000000003</v>
      </c>
      <c r="O58" s="10">
        <v>10</v>
      </c>
      <c r="P58" s="10">
        <v>41</v>
      </c>
      <c r="Q58" s="10">
        <v>51</v>
      </c>
      <c r="R58" s="10" t="str">
        <f>VLOOKUP(Cleaned_datasetB[[#This Row],[Weather_Code]],Lookup_Tables!$E$9:$F$13,2,FALSE)</f>
        <v>Clear</v>
      </c>
      <c r="S58" s="10" t="str">
        <f>INDEX(Lookup_Tables!$I$10:$I$16,MATCH(Cleaned_datasetB[[#This Row],[Day_Code]],Lookup_Tables!$H$10:$H$16,0))</f>
        <v>Monday</v>
      </c>
      <c r="T58" s="10" t="str">
        <f>VLOOKUP(Cleaned_datasetB[[#This Row],[Month]], Lookup_Tables!$K$8:$L$19, 2, FALSE)</f>
        <v>January</v>
      </c>
      <c r="U58" s="10" t="str">
        <f>IF(AND(Cleaned_datasetB[[#This Row],[Day_Type]]="Weekday",Cleaned_datasetB[[#This Row],[Is_Holiday]]=FALSE),"Working Day","Non-Working Day")</f>
        <v>Working Day</v>
      </c>
    </row>
    <row r="59" spans="1:21">
      <c r="A59" s="10">
        <v>58</v>
      </c>
      <c r="B59" s="23">
        <v>40546</v>
      </c>
      <c r="C59" s="10">
        <v>1</v>
      </c>
      <c r="D59" s="10">
        <v>0</v>
      </c>
      <c r="E59" s="10">
        <v>1</v>
      </c>
      <c r="F59" s="10">
        <v>12</v>
      </c>
      <c r="G59" s="10" t="b">
        <v>0</v>
      </c>
      <c r="H59" s="10">
        <v>1</v>
      </c>
      <c r="I59" s="10" t="str">
        <f>IF(OR(Cleaned_datasetB[[#This Row],[Day_Code]]=0,Cleaned_datasetB[[#This Row],[Day_Code]]=6),"Weekend","Weekday")</f>
        <v>Weekday</v>
      </c>
      <c r="J59" s="10">
        <v>1</v>
      </c>
      <c r="K59" s="10">
        <v>0.22</v>
      </c>
      <c r="L59" s="51">
        <v>0.21210000000000001</v>
      </c>
      <c r="M59" s="10">
        <v>0.35</v>
      </c>
      <c r="N59" s="10">
        <v>0.29849999999999999</v>
      </c>
      <c r="O59" s="10">
        <v>13</v>
      </c>
      <c r="P59" s="10">
        <v>48</v>
      </c>
      <c r="Q59" s="10">
        <v>61</v>
      </c>
      <c r="R59" s="10" t="str">
        <f>VLOOKUP(Cleaned_datasetB[[#This Row],[Weather_Code]],Lookup_Tables!$E$9:$F$13,2,FALSE)</f>
        <v>Clear</v>
      </c>
      <c r="S59" s="10" t="str">
        <f>INDEX(Lookup_Tables!$I$10:$I$16,MATCH(Cleaned_datasetB[[#This Row],[Day_Code]],Lookup_Tables!$H$10:$H$16,0))</f>
        <v>Monday</v>
      </c>
      <c r="T59" s="10" t="str">
        <f>VLOOKUP(Cleaned_datasetB[[#This Row],[Month]], Lookup_Tables!$K$8:$L$19, 2, FALSE)</f>
        <v>January</v>
      </c>
      <c r="U59" s="10" t="str">
        <f>IF(AND(Cleaned_datasetB[[#This Row],[Day_Type]]="Weekday",Cleaned_datasetB[[#This Row],[Is_Holiday]]=FALSE),"Working Day","Non-Working Day")</f>
        <v>Working Day</v>
      </c>
    </row>
    <row r="60" spans="1:21">
      <c r="A60" s="10">
        <v>59</v>
      </c>
      <c r="B60" s="23">
        <v>40546</v>
      </c>
      <c r="C60" s="10">
        <v>1</v>
      </c>
      <c r="D60" s="10">
        <v>0</v>
      </c>
      <c r="E60" s="10">
        <v>1</v>
      </c>
      <c r="F60" s="10">
        <v>13</v>
      </c>
      <c r="G60" s="10" t="b">
        <v>0</v>
      </c>
      <c r="H60" s="10">
        <v>1</v>
      </c>
      <c r="I60" s="10" t="str">
        <f>IF(OR(Cleaned_datasetB[[#This Row],[Day_Code]]=0,Cleaned_datasetB[[#This Row],[Day_Code]]=6),"Weekend","Weekday")</f>
        <v>Weekday</v>
      </c>
      <c r="J60" s="10">
        <v>1</v>
      </c>
      <c r="K60" s="10">
        <v>0.24</v>
      </c>
      <c r="L60" s="51">
        <v>0.19993489148580967</v>
      </c>
      <c r="M60" s="10">
        <v>0.35</v>
      </c>
      <c r="N60" s="10">
        <v>0.28360000000000002</v>
      </c>
      <c r="O60" s="10">
        <v>8</v>
      </c>
      <c r="P60" s="10">
        <v>53</v>
      </c>
      <c r="Q60" s="10">
        <v>61</v>
      </c>
      <c r="R60" s="10" t="str">
        <f>VLOOKUP(Cleaned_datasetB[[#This Row],[Weather_Code]],Lookup_Tables!$E$9:$F$13,2,FALSE)</f>
        <v>Clear</v>
      </c>
      <c r="S60" s="10" t="str">
        <f>INDEX(Lookup_Tables!$I$10:$I$16,MATCH(Cleaned_datasetB[[#This Row],[Day_Code]],Lookup_Tables!$H$10:$H$16,0))</f>
        <v>Monday</v>
      </c>
      <c r="T60" s="10" t="str">
        <f>VLOOKUP(Cleaned_datasetB[[#This Row],[Month]], Lookup_Tables!$K$8:$L$19, 2, FALSE)</f>
        <v>January</v>
      </c>
      <c r="U60" s="10" t="str">
        <f>IF(AND(Cleaned_datasetB[[#This Row],[Day_Type]]="Weekday",Cleaned_datasetB[[#This Row],[Is_Holiday]]=FALSE),"Working Day","Non-Working Day")</f>
        <v>Working Day</v>
      </c>
    </row>
    <row r="61" spans="1:21">
      <c r="A61" s="10">
        <v>60</v>
      </c>
      <c r="B61" s="23">
        <v>40546</v>
      </c>
      <c r="C61" s="10">
        <v>1</v>
      </c>
      <c r="D61" s="10">
        <v>0</v>
      </c>
      <c r="E61" s="10">
        <v>1</v>
      </c>
      <c r="F61" s="10">
        <v>14</v>
      </c>
      <c r="G61" s="10" t="b">
        <v>0</v>
      </c>
      <c r="H61" s="10">
        <v>1</v>
      </c>
      <c r="I61" s="10" t="str">
        <f>IF(OR(Cleaned_datasetB[[#This Row],[Day_Code]]=0,Cleaned_datasetB[[#This Row],[Day_Code]]=6),"Weekend","Weekday")</f>
        <v>Weekday</v>
      </c>
      <c r="J61" s="10">
        <v>1</v>
      </c>
      <c r="K61" s="10">
        <v>0.26</v>
      </c>
      <c r="L61" s="51">
        <v>0.2424</v>
      </c>
      <c r="M61" s="10">
        <v>0.3</v>
      </c>
      <c r="N61" s="10">
        <v>0.28360000000000002</v>
      </c>
      <c r="O61" s="10">
        <v>11</v>
      </c>
      <c r="P61" s="10">
        <v>66</v>
      </c>
      <c r="Q61" s="10">
        <v>77</v>
      </c>
      <c r="R61" s="10" t="str">
        <f>VLOOKUP(Cleaned_datasetB[[#This Row],[Weather_Code]],Lookup_Tables!$E$9:$F$13,2,FALSE)</f>
        <v>Clear</v>
      </c>
      <c r="S61" s="10" t="str">
        <f>INDEX(Lookup_Tables!$I$10:$I$16,MATCH(Cleaned_datasetB[[#This Row],[Day_Code]],Lookup_Tables!$H$10:$H$16,0))</f>
        <v>Monday</v>
      </c>
      <c r="T61" s="10" t="str">
        <f>VLOOKUP(Cleaned_datasetB[[#This Row],[Month]], Lookup_Tables!$K$8:$L$19, 2, FALSE)</f>
        <v>January</v>
      </c>
      <c r="U61" s="10" t="str">
        <f>IF(AND(Cleaned_datasetB[[#This Row],[Day_Type]]="Weekday",Cleaned_datasetB[[#This Row],[Is_Holiday]]=FALSE),"Working Day","Non-Working Day")</f>
        <v>Working Day</v>
      </c>
    </row>
    <row r="62" spans="1:21">
      <c r="A62" s="10">
        <v>61</v>
      </c>
      <c r="B62" s="23">
        <v>40546</v>
      </c>
      <c r="C62" s="10">
        <v>1</v>
      </c>
      <c r="D62" s="10">
        <v>0</v>
      </c>
      <c r="E62" s="10">
        <v>1</v>
      </c>
      <c r="F62" s="10">
        <v>15</v>
      </c>
      <c r="G62" s="10" t="b">
        <v>0</v>
      </c>
      <c r="H62" s="10">
        <v>1</v>
      </c>
      <c r="I62" s="10" t="str">
        <f>IF(OR(Cleaned_datasetB[[#This Row],[Day_Code]]=0,Cleaned_datasetB[[#This Row],[Day_Code]]=6),"Weekend","Weekday")</f>
        <v>Weekday</v>
      </c>
      <c r="J62" s="10">
        <v>1</v>
      </c>
      <c r="K62" s="10">
        <v>0.26</v>
      </c>
      <c r="L62" s="51">
        <v>0.2424</v>
      </c>
      <c r="M62" s="10">
        <v>0.3</v>
      </c>
      <c r="N62" s="10">
        <v>0.25369999999999998</v>
      </c>
      <c r="O62" s="10">
        <v>14</v>
      </c>
      <c r="P62" s="10">
        <v>58</v>
      </c>
      <c r="Q62" s="10">
        <v>72</v>
      </c>
      <c r="R62" s="10" t="str">
        <f>VLOOKUP(Cleaned_datasetB[[#This Row],[Weather_Code]],Lookup_Tables!$E$9:$F$13,2,FALSE)</f>
        <v>Clear</v>
      </c>
      <c r="S62" s="10" t="str">
        <f>INDEX(Lookup_Tables!$I$10:$I$16,MATCH(Cleaned_datasetB[[#This Row],[Day_Code]],Lookup_Tables!$H$10:$H$16,0))</f>
        <v>Monday</v>
      </c>
      <c r="T62" s="10" t="str">
        <f>VLOOKUP(Cleaned_datasetB[[#This Row],[Month]], Lookup_Tables!$K$8:$L$19, 2, FALSE)</f>
        <v>January</v>
      </c>
      <c r="U62" s="10" t="str">
        <f>IF(AND(Cleaned_datasetB[[#This Row],[Day_Type]]="Weekday",Cleaned_datasetB[[#This Row],[Is_Holiday]]=FALSE),"Working Day","Non-Working Day")</f>
        <v>Working Day</v>
      </c>
    </row>
    <row r="63" spans="1:21">
      <c r="A63" s="10">
        <v>62</v>
      </c>
      <c r="B63" s="23">
        <v>40546</v>
      </c>
      <c r="C63" s="10">
        <v>1</v>
      </c>
      <c r="D63" s="10">
        <v>0</v>
      </c>
      <c r="E63" s="10">
        <v>1</v>
      </c>
      <c r="F63" s="10">
        <v>16</v>
      </c>
      <c r="G63" s="10" t="b">
        <v>0</v>
      </c>
      <c r="H63" s="10">
        <v>1</v>
      </c>
      <c r="I63" s="10" t="str">
        <f>IF(OR(Cleaned_datasetB[[#This Row],[Day_Code]]=0,Cleaned_datasetB[[#This Row],[Day_Code]]=6),"Weekend","Weekday")</f>
        <v>Weekday</v>
      </c>
      <c r="J63" s="10">
        <v>1</v>
      </c>
      <c r="K63" s="10">
        <v>0.26</v>
      </c>
      <c r="L63" s="51">
        <v>0.2424</v>
      </c>
      <c r="M63" s="10">
        <v>0.3</v>
      </c>
      <c r="N63" s="10">
        <v>0.25369999999999998</v>
      </c>
      <c r="O63" s="10">
        <v>9</v>
      </c>
      <c r="P63" s="10">
        <v>67</v>
      </c>
      <c r="Q63" s="10">
        <v>76</v>
      </c>
      <c r="R63" s="10" t="str">
        <f>VLOOKUP(Cleaned_datasetB[[#This Row],[Weather_Code]],Lookup_Tables!$E$9:$F$13,2,FALSE)</f>
        <v>Clear</v>
      </c>
      <c r="S63" s="10" t="str">
        <f>INDEX(Lookup_Tables!$I$10:$I$16,MATCH(Cleaned_datasetB[[#This Row],[Day_Code]],Lookup_Tables!$H$10:$H$16,0))</f>
        <v>Monday</v>
      </c>
      <c r="T63" s="10" t="str">
        <f>VLOOKUP(Cleaned_datasetB[[#This Row],[Month]], Lookup_Tables!$K$8:$L$19, 2, FALSE)</f>
        <v>January</v>
      </c>
      <c r="U63" s="10" t="str">
        <f>IF(AND(Cleaned_datasetB[[#This Row],[Day_Type]]="Weekday",Cleaned_datasetB[[#This Row],[Is_Holiday]]=FALSE),"Working Day","Non-Working Day")</f>
        <v>Working Day</v>
      </c>
    </row>
    <row r="64" spans="1:21">
      <c r="A64" s="10">
        <v>63</v>
      </c>
      <c r="B64" s="23">
        <v>40546</v>
      </c>
      <c r="C64" s="10">
        <v>1</v>
      </c>
      <c r="D64" s="10">
        <v>0</v>
      </c>
      <c r="E64" s="10">
        <v>1</v>
      </c>
      <c r="F64" s="10">
        <v>17</v>
      </c>
      <c r="G64" s="10" t="b">
        <v>0</v>
      </c>
      <c r="H64" s="10">
        <v>1</v>
      </c>
      <c r="I64" s="10" t="str">
        <f>IF(OR(Cleaned_datasetB[[#This Row],[Day_Code]]=0,Cleaned_datasetB[[#This Row],[Day_Code]]=6),"Weekend","Weekday")</f>
        <v>Weekday</v>
      </c>
      <c r="J64" s="10">
        <v>1</v>
      </c>
      <c r="K64" s="10">
        <v>0.24</v>
      </c>
      <c r="L64" s="51">
        <v>0.2273</v>
      </c>
      <c r="M64" s="10">
        <v>0.3</v>
      </c>
      <c r="N64" s="10">
        <v>0.22389999999999999</v>
      </c>
      <c r="O64" s="10">
        <v>11</v>
      </c>
      <c r="P64" s="10">
        <v>146</v>
      </c>
      <c r="Q64" s="10">
        <v>157</v>
      </c>
      <c r="R64" s="10" t="str">
        <f>VLOOKUP(Cleaned_datasetB[[#This Row],[Weather_Code]],Lookup_Tables!$E$9:$F$13,2,FALSE)</f>
        <v>Clear</v>
      </c>
      <c r="S64" s="10" t="str">
        <f>INDEX(Lookup_Tables!$I$10:$I$16,MATCH(Cleaned_datasetB[[#This Row],[Day_Code]],Lookup_Tables!$H$10:$H$16,0))</f>
        <v>Monday</v>
      </c>
      <c r="T64" s="10" t="str">
        <f>VLOOKUP(Cleaned_datasetB[[#This Row],[Month]], Lookup_Tables!$K$8:$L$19, 2, FALSE)</f>
        <v>January</v>
      </c>
      <c r="U64" s="10" t="str">
        <f>IF(AND(Cleaned_datasetB[[#This Row],[Day_Type]]="Weekday",Cleaned_datasetB[[#This Row],[Is_Holiday]]=FALSE),"Working Day","Non-Working Day")</f>
        <v>Working Day</v>
      </c>
    </row>
    <row r="65" spans="1:21">
      <c r="A65" s="10">
        <v>64</v>
      </c>
      <c r="B65" s="23">
        <v>40546</v>
      </c>
      <c r="C65" s="10">
        <v>1</v>
      </c>
      <c r="D65" s="10">
        <v>0</v>
      </c>
      <c r="E65" s="10">
        <v>1</v>
      </c>
      <c r="F65" s="10">
        <v>18</v>
      </c>
      <c r="G65" s="10" t="b">
        <v>0</v>
      </c>
      <c r="H65" s="10">
        <v>1</v>
      </c>
      <c r="I65" s="10" t="str">
        <f>IF(OR(Cleaned_datasetB[[#This Row],[Day_Code]]=0,Cleaned_datasetB[[#This Row],[Day_Code]]=6),"Weekend","Weekday")</f>
        <v>Weekday</v>
      </c>
      <c r="J65" s="10">
        <v>1</v>
      </c>
      <c r="K65" s="10">
        <v>0.24</v>
      </c>
      <c r="L65" s="51">
        <v>0.2576</v>
      </c>
      <c r="M65" s="10">
        <v>0.32</v>
      </c>
      <c r="N65" s="10">
        <v>0.1045</v>
      </c>
      <c r="O65" s="10">
        <v>9</v>
      </c>
      <c r="P65" s="10">
        <v>148</v>
      </c>
      <c r="Q65" s="10">
        <v>157</v>
      </c>
      <c r="R65" s="10" t="str">
        <f>VLOOKUP(Cleaned_datasetB[[#This Row],[Weather_Code]],Lookup_Tables!$E$9:$F$13,2,FALSE)</f>
        <v>Clear</v>
      </c>
      <c r="S65" s="10" t="str">
        <f>INDEX(Lookup_Tables!$I$10:$I$16,MATCH(Cleaned_datasetB[[#This Row],[Day_Code]],Lookup_Tables!$H$10:$H$16,0))</f>
        <v>Monday</v>
      </c>
      <c r="T65" s="10" t="str">
        <f>VLOOKUP(Cleaned_datasetB[[#This Row],[Month]], Lookup_Tables!$K$8:$L$19, 2, FALSE)</f>
        <v>January</v>
      </c>
      <c r="U65" s="10" t="str">
        <f>IF(AND(Cleaned_datasetB[[#This Row],[Day_Type]]="Weekday",Cleaned_datasetB[[#This Row],[Is_Holiday]]=FALSE),"Working Day","Non-Working Day")</f>
        <v>Working Day</v>
      </c>
    </row>
    <row r="66" spans="1:21">
      <c r="A66" s="10">
        <v>65</v>
      </c>
      <c r="B66" s="23">
        <v>40546</v>
      </c>
      <c r="C66" s="10">
        <v>1</v>
      </c>
      <c r="D66" s="10">
        <v>0</v>
      </c>
      <c r="E66" s="10">
        <v>1</v>
      </c>
      <c r="F66" s="10">
        <v>19</v>
      </c>
      <c r="G66" s="10" t="b">
        <v>0</v>
      </c>
      <c r="H66" s="10">
        <v>1</v>
      </c>
      <c r="I66" s="10" t="str">
        <f>IF(OR(Cleaned_datasetB[[#This Row],[Day_Code]]=0,Cleaned_datasetB[[#This Row],[Day_Code]]=6),"Weekend","Weekday")</f>
        <v>Weekday</v>
      </c>
      <c r="J66" s="10">
        <v>1</v>
      </c>
      <c r="K66" s="10">
        <v>0.2</v>
      </c>
      <c r="L66" s="51">
        <v>0.2576</v>
      </c>
      <c r="M66" s="10">
        <v>0.47</v>
      </c>
      <c r="N66" s="10">
        <v>0</v>
      </c>
      <c r="O66" s="10">
        <v>8</v>
      </c>
      <c r="P66" s="10">
        <v>102</v>
      </c>
      <c r="Q66" s="10">
        <v>110</v>
      </c>
      <c r="R66" s="10" t="str">
        <f>VLOOKUP(Cleaned_datasetB[[#This Row],[Weather_Code]],Lookup_Tables!$E$9:$F$13,2,FALSE)</f>
        <v>Clear</v>
      </c>
      <c r="S66" s="10" t="str">
        <f>INDEX(Lookup_Tables!$I$10:$I$16,MATCH(Cleaned_datasetB[[#This Row],[Day_Code]],Lookup_Tables!$H$10:$H$16,0))</f>
        <v>Monday</v>
      </c>
      <c r="T66" s="10" t="str">
        <f>VLOOKUP(Cleaned_datasetB[[#This Row],[Month]], Lookup_Tables!$K$8:$L$19, 2, FALSE)</f>
        <v>January</v>
      </c>
      <c r="U66" s="10" t="str">
        <f>IF(AND(Cleaned_datasetB[[#This Row],[Day_Type]]="Weekday",Cleaned_datasetB[[#This Row],[Is_Holiday]]=FALSE),"Working Day","Non-Working Day")</f>
        <v>Working Day</v>
      </c>
    </row>
    <row r="67" spans="1:21">
      <c r="A67" s="10">
        <v>66</v>
      </c>
      <c r="B67" s="23">
        <v>40546</v>
      </c>
      <c r="C67" s="10">
        <v>1</v>
      </c>
      <c r="D67" s="10">
        <v>0</v>
      </c>
      <c r="E67" s="10">
        <v>1</v>
      </c>
      <c r="F67" s="10">
        <v>20</v>
      </c>
      <c r="G67" s="10" t="b">
        <v>0</v>
      </c>
      <c r="H67" s="10">
        <v>1</v>
      </c>
      <c r="I67" s="10" t="str">
        <f>IF(OR(Cleaned_datasetB[[#This Row],[Day_Code]]=0,Cleaned_datasetB[[#This Row],[Day_Code]]=6),"Weekend","Weekday")</f>
        <v>Weekday</v>
      </c>
      <c r="J67" s="10">
        <v>1</v>
      </c>
      <c r="K67" s="10">
        <v>0.2</v>
      </c>
      <c r="L67" s="51">
        <v>0.19993489148580967</v>
      </c>
      <c r="M67" s="10">
        <v>0.47</v>
      </c>
      <c r="N67" s="10">
        <v>0.1045</v>
      </c>
      <c r="O67" s="10">
        <v>3</v>
      </c>
      <c r="P67" s="10">
        <v>49</v>
      </c>
      <c r="Q67" s="10">
        <v>52</v>
      </c>
      <c r="R67" s="10" t="str">
        <f>VLOOKUP(Cleaned_datasetB[[#This Row],[Weather_Code]],Lookup_Tables!$E$9:$F$13,2,FALSE)</f>
        <v>Clear</v>
      </c>
      <c r="S67" s="10" t="str">
        <f>INDEX(Lookup_Tables!$I$10:$I$16,MATCH(Cleaned_datasetB[[#This Row],[Day_Code]],Lookup_Tables!$H$10:$H$16,0))</f>
        <v>Monday</v>
      </c>
      <c r="T67" s="10" t="str">
        <f>VLOOKUP(Cleaned_datasetB[[#This Row],[Month]], Lookup_Tables!$K$8:$L$19, 2, FALSE)</f>
        <v>January</v>
      </c>
      <c r="U67" s="10" t="str">
        <f>IF(AND(Cleaned_datasetB[[#This Row],[Day_Type]]="Weekday",Cleaned_datasetB[[#This Row],[Is_Holiday]]=FALSE),"Working Day","Non-Working Day")</f>
        <v>Working Day</v>
      </c>
    </row>
    <row r="68" spans="1:21">
      <c r="A68" s="10">
        <v>67</v>
      </c>
      <c r="B68" s="23">
        <v>40546</v>
      </c>
      <c r="C68" s="10">
        <v>1</v>
      </c>
      <c r="D68" s="10">
        <v>0</v>
      </c>
      <c r="E68" s="10">
        <v>1</v>
      </c>
      <c r="F68" s="10">
        <v>21</v>
      </c>
      <c r="G68" s="10" t="b">
        <v>0</v>
      </c>
      <c r="H68" s="10">
        <v>1</v>
      </c>
      <c r="I68" s="10" t="str">
        <f>IF(OR(Cleaned_datasetB[[#This Row],[Day_Code]]=0,Cleaned_datasetB[[#This Row],[Day_Code]]=6),"Weekend","Weekday")</f>
        <v>Weekday</v>
      </c>
      <c r="J68" s="10">
        <v>1</v>
      </c>
      <c r="K68" s="10">
        <v>0.18</v>
      </c>
      <c r="L68" s="51">
        <v>0.19700000000000001</v>
      </c>
      <c r="M68" s="10">
        <v>0.64</v>
      </c>
      <c r="N68" s="10">
        <v>0.1343</v>
      </c>
      <c r="O68" s="10">
        <v>3</v>
      </c>
      <c r="P68" s="10">
        <v>49</v>
      </c>
      <c r="Q68" s="10">
        <v>52</v>
      </c>
      <c r="R68" s="10" t="str">
        <f>VLOOKUP(Cleaned_datasetB[[#This Row],[Weather_Code]],Lookup_Tables!$E$9:$F$13,2,FALSE)</f>
        <v>Clear</v>
      </c>
      <c r="S68" s="10" t="str">
        <f>INDEX(Lookup_Tables!$I$10:$I$16,MATCH(Cleaned_datasetB[[#This Row],[Day_Code]],Lookup_Tables!$H$10:$H$16,0))</f>
        <v>Monday</v>
      </c>
      <c r="T68" s="10" t="str">
        <f>VLOOKUP(Cleaned_datasetB[[#This Row],[Month]], Lookup_Tables!$K$8:$L$19, 2, FALSE)</f>
        <v>January</v>
      </c>
      <c r="U68" s="10" t="str">
        <f>IF(AND(Cleaned_datasetB[[#This Row],[Day_Type]]="Weekday",Cleaned_datasetB[[#This Row],[Is_Holiday]]=FALSE),"Working Day","Non-Working Day")</f>
        <v>Working Day</v>
      </c>
    </row>
    <row r="69" spans="1:21">
      <c r="A69" s="10">
        <v>68</v>
      </c>
      <c r="B69" s="23">
        <v>40546</v>
      </c>
      <c r="C69" s="10">
        <v>1</v>
      </c>
      <c r="D69" s="10">
        <v>0</v>
      </c>
      <c r="E69" s="10">
        <v>1</v>
      </c>
      <c r="F69" s="10">
        <v>22</v>
      </c>
      <c r="G69" s="10" t="b">
        <v>0</v>
      </c>
      <c r="H69" s="10">
        <v>1</v>
      </c>
      <c r="I69" s="10" t="str">
        <f>IF(OR(Cleaned_datasetB[[#This Row],[Day_Code]]=0,Cleaned_datasetB[[#This Row],[Day_Code]]=6),"Weekend","Weekday")</f>
        <v>Weekday</v>
      </c>
      <c r="J69" s="10">
        <v>1</v>
      </c>
      <c r="K69" s="10">
        <v>0.14000000000000001</v>
      </c>
      <c r="L69" s="51">
        <v>0.1515</v>
      </c>
      <c r="M69" s="10">
        <v>0.69</v>
      </c>
      <c r="N69" s="10">
        <v>0.1343</v>
      </c>
      <c r="O69" s="10">
        <v>0</v>
      </c>
      <c r="P69" s="10">
        <v>20</v>
      </c>
      <c r="Q69" s="10">
        <v>20</v>
      </c>
      <c r="R69" s="10" t="str">
        <f>VLOOKUP(Cleaned_datasetB[[#This Row],[Weather_Code]],Lookup_Tables!$E$9:$F$13,2,FALSE)</f>
        <v>Clear</v>
      </c>
      <c r="S69" s="10" t="str">
        <f>INDEX(Lookup_Tables!$I$10:$I$16,MATCH(Cleaned_datasetB[[#This Row],[Day_Code]],Lookup_Tables!$H$10:$H$16,0))</f>
        <v>Monday</v>
      </c>
      <c r="T69" s="10" t="str">
        <f>VLOOKUP(Cleaned_datasetB[[#This Row],[Month]], Lookup_Tables!$K$8:$L$19, 2, FALSE)</f>
        <v>January</v>
      </c>
      <c r="U69" s="10" t="str">
        <f>IF(AND(Cleaned_datasetB[[#This Row],[Day_Type]]="Weekday",Cleaned_datasetB[[#This Row],[Is_Holiday]]=FALSE),"Working Day","Non-Working Day")</f>
        <v>Working Day</v>
      </c>
    </row>
    <row r="70" spans="1:21">
      <c r="A70" s="10">
        <v>69</v>
      </c>
      <c r="B70" s="23">
        <v>40546</v>
      </c>
      <c r="C70" s="10">
        <v>1</v>
      </c>
      <c r="D70" s="10">
        <v>0</v>
      </c>
      <c r="E70" s="10">
        <v>1</v>
      </c>
      <c r="F70" s="10">
        <v>23</v>
      </c>
      <c r="G70" s="10" t="b">
        <v>0</v>
      </c>
      <c r="H70" s="10">
        <v>1</v>
      </c>
      <c r="I70" s="10" t="str">
        <f>IF(OR(Cleaned_datasetB[[#This Row],[Day_Code]]=0,Cleaned_datasetB[[#This Row],[Day_Code]]=6),"Weekend","Weekday")</f>
        <v>Weekday</v>
      </c>
      <c r="J70" s="10">
        <v>1</v>
      </c>
      <c r="K70" s="10">
        <v>0.18</v>
      </c>
      <c r="L70" s="51">
        <v>0.21210000000000001</v>
      </c>
      <c r="M70" s="10">
        <v>0.55000000000000004</v>
      </c>
      <c r="N70" s="10">
        <v>0.1045</v>
      </c>
      <c r="O70" s="10">
        <v>1</v>
      </c>
      <c r="P70" s="10">
        <v>11</v>
      </c>
      <c r="Q70" s="10">
        <v>12</v>
      </c>
      <c r="R70" s="10" t="str">
        <f>VLOOKUP(Cleaned_datasetB[[#This Row],[Weather_Code]],Lookup_Tables!$E$9:$F$13,2,FALSE)</f>
        <v>Clear</v>
      </c>
      <c r="S70" s="10" t="str">
        <f>INDEX(Lookup_Tables!$I$10:$I$16,MATCH(Cleaned_datasetB[[#This Row],[Day_Code]],Lookup_Tables!$H$10:$H$16,0))</f>
        <v>Monday</v>
      </c>
      <c r="T70" s="10" t="str">
        <f>VLOOKUP(Cleaned_datasetB[[#This Row],[Month]], Lookup_Tables!$K$8:$L$19, 2, FALSE)</f>
        <v>January</v>
      </c>
      <c r="U70" s="10" t="str">
        <f>IF(AND(Cleaned_datasetB[[#This Row],[Day_Type]]="Weekday",Cleaned_datasetB[[#This Row],[Is_Holiday]]=FALSE),"Working Day","Non-Working Day")</f>
        <v>Working Day</v>
      </c>
    </row>
    <row r="71" spans="1:21">
      <c r="A71" s="10">
        <v>70</v>
      </c>
      <c r="B71" s="23">
        <v>40547</v>
      </c>
      <c r="C71" s="10">
        <v>1</v>
      </c>
      <c r="D71" s="10">
        <v>0</v>
      </c>
      <c r="E71" s="10">
        <v>1</v>
      </c>
      <c r="F71" s="10">
        <v>0</v>
      </c>
      <c r="G71" s="10" t="b">
        <v>0</v>
      </c>
      <c r="H71" s="10">
        <v>2</v>
      </c>
      <c r="I71" s="10" t="str">
        <f>IF(OR(Cleaned_datasetB[[#This Row],[Day_Code]]=0,Cleaned_datasetB[[#This Row],[Day_Code]]=6),"Weekend","Weekday")</f>
        <v>Weekday</v>
      </c>
      <c r="J71" s="10">
        <v>1</v>
      </c>
      <c r="K71" s="10">
        <v>0.16</v>
      </c>
      <c r="L71" s="51">
        <v>0.19993489148580967</v>
      </c>
      <c r="M71" s="10">
        <v>0.55000000000000004</v>
      </c>
      <c r="N71" s="10">
        <v>0.1045</v>
      </c>
      <c r="O71" s="10">
        <v>0</v>
      </c>
      <c r="P71" s="10">
        <v>5</v>
      </c>
      <c r="Q71" s="10">
        <v>5</v>
      </c>
      <c r="R71" s="10" t="str">
        <f>VLOOKUP(Cleaned_datasetB[[#This Row],[Weather_Code]],Lookup_Tables!$E$9:$F$13,2,FALSE)</f>
        <v>Clear</v>
      </c>
      <c r="S71" s="10" t="str">
        <f>INDEX(Lookup_Tables!$I$10:$I$16,MATCH(Cleaned_datasetB[[#This Row],[Day_Code]],Lookup_Tables!$H$10:$H$16,0))</f>
        <v>Tuesday</v>
      </c>
      <c r="T71" s="10" t="str">
        <f>VLOOKUP(Cleaned_datasetB[[#This Row],[Month]], Lookup_Tables!$K$8:$L$19, 2, FALSE)</f>
        <v>January</v>
      </c>
      <c r="U71" s="10" t="str">
        <f>IF(AND(Cleaned_datasetB[[#This Row],[Day_Type]]="Weekday",Cleaned_datasetB[[#This Row],[Is_Holiday]]=FALSE),"Working Day","Non-Working Day")</f>
        <v>Working Day</v>
      </c>
    </row>
    <row r="72" spans="1:21">
      <c r="A72" s="10">
        <v>71</v>
      </c>
      <c r="B72" s="23">
        <v>40547</v>
      </c>
      <c r="C72" s="10">
        <v>1</v>
      </c>
      <c r="D72" s="10">
        <v>0</v>
      </c>
      <c r="E72" s="10">
        <v>1</v>
      </c>
      <c r="F72" s="10">
        <v>1</v>
      </c>
      <c r="G72" s="10" t="b">
        <v>0</v>
      </c>
      <c r="H72" s="10">
        <v>2</v>
      </c>
      <c r="I72" s="10" t="str">
        <f>IF(OR(Cleaned_datasetB[[#This Row],[Day_Code]]=0,Cleaned_datasetB[[#This Row],[Day_Code]]=6),"Weekend","Weekday")</f>
        <v>Weekday</v>
      </c>
      <c r="J72" s="10">
        <v>1</v>
      </c>
      <c r="K72" s="10">
        <v>0.16</v>
      </c>
      <c r="L72" s="51">
        <v>0.18179999999999999</v>
      </c>
      <c r="M72" s="10">
        <v>0.59</v>
      </c>
      <c r="N72" s="10">
        <v>0.1045</v>
      </c>
      <c r="O72" s="10">
        <v>0</v>
      </c>
      <c r="P72" s="10">
        <v>2</v>
      </c>
      <c r="Q72" s="10">
        <v>2</v>
      </c>
      <c r="R72" s="10" t="str">
        <f>VLOOKUP(Cleaned_datasetB[[#This Row],[Weather_Code]],Lookup_Tables!$E$9:$F$13,2,FALSE)</f>
        <v>Clear</v>
      </c>
      <c r="S72" s="10" t="str">
        <f>INDEX(Lookup_Tables!$I$10:$I$16,MATCH(Cleaned_datasetB[[#This Row],[Day_Code]],Lookup_Tables!$H$10:$H$16,0))</f>
        <v>Tuesday</v>
      </c>
      <c r="T72" s="10" t="str">
        <f>VLOOKUP(Cleaned_datasetB[[#This Row],[Month]], Lookup_Tables!$K$8:$L$19, 2, FALSE)</f>
        <v>January</v>
      </c>
      <c r="U72" s="10" t="str">
        <f>IF(AND(Cleaned_datasetB[[#This Row],[Day_Type]]="Weekday",Cleaned_datasetB[[#This Row],[Is_Holiday]]=FALSE),"Working Day","Non-Working Day")</f>
        <v>Working Day</v>
      </c>
    </row>
    <row r="73" spans="1:21">
      <c r="A73" s="10">
        <v>72</v>
      </c>
      <c r="B73" s="23">
        <v>40547</v>
      </c>
      <c r="C73" s="10">
        <v>1</v>
      </c>
      <c r="D73" s="10">
        <v>0</v>
      </c>
      <c r="E73" s="10">
        <v>1</v>
      </c>
      <c r="F73" s="10">
        <v>2</v>
      </c>
      <c r="G73" s="10" t="b">
        <v>0</v>
      </c>
      <c r="H73" s="10">
        <v>2</v>
      </c>
      <c r="I73" s="10" t="str">
        <f>IF(OR(Cleaned_datasetB[[#This Row],[Day_Code]]=0,Cleaned_datasetB[[#This Row],[Day_Code]]=6),"Weekend","Weekday")</f>
        <v>Weekday</v>
      </c>
      <c r="J73" s="10">
        <v>1</v>
      </c>
      <c r="K73" s="10">
        <v>0.14000000000000001</v>
      </c>
      <c r="L73" s="51">
        <v>0.1515</v>
      </c>
      <c r="M73" s="10">
        <v>0.63</v>
      </c>
      <c r="N73" s="10">
        <v>0.1343</v>
      </c>
      <c r="O73" s="10">
        <v>0</v>
      </c>
      <c r="P73" s="10">
        <v>1</v>
      </c>
      <c r="Q73" s="10">
        <v>1</v>
      </c>
      <c r="R73" s="10" t="str">
        <f>VLOOKUP(Cleaned_datasetB[[#This Row],[Weather_Code]],Lookup_Tables!$E$9:$F$13,2,FALSE)</f>
        <v>Clear</v>
      </c>
      <c r="S73" s="10" t="str">
        <f>INDEX(Lookup_Tables!$I$10:$I$16,MATCH(Cleaned_datasetB[[#This Row],[Day_Code]],Lookup_Tables!$H$10:$H$16,0))</f>
        <v>Tuesday</v>
      </c>
      <c r="T73" s="10" t="str">
        <f>VLOOKUP(Cleaned_datasetB[[#This Row],[Month]], Lookup_Tables!$K$8:$L$19, 2, FALSE)</f>
        <v>January</v>
      </c>
      <c r="U73" s="10" t="str">
        <f>IF(AND(Cleaned_datasetB[[#This Row],[Day_Type]]="Weekday",Cleaned_datasetB[[#This Row],[Is_Holiday]]=FALSE),"Working Day","Non-Working Day")</f>
        <v>Working Day</v>
      </c>
    </row>
    <row r="74" spans="1:21">
      <c r="A74" s="10">
        <v>73</v>
      </c>
      <c r="B74" s="23">
        <v>40547</v>
      </c>
      <c r="C74" s="10">
        <v>1</v>
      </c>
      <c r="D74" s="10">
        <v>0</v>
      </c>
      <c r="E74" s="10">
        <v>1</v>
      </c>
      <c r="F74" s="10">
        <v>4</v>
      </c>
      <c r="G74" s="10" t="b">
        <v>0</v>
      </c>
      <c r="H74" s="10">
        <v>2</v>
      </c>
      <c r="I74" s="10" t="str">
        <f>IF(OR(Cleaned_datasetB[[#This Row],[Day_Code]]=0,Cleaned_datasetB[[#This Row],[Day_Code]]=6),"Weekend","Weekday")</f>
        <v>Weekday</v>
      </c>
      <c r="J74" s="10">
        <v>1</v>
      </c>
      <c r="K74" s="10">
        <v>0.14000000000000001</v>
      </c>
      <c r="L74" s="51">
        <v>0.18179999999999999</v>
      </c>
      <c r="M74" s="10">
        <v>0.63</v>
      </c>
      <c r="N74" s="10">
        <v>8.9599999999999999E-2</v>
      </c>
      <c r="O74" s="10">
        <v>0</v>
      </c>
      <c r="P74" s="10">
        <v>2</v>
      </c>
      <c r="Q74" s="10">
        <v>2</v>
      </c>
      <c r="R74" s="10" t="str">
        <f>VLOOKUP(Cleaned_datasetB[[#This Row],[Weather_Code]],Lookup_Tables!$E$9:$F$13,2,FALSE)</f>
        <v>Clear</v>
      </c>
      <c r="S74" s="10" t="str">
        <f>INDEX(Lookup_Tables!$I$10:$I$16,MATCH(Cleaned_datasetB[[#This Row],[Day_Code]],Lookup_Tables!$H$10:$H$16,0))</f>
        <v>Tuesday</v>
      </c>
      <c r="T74" s="10" t="str">
        <f>VLOOKUP(Cleaned_datasetB[[#This Row],[Month]], Lookup_Tables!$K$8:$L$19, 2, FALSE)</f>
        <v>January</v>
      </c>
      <c r="U74" s="10" t="str">
        <f>IF(AND(Cleaned_datasetB[[#This Row],[Day_Type]]="Weekday",Cleaned_datasetB[[#This Row],[Is_Holiday]]=FALSE),"Working Day","Non-Working Day")</f>
        <v>Working Day</v>
      </c>
    </row>
    <row r="75" spans="1:21">
      <c r="A75" s="10">
        <v>74</v>
      </c>
      <c r="B75" s="23">
        <v>40547</v>
      </c>
      <c r="C75" s="10">
        <v>1</v>
      </c>
      <c r="D75" s="10">
        <v>0</v>
      </c>
      <c r="E75" s="10">
        <v>1</v>
      </c>
      <c r="F75" s="10">
        <v>5</v>
      </c>
      <c r="G75" s="10" t="b">
        <v>0</v>
      </c>
      <c r="H75" s="10">
        <v>2</v>
      </c>
      <c r="I75" s="10" t="str">
        <f>IF(OR(Cleaned_datasetB[[#This Row],[Day_Code]]=0,Cleaned_datasetB[[#This Row],[Day_Code]]=6),"Weekend","Weekday")</f>
        <v>Weekday</v>
      </c>
      <c r="J75" s="10">
        <v>1</v>
      </c>
      <c r="K75" s="10">
        <v>0.12</v>
      </c>
      <c r="L75" s="51">
        <v>0.1515</v>
      </c>
      <c r="M75" s="10">
        <v>0.68</v>
      </c>
      <c r="N75" s="10">
        <v>0.1045</v>
      </c>
      <c r="O75" s="10">
        <v>0</v>
      </c>
      <c r="P75" s="10">
        <v>4</v>
      </c>
      <c r="Q75" s="10">
        <v>4</v>
      </c>
      <c r="R75" s="10" t="str">
        <f>VLOOKUP(Cleaned_datasetB[[#This Row],[Weather_Code]],Lookup_Tables!$E$9:$F$13,2,FALSE)</f>
        <v>Clear</v>
      </c>
      <c r="S75" s="10" t="str">
        <f>INDEX(Lookup_Tables!$I$10:$I$16,MATCH(Cleaned_datasetB[[#This Row],[Day_Code]],Lookup_Tables!$H$10:$H$16,0))</f>
        <v>Tuesday</v>
      </c>
      <c r="T75" s="10" t="str">
        <f>VLOOKUP(Cleaned_datasetB[[#This Row],[Month]], Lookup_Tables!$K$8:$L$19, 2, FALSE)</f>
        <v>January</v>
      </c>
      <c r="U75" s="10" t="str">
        <f>IF(AND(Cleaned_datasetB[[#This Row],[Day_Type]]="Weekday",Cleaned_datasetB[[#This Row],[Is_Holiday]]=FALSE),"Working Day","Non-Working Day")</f>
        <v>Working Day</v>
      </c>
    </row>
    <row r="76" spans="1:21">
      <c r="A76" s="10">
        <v>75</v>
      </c>
      <c r="B76" s="23">
        <v>40547</v>
      </c>
      <c r="C76" s="10">
        <v>1</v>
      </c>
      <c r="D76" s="10">
        <v>0</v>
      </c>
      <c r="E76" s="10">
        <v>1</v>
      </c>
      <c r="F76" s="10">
        <v>6</v>
      </c>
      <c r="G76" s="10" t="b">
        <v>0</v>
      </c>
      <c r="H76" s="10">
        <v>2</v>
      </c>
      <c r="I76" s="10" t="str">
        <f>IF(OR(Cleaned_datasetB[[#This Row],[Day_Code]]=0,Cleaned_datasetB[[#This Row],[Day_Code]]=6),"Weekend","Weekday")</f>
        <v>Weekday</v>
      </c>
      <c r="J76" s="10">
        <v>1</v>
      </c>
      <c r="K76" s="10">
        <v>0.12</v>
      </c>
      <c r="L76" s="51">
        <v>0.1515</v>
      </c>
      <c r="M76" s="10">
        <v>0.74</v>
      </c>
      <c r="N76" s="10">
        <v>0.1045</v>
      </c>
      <c r="O76" s="10">
        <v>0</v>
      </c>
      <c r="P76" s="10">
        <v>36</v>
      </c>
      <c r="Q76" s="10">
        <v>36</v>
      </c>
      <c r="R76" s="10" t="str">
        <f>VLOOKUP(Cleaned_datasetB[[#This Row],[Weather_Code]],Lookup_Tables!$E$9:$F$13,2,FALSE)</f>
        <v>Clear</v>
      </c>
      <c r="S76" s="10" t="str">
        <f>INDEX(Lookup_Tables!$I$10:$I$16,MATCH(Cleaned_datasetB[[#This Row],[Day_Code]],Lookup_Tables!$H$10:$H$16,0))</f>
        <v>Tuesday</v>
      </c>
      <c r="T76" s="10" t="str">
        <f>VLOOKUP(Cleaned_datasetB[[#This Row],[Month]], Lookup_Tables!$K$8:$L$19, 2, FALSE)</f>
        <v>January</v>
      </c>
      <c r="U76" s="10" t="str">
        <f>IF(AND(Cleaned_datasetB[[#This Row],[Day_Type]]="Weekday",Cleaned_datasetB[[#This Row],[Is_Holiday]]=FALSE),"Working Day","Non-Working Day")</f>
        <v>Working Day</v>
      </c>
    </row>
    <row r="77" spans="1:21">
      <c r="A77" s="10">
        <v>76</v>
      </c>
      <c r="B77" s="23">
        <v>40547</v>
      </c>
      <c r="C77" s="10">
        <v>1</v>
      </c>
      <c r="D77" s="10">
        <v>0</v>
      </c>
      <c r="E77" s="10">
        <v>1</v>
      </c>
      <c r="F77" s="10">
        <v>7</v>
      </c>
      <c r="G77" s="10" t="b">
        <v>0</v>
      </c>
      <c r="H77" s="10">
        <v>2</v>
      </c>
      <c r="I77" s="10" t="str">
        <f>IF(OR(Cleaned_datasetB[[#This Row],[Day_Code]]=0,Cleaned_datasetB[[#This Row],[Day_Code]]=6),"Weekend","Weekday")</f>
        <v>Weekday</v>
      </c>
      <c r="J77" s="10">
        <v>1</v>
      </c>
      <c r="K77" s="10">
        <v>0.12</v>
      </c>
      <c r="L77" s="51">
        <v>0.1515</v>
      </c>
      <c r="M77" s="10">
        <v>0.74</v>
      </c>
      <c r="N77" s="10">
        <v>0.1343</v>
      </c>
      <c r="O77" s="10">
        <v>2</v>
      </c>
      <c r="P77" s="10">
        <v>92</v>
      </c>
      <c r="Q77" s="10">
        <v>94</v>
      </c>
      <c r="R77" s="10" t="str">
        <f>VLOOKUP(Cleaned_datasetB[[#This Row],[Weather_Code]],Lookup_Tables!$E$9:$F$13,2,FALSE)</f>
        <v>Clear</v>
      </c>
      <c r="S77" s="10" t="str">
        <f>INDEX(Lookup_Tables!$I$10:$I$16,MATCH(Cleaned_datasetB[[#This Row],[Day_Code]],Lookup_Tables!$H$10:$H$16,0))</f>
        <v>Tuesday</v>
      </c>
      <c r="T77" s="10" t="str">
        <f>VLOOKUP(Cleaned_datasetB[[#This Row],[Month]], Lookup_Tables!$K$8:$L$19, 2, FALSE)</f>
        <v>January</v>
      </c>
      <c r="U77" s="10" t="str">
        <f>IF(AND(Cleaned_datasetB[[#This Row],[Day_Type]]="Weekday",Cleaned_datasetB[[#This Row],[Is_Holiday]]=FALSE),"Working Day","Non-Working Day")</f>
        <v>Working Day</v>
      </c>
    </row>
    <row r="78" spans="1:21">
      <c r="A78" s="10">
        <v>77</v>
      </c>
      <c r="B78" s="23">
        <v>40547</v>
      </c>
      <c r="C78" s="10">
        <v>1</v>
      </c>
      <c r="D78" s="10">
        <v>0</v>
      </c>
      <c r="E78" s="10">
        <v>1</v>
      </c>
      <c r="F78" s="10">
        <v>8</v>
      </c>
      <c r="G78" s="10" t="b">
        <v>0</v>
      </c>
      <c r="H78" s="10">
        <v>2</v>
      </c>
      <c r="I78" s="10" t="str">
        <f>IF(OR(Cleaned_datasetB[[#This Row],[Day_Code]]=0,Cleaned_datasetB[[#This Row],[Day_Code]]=6),"Weekend","Weekday")</f>
        <v>Weekday</v>
      </c>
      <c r="J78" s="10">
        <v>1</v>
      </c>
      <c r="K78" s="10">
        <v>0.14000000000000001</v>
      </c>
      <c r="L78" s="51">
        <v>0.1515</v>
      </c>
      <c r="M78" s="10">
        <v>0.69</v>
      </c>
      <c r="N78" s="10">
        <v>0.16420000000000001</v>
      </c>
      <c r="O78" s="10">
        <v>2</v>
      </c>
      <c r="P78" s="10">
        <v>177</v>
      </c>
      <c r="Q78" s="10">
        <v>179</v>
      </c>
      <c r="R78" s="10" t="str">
        <f>VLOOKUP(Cleaned_datasetB[[#This Row],[Weather_Code]],Lookup_Tables!$E$9:$F$13,2,FALSE)</f>
        <v>Clear</v>
      </c>
      <c r="S78" s="10" t="str">
        <f>INDEX(Lookup_Tables!$I$10:$I$16,MATCH(Cleaned_datasetB[[#This Row],[Day_Code]],Lookup_Tables!$H$10:$H$16,0))</f>
        <v>Tuesday</v>
      </c>
      <c r="T78" s="10" t="str">
        <f>VLOOKUP(Cleaned_datasetB[[#This Row],[Month]], Lookup_Tables!$K$8:$L$19, 2, FALSE)</f>
        <v>January</v>
      </c>
      <c r="U78" s="10" t="str">
        <f>IF(AND(Cleaned_datasetB[[#This Row],[Day_Type]]="Weekday",Cleaned_datasetB[[#This Row],[Is_Holiday]]=FALSE),"Working Day","Non-Working Day")</f>
        <v>Working Day</v>
      </c>
    </row>
    <row r="79" spans="1:21">
      <c r="A79" s="10">
        <v>78</v>
      </c>
      <c r="B79" s="23">
        <v>40547</v>
      </c>
      <c r="C79" s="10">
        <v>1</v>
      </c>
      <c r="D79" s="10">
        <v>0</v>
      </c>
      <c r="E79" s="10">
        <v>1</v>
      </c>
      <c r="F79" s="10">
        <v>9</v>
      </c>
      <c r="G79" s="10" t="b">
        <v>0</v>
      </c>
      <c r="H79" s="10">
        <v>2</v>
      </c>
      <c r="I79" s="10" t="str">
        <f>IF(OR(Cleaned_datasetB[[#This Row],[Day_Code]]=0,Cleaned_datasetB[[#This Row],[Day_Code]]=6),"Weekend","Weekday")</f>
        <v>Weekday</v>
      </c>
      <c r="J79" s="10">
        <v>1</v>
      </c>
      <c r="K79" s="10">
        <v>0.16</v>
      </c>
      <c r="L79" s="51">
        <v>0.1515</v>
      </c>
      <c r="M79" s="10">
        <v>0.64</v>
      </c>
      <c r="N79" s="10">
        <v>0.22389999999999999</v>
      </c>
      <c r="O79" s="10">
        <v>2</v>
      </c>
      <c r="P79" s="10">
        <v>98</v>
      </c>
      <c r="Q79" s="10">
        <v>100</v>
      </c>
      <c r="R79" s="10" t="str">
        <f>VLOOKUP(Cleaned_datasetB[[#This Row],[Weather_Code]],Lookup_Tables!$E$9:$F$13,2,FALSE)</f>
        <v>Clear</v>
      </c>
      <c r="S79" s="10" t="str">
        <f>INDEX(Lookup_Tables!$I$10:$I$16,MATCH(Cleaned_datasetB[[#This Row],[Day_Code]],Lookup_Tables!$H$10:$H$16,0))</f>
        <v>Tuesday</v>
      </c>
      <c r="T79" s="10" t="str">
        <f>VLOOKUP(Cleaned_datasetB[[#This Row],[Month]], Lookup_Tables!$K$8:$L$19, 2, FALSE)</f>
        <v>January</v>
      </c>
      <c r="U79" s="10" t="str">
        <f>IF(AND(Cleaned_datasetB[[#This Row],[Day_Type]]="Weekday",Cleaned_datasetB[[#This Row],[Is_Holiday]]=FALSE),"Working Day","Non-Working Day")</f>
        <v>Working Day</v>
      </c>
    </row>
    <row r="80" spans="1:21">
      <c r="A80" s="10">
        <v>79</v>
      </c>
      <c r="B80" s="23">
        <v>40547</v>
      </c>
      <c r="C80" s="10">
        <v>1</v>
      </c>
      <c r="D80" s="10">
        <v>0</v>
      </c>
      <c r="E80" s="10">
        <v>1</v>
      </c>
      <c r="F80" s="10">
        <v>10</v>
      </c>
      <c r="G80" s="10" t="b">
        <v>0</v>
      </c>
      <c r="H80" s="10">
        <v>2</v>
      </c>
      <c r="I80" s="10" t="str">
        <f>IF(OR(Cleaned_datasetB[[#This Row],[Day_Code]]=0,Cleaned_datasetB[[#This Row],[Day_Code]]=6),"Weekend","Weekday")</f>
        <v>Weekday</v>
      </c>
      <c r="J80" s="10">
        <v>2</v>
      </c>
      <c r="K80" s="10">
        <v>0.16</v>
      </c>
      <c r="L80" s="51">
        <v>0.13639999999999999</v>
      </c>
      <c r="M80" s="10">
        <v>0.69</v>
      </c>
      <c r="N80" s="10">
        <v>0.32840000000000003</v>
      </c>
      <c r="O80" s="10">
        <v>5</v>
      </c>
      <c r="P80" s="10">
        <v>37</v>
      </c>
      <c r="Q80" s="10">
        <v>42</v>
      </c>
      <c r="R80" s="10" t="str">
        <f>VLOOKUP(Cleaned_datasetB[[#This Row],[Weather_Code]],Lookup_Tables!$E$9:$F$13,2,FALSE)</f>
        <v>Cloudy</v>
      </c>
      <c r="S80" s="10" t="str">
        <f>INDEX(Lookup_Tables!$I$10:$I$16,MATCH(Cleaned_datasetB[[#This Row],[Day_Code]],Lookup_Tables!$H$10:$H$16,0))</f>
        <v>Tuesday</v>
      </c>
      <c r="T80" s="10" t="str">
        <f>VLOOKUP(Cleaned_datasetB[[#This Row],[Month]], Lookup_Tables!$K$8:$L$19, 2, FALSE)</f>
        <v>January</v>
      </c>
      <c r="U80" s="10" t="str">
        <f>IF(AND(Cleaned_datasetB[[#This Row],[Day_Type]]="Weekday",Cleaned_datasetB[[#This Row],[Is_Holiday]]=FALSE),"Working Day","Non-Working Day")</f>
        <v>Working Day</v>
      </c>
    </row>
    <row r="81" spans="1:21">
      <c r="A81" s="10">
        <v>80</v>
      </c>
      <c r="B81" s="23">
        <v>40547</v>
      </c>
      <c r="C81" s="10">
        <v>1</v>
      </c>
      <c r="D81" s="10">
        <v>0</v>
      </c>
      <c r="E81" s="10">
        <v>1</v>
      </c>
      <c r="F81" s="10">
        <v>11</v>
      </c>
      <c r="G81" s="10" t="b">
        <v>0</v>
      </c>
      <c r="H81" s="10">
        <v>2</v>
      </c>
      <c r="I81" s="10" t="str">
        <f>IF(OR(Cleaned_datasetB[[#This Row],[Day_Code]]=0,Cleaned_datasetB[[#This Row],[Day_Code]]=6),"Weekend","Weekday")</f>
        <v>Weekday</v>
      </c>
      <c r="J81" s="10">
        <v>1</v>
      </c>
      <c r="K81" s="10">
        <v>0.22</v>
      </c>
      <c r="L81" s="51">
        <v>0.21210000000000001</v>
      </c>
      <c r="M81" s="10">
        <v>0.51</v>
      </c>
      <c r="N81" s="10">
        <v>0.29849999999999999</v>
      </c>
      <c r="O81" s="10">
        <v>7</v>
      </c>
      <c r="P81" s="10">
        <v>50</v>
      </c>
      <c r="Q81" s="10">
        <v>57</v>
      </c>
      <c r="R81" s="10" t="str">
        <f>VLOOKUP(Cleaned_datasetB[[#This Row],[Weather_Code]],Lookup_Tables!$E$9:$F$13,2,FALSE)</f>
        <v>Clear</v>
      </c>
      <c r="S81" s="10" t="str">
        <f>INDEX(Lookup_Tables!$I$10:$I$16,MATCH(Cleaned_datasetB[[#This Row],[Day_Code]],Lookup_Tables!$H$10:$H$16,0))</f>
        <v>Tuesday</v>
      </c>
      <c r="T81" s="10" t="str">
        <f>VLOOKUP(Cleaned_datasetB[[#This Row],[Month]], Lookup_Tables!$K$8:$L$19, 2, FALSE)</f>
        <v>January</v>
      </c>
      <c r="U81" s="10" t="str">
        <f>IF(AND(Cleaned_datasetB[[#This Row],[Day_Type]]="Weekday",Cleaned_datasetB[[#This Row],[Is_Holiday]]=FALSE),"Working Day","Non-Working Day")</f>
        <v>Working Day</v>
      </c>
    </row>
    <row r="82" spans="1:21">
      <c r="A82" s="10">
        <v>81</v>
      </c>
      <c r="B82" s="23">
        <v>40547</v>
      </c>
      <c r="C82" s="10">
        <v>1</v>
      </c>
      <c r="D82" s="10">
        <v>0</v>
      </c>
      <c r="E82" s="10">
        <v>1</v>
      </c>
      <c r="F82" s="10">
        <v>12</v>
      </c>
      <c r="G82" s="10" t="b">
        <v>0</v>
      </c>
      <c r="H82" s="10">
        <v>2</v>
      </c>
      <c r="I82" s="10" t="str">
        <f>IF(OR(Cleaned_datasetB[[#This Row],[Day_Code]]=0,Cleaned_datasetB[[#This Row],[Day_Code]]=6),"Weekend","Weekday")</f>
        <v>Weekday</v>
      </c>
      <c r="J82" s="10">
        <v>1</v>
      </c>
      <c r="K82" s="10">
        <v>0.22</v>
      </c>
      <c r="L82" s="51">
        <v>0.2273</v>
      </c>
      <c r="M82" s="10">
        <v>0.51</v>
      </c>
      <c r="N82" s="10">
        <v>0.16420000000000001</v>
      </c>
      <c r="O82" s="10">
        <v>12</v>
      </c>
      <c r="P82" s="10">
        <v>66</v>
      </c>
      <c r="Q82" s="10">
        <v>78</v>
      </c>
      <c r="R82" s="10" t="str">
        <f>VLOOKUP(Cleaned_datasetB[[#This Row],[Weather_Code]],Lookup_Tables!$E$9:$F$13,2,FALSE)</f>
        <v>Clear</v>
      </c>
      <c r="S82" s="10" t="str">
        <f>INDEX(Lookup_Tables!$I$10:$I$16,MATCH(Cleaned_datasetB[[#This Row],[Day_Code]],Lookup_Tables!$H$10:$H$16,0))</f>
        <v>Tuesday</v>
      </c>
      <c r="T82" s="10" t="str">
        <f>VLOOKUP(Cleaned_datasetB[[#This Row],[Month]], Lookup_Tables!$K$8:$L$19, 2, FALSE)</f>
        <v>January</v>
      </c>
      <c r="U82" s="10" t="str">
        <f>IF(AND(Cleaned_datasetB[[#This Row],[Day_Type]]="Weekday",Cleaned_datasetB[[#This Row],[Is_Holiday]]=FALSE),"Working Day","Non-Working Day")</f>
        <v>Working Day</v>
      </c>
    </row>
    <row r="83" spans="1:21">
      <c r="A83" s="10">
        <v>82</v>
      </c>
      <c r="B83" s="23">
        <v>40547</v>
      </c>
      <c r="C83" s="10">
        <v>1</v>
      </c>
      <c r="D83" s="10">
        <v>0</v>
      </c>
      <c r="E83" s="10">
        <v>1</v>
      </c>
      <c r="F83" s="10">
        <v>13</v>
      </c>
      <c r="G83" s="10" t="b">
        <v>0</v>
      </c>
      <c r="H83" s="10">
        <v>2</v>
      </c>
      <c r="I83" s="10" t="str">
        <f>IF(OR(Cleaned_datasetB[[#This Row],[Day_Code]]=0,Cleaned_datasetB[[#This Row],[Day_Code]]=6),"Weekend","Weekday")</f>
        <v>Weekday</v>
      </c>
      <c r="J83" s="10">
        <v>1</v>
      </c>
      <c r="K83" s="10">
        <v>0.24</v>
      </c>
      <c r="L83" s="51">
        <v>0.2273</v>
      </c>
      <c r="M83" s="10">
        <v>0.56000000000000005</v>
      </c>
      <c r="N83" s="10">
        <v>0.19400000000000001</v>
      </c>
      <c r="O83" s="10">
        <v>18</v>
      </c>
      <c r="P83" s="10">
        <v>79</v>
      </c>
      <c r="Q83" s="10">
        <v>97</v>
      </c>
      <c r="R83" s="10" t="str">
        <f>VLOOKUP(Cleaned_datasetB[[#This Row],[Weather_Code]],Lookup_Tables!$E$9:$F$13,2,FALSE)</f>
        <v>Clear</v>
      </c>
      <c r="S83" s="10" t="str">
        <f>INDEX(Lookup_Tables!$I$10:$I$16,MATCH(Cleaned_datasetB[[#This Row],[Day_Code]],Lookup_Tables!$H$10:$H$16,0))</f>
        <v>Tuesday</v>
      </c>
      <c r="T83" s="10" t="str">
        <f>VLOOKUP(Cleaned_datasetB[[#This Row],[Month]], Lookup_Tables!$K$8:$L$19, 2, FALSE)</f>
        <v>January</v>
      </c>
      <c r="U83" s="10" t="str">
        <f>IF(AND(Cleaned_datasetB[[#This Row],[Day_Type]]="Weekday",Cleaned_datasetB[[#This Row],[Is_Holiday]]=FALSE),"Working Day","Non-Working Day")</f>
        <v>Working Day</v>
      </c>
    </row>
    <row r="84" spans="1:21">
      <c r="A84" s="10">
        <v>83</v>
      </c>
      <c r="B84" s="23">
        <v>40547</v>
      </c>
      <c r="C84" s="10">
        <v>1</v>
      </c>
      <c r="D84" s="10">
        <v>0</v>
      </c>
      <c r="E84" s="10">
        <v>1</v>
      </c>
      <c r="F84" s="10">
        <v>14</v>
      </c>
      <c r="G84" s="10" t="b">
        <v>0</v>
      </c>
      <c r="H84" s="10">
        <v>2</v>
      </c>
      <c r="I84" s="10" t="str">
        <f>IF(OR(Cleaned_datasetB[[#This Row],[Day_Code]]=0,Cleaned_datasetB[[#This Row],[Day_Code]]=6),"Weekend","Weekday")</f>
        <v>Weekday</v>
      </c>
      <c r="J84" s="10">
        <v>1</v>
      </c>
      <c r="K84" s="10">
        <v>0.26</v>
      </c>
      <c r="L84" s="51">
        <v>0.2576</v>
      </c>
      <c r="M84" s="10">
        <v>0.52</v>
      </c>
      <c r="N84" s="10">
        <v>0.22389999999999999</v>
      </c>
      <c r="O84" s="10">
        <v>9</v>
      </c>
      <c r="P84" s="10">
        <v>54</v>
      </c>
      <c r="Q84" s="10">
        <v>63</v>
      </c>
      <c r="R84" s="10" t="str">
        <f>VLOOKUP(Cleaned_datasetB[[#This Row],[Weather_Code]],Lookup_Tables!$E$9:$F$13,2,FALSE)</f>
        <v>Clear</v>
      </c>
      <c r="S84" s="10" t="str">
        <f>INDEX(Lookup_Tables!$I$10:$I$16,MATCH(Cleaned_datasetB[[#This Row],[Day_Code]],Lookup_Tables!$H$10:$H$16,0))</f>
        <v>Tuesday</v>
      </c>
      <c r="T84" s="10" t="str">
        <f>VLOOKUP(Cleaned_datasetB[[#This Row],[Month]], Lookup_Tables!$K$8:$L$19, 2, FALSE)</f>
        <v>January</v>
      </c>
      <c r="U84" s="10" t="str">
        <f>IF(AND(Cleaned_datasetB[[#This Row],[Day_Type]]="Weekday",Cleaned_datasetB[[#This Row],[Is_Holiday]]=FALSE),"Working Day","Non-Working Day")</f>
        <v>Working Day</v>
      </c>
    </row>
    <row r="85" spans="1:21">
      <c r="A85" s="10">
        <v>84</v>
      </c>
      <c r="B85" s="23">
        <v>40547</v>
      </c>
      <c r="C85" s="10">
        <v>1</v>
      </c>
      <c r="D85" s="10">
        <v>0</v>
      </c>
      <c r="E85" s="10">
        <v>1</v>
      </c>
      <c r="F85" s="10">
        <v>15</v>
      </c>
      <c r="G85" s="10" t="b">
        <v>0</v>
      </c>
      <c r="H85" s="10">
        <v>2</v>
      </c>
      <c r="I85" s="10" t="str">
        <f>IF(OR(Cleaned_datasetB[[#This Row],[Day_Code]]=0,Cleaned_datasetB[[#This Row],[Day_Code]]=6),"Weekend","Weekday")</f>
        <v>Weekday</v>
      </c>
      <c r="J85" s="10">
        <v>1</v>
      </c>
      <c r="K85" s="10">
        <v>0.28000000000000003</v>
      </c>
      <c r="L85" s="51">
        <v>0.2727</v>
      </c>
      <c r="M85" s="10">
        <v>0.52</v>
      </c>
      <c r="N85" s="10">
        <v>0.25369999999999998</v>
      </c>
      <c r="O85" s="10">
        <v>17</v>
      </c>
      <c r="P85" s="10">
        <v>48</v>
      </c>
      <c r="Q85" s="10">
        <v>65</v>
      </c>
      <c r="R85" s="10" t="str">
        <f>VLOOKUP(Cleaned_datasetB[[#This Row],[Weather_Code]],Lookup_Tables!$E$9:$F$13,2,FALSE)</f>
        <v>Clear</v>
      </c>
      <c r="S85" s="10" t="str">
        <f>INDEX(Lookup_Tables!$I$10:$I$16,MATCH(Cleaned_datasetB[[#This Row],[Day_Code]],Lookup_Tables!$H$10:$H$16,0))</f>
        <v>Tuesday</v>
      </c>
      <c r="T85" s="10" t="str">
        <f>VLOOKUP(Cleaned_datasetB[[#This Row],[Month]], Lookup_Tables!$K$8:$L$19, 2, FALSE)</f>
        <v>January</v>
      </c>
      <c r="U85" s="10" t="str">
        <f>IF(AND(Cleaned_datasetB[[#This Row],[Day_Type]]="Weekday",Cleaned_datasetB[[#This Row],[Is_Holiday]]=FALSE),"Working Day","Non-Working Day")</f>
        <v>Working Day</v>
      </c>
    </row>
    <row r="86" spans="1:21">
      <c r="A86" s="10">
        <v>85</v>
      </c>
      <c r="B86" s="23">
        <v>40547</v>
      </c>
      <c r="C86" s="10">
        <v>1</v>
      </c>
      <c r="D86" s="10">
        <v>0</v>
      </c>
      <c r="E86" s="10">
        <v>1</v>
      </c>
      <c r="F86" s="10">
        <v>16</v>
      </c>
      <c r="G86" s="10" t="b">
        <v>0</v>
      </c>
      <c r="H86" s="10">
        <v>2</v>
      </c>
      <c r="I86" s="10" t="str">
        <f>IF(OR(Cleaned_datasetB[[#This Row],[Day_Code]]=0,Cleaned_datasetB[[#This Row],[Day_Code]]=6),"Weekend","Weekday")</f>
        <v>Weekday</v>
      </c>
      <c r="J86" s="10">
        <v>1</v>
      </c>
      <c r="K86" s="10">
        <v>0.3</v>
      </c>
      <c r="L86" s="51">
        <v>0.28789999999999999</v>
      </c>
      <c r="M86" s="10">
        <v>0.49</v>
      </c>
      <c r="N86" s="10">
        <v>0.25369999999999998</v>
      </c>
      <c r="O86" s="10">
        <v>15</v>
      </c>
      <c r="P86" s="10">
        <v>68</v>
      </c>
      <c r="Q86" s="10">
        <v>83</v>
      </c>
      <c r="R86" s="10" t="str">
        <f>VLOOKUP(Cleaned_datasetB[[#This Row],[Weather_Code]],Lookup_Tables!$E$9:$F$13,2,FALSE)</f>
        <v>Clear</v>
      </c>
      <c r="S86" s="10" t="str">
        <f>INDEX(Lookup_Tables!$I$10:$I$16,MATCH(Cleaned_datasetB[[#This Row],[Day_Code]],Lookup_Tables!$H$10:$H$16,0))</f>
        <v>Tuesday</v>
      </c>
      <c r="T86" s="10" t="str">
        <f>VLOOKUP(Cleaned_datasetB[[#This Row],[Month]], Lookup_Tables!$K$8:$L$19, 2, FALSE)</f>
        <v>January</v>
      </c>
      <c r="U86" s="10" t="str">
        <f>IF(AND(Cleaned_datasetB[[#This Row],[Day_Type]]="Weekday",Cleaned_datasetB[[#This Row],[Is_Holiday]]=FALSE),"Working Day","Non-Working Day")</f>
        <v>Working Day</v>
      </c>
    </row>
    <row r="87" spans="1:21">
      <c r="A87" s="10">
        <v>86</v>
      </c>
      <c r="B87" s="23">
        <v>40547</v>
      </c>
      <c r="C87" s="10">
        <v>1</v>
      </c>
      <c r="D87" s="10">
        <v>0</v>
      </c>
      <c r="E87" s="10">
        <v>1</v>
      </c>
      <c r="F87" s="10">
        <v>17</v>
      </c>
      <c r="G87" s="10" t="b">
        <v>0</v>
      </c>
      <c r="H87" s="10">
        <v>2</v>
      </c>
      <c r="I87" s="10" t="str">
        <f>IF(OR(Cleaned_datasetB[[#This Row],[Day_Code]]=0,Cleaned_datasetB[[#This Row],[Day_Code]]=6),"Weekend","Weekday")</f>
        <v>Weekday</v>
      </c>
      <c r="J87" s="10">
        <v>1</v>
      </c>
      <c r="K87" s="10">
        <v>0.28000000000000003</v>
      </c>
      <c r="L87" s="51">
        <v>0.2727</v>
      </c>
      <c r="M87" s="10">
        <v>0.48</v>
      </c>
      <c r="N87" s="10">
        <v>0.22389999999999999</v>
      </c>
      <c r="O87" s="10">
        <v>10</v>
      </c>
      <c r="P87" s="10">
        <v>202</v>
      </c>
      <c r="Q87" s="10">
        <v>212</v>
      </c>
      <c r="R87" s="10" t="str">
        <f>VLOOKUP(Cleaned_datasetB[[#This Row],[Weather_Code]],Lookup_Tables!$E$9:$F$13,2,FALSE)</f>
        <v>Clear</v>
      </c>
      <c r="S87" s="10" t="str">
        <f>INDEX(Lookup_Tables!$I$10:$I$16,MATCH(Cleaned_datasetB[[#This Row],[Day_Code]],Lookup_Tables!$H$10:$H$16,0))</f>
        <v>Tuesday</v>
      </c>
      <c r="T87" s="10" t="str">
        <f>VLOOKUP(Cleaned_datasetB[[#This Row],[Month]], Lookup_Tables!$K$8:$L$19, 2, FALSE)</f>
        <v>January</v>
      </c>
      <c r="U87" s="10" t="str">
        <f>IF(AND(Cleaned_datasetB[[#This Row],[Day_Type]]="Weekday",Cleaned_datasetB[[#This Row],[Is_Holiday]]=FALSE),"Working Day","Non-Working Day")</f>
        <v>Working Day</v>
      </c>
    </row>
    <row r="88" spans="1:21">
      <c r="A88" s="10">
        <v>87</v>
      </c>
      <c r="B88" s="23">
        <v>40547</v>
      </c>
      <c r="C88" s="10">
        <v>1</v>
      </c>
      <c r="D88" s="10">
        <v>0</v>
      </c>
      <c r="E88" s="10">
        <v>1</v>
      </c>
      <c r="F88" s="10">
        <v>18</v>
      </c>
      <c r="G88" s="10" t="b">
        <v>0</v>
      </c>
      <c r="H88" s="10">
        <v>2</v>
      </c>
      <c r="I88" s="10" t="str">
        <f>IF(OR(Cleaned_datasetB[[#This Row],[Day_Code]]=0,Cleaned_datasetB[[#This Row],[Day_Code]]=6),"Weekend","Weekday")</f>
        <v>Weekday</v>
      </c>
      <c r="J88" s="10">
        <v>1</v>
      </c>
      <c r="K88" s="10">
        <v>0.26</v>
      </c>
      <c r="L88" s="51">
        <v>0.2576</v>
      </c>
      <c r="M88" s="10">
        <v>0.48</v>
      </c>
      <c r="N88" s="10">
        <v>0.19400000000000001</v>
      </c>
      <c r="O88" s="10">
        <v>3</v>
      </c>
      <c r="P88" s="10">
        <v>179</v>
      </c>
      <c r="Q88" s="10">
        <v>182</v>
      </c>
      <c r="R88" s="10" t="str">
        <f>VLOOKUP(Cleaned_datasetB[[#This Row],[Weather_Code]],Lookup_Tables!$E$9:$F$13,2,FALSE)</f>
        <v>Clear</v>
      </c>
      <c r="S88" s="10" t="str">
        <f>INDEX(Lookup_Tables!$I$10:$I$16,MATCH(Cleaned_datasetB[[#This Row],[Day_Code]],Lookup_Tables!$H$10:$H$16,0))</f>
        <v>Tuesday</v>
      </c>
      <c r="T88" s="10" t="str">
        <f>VLOOKUP(Cleaned_datasetB[[#This Row],[Month]], Lookup_Tables!$K$8:$L$19, 2, FALSE)</f>
        <v>January</v>
      </c>
      <c r="U88" s="10" t="str">
        <f>IF(AND(Cleaned_datasetB[[#This Row],[Day_Type]]="Weekday",Cleaned_datasetB[[#This Row],[Is_Holiday]]=FALSE),"Working Day","Non-Working Day")</f>
        <v>Working Day</v>
      </c>
    </row>
    <row r="89" spans="1:21">
      <c r="A89" s="10">
        <v>88</v>
      </c>
      <c r="B89" s="23">
        <v>40547</v>
      </c>
      <c r="C89" s="10">
        <v>1</v>
      </c>
      <c r="D89" s="10">
        <v>0</v>
      </c>
      <c r="E89" s="10">
        <v>1</v>
      </c>
      <c r="F89" s="10">
        <v>19</v>
      </c>
      <c r="G89" s="10" t="b">
        <v>0</v>
      </c>
      <c r="H89" s="10">
        <v>2</v>
      </c>
      <c r="I89" s="10" t="str">
        <f>IF(OR(Cleaned_datasetB[[#This Row],[Day_Code]]=0,Cleaned_datasetB[[#This Row],[Day_Code]]=6),"Weekend","Weekday")</f>
        <v>Weekday</v>
      </c>
      <c r="J89" s="10">
        <v>1</v>
      </c>
      <c r="K89" s="10">
        <v>0.24</v>
      </c>
      <c r="L89" s="51">
        <v>0.2576</v>
      </c>
      <c r="M89" s="10">
        <v>0.48</v>
      </c>
      <c r="N89" s="10">
        <v>0.1045</v>
      </c>
      <c r="O89" s="10">
        <v>2</v>
      </c>
      <c r="P89" s="10">
        <v>110</v>
      </c>
      <c r="Q89" s="10">
        <v>112</v>
      </c>
      <c r="R89" s="10" t="str">
        <f>VLOOKUP(Cleaned_datasetB[[#This Row],[Weather_Code]],Lookup_Tables!$E$9:$F$13,2,FALSE)</f>
        <v>Clear</v>
      </c>
      <c r="S89" s="10" t="str">
        <f>INDEX(Lookup_Tables!$I$10:$I$16,MATCH(Cleaned_datasetB[[#This Row],[Day_Code]],Lookup_Tables!$H$10:$H$16,0))</f>
        <v>Tuesday</v>
      </c>
      <c r="T89" s="10" t="str">
        <f>VLOOKUP(Cleaned_datasetB[[#This Row],[Month]], Lookup_Tables!$K$8:$L$19, 2, FALSE)</f>
        <v>January</v>
      </c>
      <c r="U89" s="10" t="str">
        <f>IF(AND(Cleaned_datasetB[[#This Row],[Day_Type]]="Weekday",Cleaned_datasetB[[#This Row],[Is_Holiday]]=FALSE),"Working Day","Non-Working Day")</f>
        <v>Working Day</v>
      </c>
    </row>
    <row r="90" spans="1:21">
      <c r="A90" s="10">
        <v>89</v>
      </c>
      <c r="B90" s="23">
        <v>40547</v>
      </c>
      <c r="C90" s="10">
        <v>1</v>
      </c>
      <c r="D90" s="10">
        <v>0</v>
      </c>
      <c r="E90" s="10">
        <v>1</v>
      </c>
      <c r="F90" s="10">
        <v>20</v>
      </c>
      <c r="G90" s="10" t="b">
        <v>0</v>
      </c>
      <c r="H90" s="10">
        <v>2</v>
      </c>
      <c r="I90" s="10" t="str">
        <f>IF(OR(Cleaned_datasetB[[#This Row],[Day_Code]]=0,Cleaned_datasetB[[#This Row],[Day_Code]]=6),"Weekend","Weekday")</f>
        <v>Weekday</v>
      </c>
      <c r="J90" s="10">
        <v>1</v>
      </c>
      <c r="K90" s="10">
        <v>0.24</v>
      </c>
      <c r="L90" s="51">
        <v>0.2576</v>
      </c>
      <c r="M90" s="10">
        <v>0.48</v>
      </c>
      <c r="N90" s="10">
        <v>0.1045</v>
      </c>
      <c r="O90" s="10">
        <v>1</v>
      </c>
      <c r="P90" s="10">
        <v>53</v>
      </c>
      <c r="Q90" s="10">
        <v>54</v>
      </c>
      <c r="R90" s="10" t="str">
        <f>VLOOKUP(Cleaned_datasetB[[#This Row],[Weather_Code]],Lookup_Tables!$E$9:$F$13,2,FALSE)</f>
        <v>Clear</v>
      </c>
      <c r="S90" s="10" t="str">
        <f>INDEX(Lookup_Tables!$I$10:$I$16,MATCH(Cleaned_datasetB[[#This Row],[Day_Code]],Lookup_Tables!$H$10:$H$16,0))</f>
        <v>Tuesday</v>
      </c>
      <c r="T90" s="10" t="str">
        <f>VLOOKUP(Cleaned_datasetB[[#This Row],[Month]], Lookup_Tables!$K$8:$L$19, 2, FALSE)</f>
        <v>January</v>
      </c>
      <c r="U90" s="10" t="str">
        <f>IF(AND(Cleaned_datasetB[[#This Row],[Day_Type]]="Weekday",Cleaned_datasetB[[#This Row],[Is_Holiday]]=FALSE),"Working Day","Non-Working Day")</f>
        <v>Working Day</v>
      </c>
    </row>
    <row r="91" spans="1:21">
      <c r="A91" s="10">
        <v>90</v>
      </c>
      <c r="B91" s="23">
        <v>40547</v>
      </c>
      <c r="C91" s="10">
        <v>1</v>
      </c>
      <c r="D91" s="10">
        <v>0</v>
      </c>
      <c r="E91" s="10">
        <v>1</v>
      </c>
      <c r="F91" s="10">
        <v>21</v>
      </c>
      <c r="G91" s="10" t="b">
        <v>0</v>
      </c>
      <c r="H91" s="10">
        <v>2</v>
      </c>
      <c r="I91" s="10" t="str">
        <f>IF(OR(Cleaned_datasetB[[#This Row],[Day_Code]]=0,Cleaned_datasetB[[#This Row],[Day_Code]]=6),"Weekend","Weekday")</f>
        <v>Weekday</v>
      </c>
      <c r="J91" s="10">
        <v>1</v>
      </c>
      <c r="K91" s="10">
        <v>0.22</v>
      </c>
      <c r="L91" s="51">
        <v>0.2727</v>
      </c>
      <c r="M91" s="10">
        <v>0.64</v>
      </c>
      <c r="N91" s="10">
        <v>0</v>
      </c>
      <c r="O91" s="10">
        <v>0</v>
      </c>
      <c r="P91" s="10">
        <v>48</v>
      </c>
      <c r="Q91" s="10">
        <v>48</v>
      </c>
      <c r="R91" s="10" t="str">
        <f>VLOOKUP(Cleaned_datasetB[[#This Row],[Weather_Code]],Lookup_Tables!$E$9:$F$13,2,FALSE)</f>
        <v>Clear</v>
      </c>
      <c r="S91" s="10" t="str">
        <f>INDEX(Lookup_Tables!$I$10:$I$16,MATCH(Cleaned_datasetB[[#This Row],[Day_Code]],Lookup_Tables!$H$10:$H$16,0))</f>
        <v>Tuesday</v>
      </c>
      <c r="T91" s="10" t="str">
        <f>VLOOKUP(Cleaned_datasetB[[#This Row],[Month]], Lookup_Tables!$K$8:$L$19, 2, FALSE)</f>
        <v>January</v>
      </c>
      <c r="U91" s="10" t="str">
        <f>IF(AND(Cleaned_datasetB[[#This Row],[Day_Type]]="Weekday",Cleaned_datasetB[[#This Row],[Is_Holiday]]=FALSE),"Working Day","Non-Working Day")</f>
        <v>Working Day</v>
      </c>
    </row>
    <row r="92" spans="1:21">
      <c r="A92" s="10">
        <v>91</v>
      </c>
      <c r="B92" s="23">
        <v>40547</v>
      </c>
      <c r="C92" s="10">
        <v>1</v>
      </c>
      <c r="D92" s="10">
        <v>0</v>
      </c>
      <c r="E92" s="10">
        <v>1</v>
      </c>
      <c r="F92" s="10">
        <v>22</v>
      </c>
      <c r="G92" s="10" t="b">
        <v>0</v>
      </c>
      <c r="H92" s="10">
        <v>2</v>
      </c>
      <c r="I92" s="10" t="str">
        <f>IF(OR(Cleaned_datasetB[[#This Row],[Day_Code]]=0,Cleaned_datasetB[[#This Row],[Day_Code]]=6),"Weekend","Weekday")</f>
        <v>Weekday</v>
      </c>
      <c r="J92" s="10">
        <v>1</v>
      </c>
      <c r="K92" s="10">
        <v>0.22</v>
      </c>
      <c r="L92" s="51">
        <v>0.2576</v>
      </c>
      <c r="M92" s="10">
        <v>0.64</v>
      </c>
      <c r="N92" s="10">
        <v>8.9599999999999999E-2</v>
      </c>
      <c r="O92" s="10">
        <v>1</v>
      </c>
      <c r="P92" s="10">
        <v>34</v>
      </c>
      <c r="Q92" s="10">
        <v>35</v>
      </c>
      <c r="R92" s="10" t="str">
        <f>VLOOKUP(Cleaned_datasetB[[#This Row],[Weather_Code]],Lookup_Tables!$E$9:$F$13,2,FALSE)</f>
        <v>Clear</v>
      </c>
      <c r="S92" s="10" t="str">
        <f>INDEX(Lookup_Tables!$I$10:$I$16,MATCH(Cleaned_datasetB[[#This Row],[Day_Code]],Lookup_Tables!$H$10:$H$16,0))</f>
        <v>Tuesday</v>
      </c>
      <c r="T92" s="10" t="str">
        <f>VLOOKUP(Cleaned_datasetB[[#This Row],[Month]], Lookup_Tables!$K$8:$L$19, 2, FALSE)</f>
        <v>January</v>
      </c>
      <c r="U92" s="10" t="str">
        <f>IF(AND(Cleaned_datasetB[[#This Row],[Day_Type]]="Weekday",Cleaned_datasetB[[#This Row],[Is_Holiday]]=FALSE),"Working Day","Non-Working Day")</f>
        <v>Working Day</v>
      </c>
    </row>
    <row r="93" spans="1:21">
      <c r="A93" s="10">
        <v>92</v>
      </c>
      <c r="B93" s="23">
        <v>40547</v>
      </c>
      <c r="C93" s="10">
        <v>1</v>
      </c>
      <c r="D93" s="10">
        <v>0</v>
      </c>
      <c r="E93" s="10">
        <v>1</v>
      </c>
      <c r="F93" s="10">
        <v>23</v>
      </c>
      <c r="G93" s="10" t="b">
        <v>0</v>
      </c>
      <c r="H93" s="10">
        <v>2</v>
      </c>
      <c r="I93" s="10" t="str">
        <f>IF(OR(Cleaned_datasetB[[#This Row],[Day_Code]]=0,Cleaned_datasetB[[#This Row],[Day_Code]]=6),"Weekend","Weekday")</f>
        <v>Weekday</v>
      </c>
      <c r="J93" s="10">
        <v>1</v>
      </c>
      <c r="K93" s="10">
        <v>0.2</v>
      </c>
      <c r="L93" s="51">
        <v>0.2273</v>
      </c>
      <c r="M93" s="10">
        <v>0.69</v>
      </c>
      <c r="N93" s="10">
        <v>8.9599999999999999E-2</v>
      </c>
      <c r="O93" s="10">
        <v>2</v>
      </c>
      <c r="P93" s="10">
        <v>9</v>
      </c>
      <c r="Q93" s="10">
        <v>11</v>
      </c>
      <c r="R93" s="10" t="str">
        <f>VLOOKUP(Cleaned_datasetB[[#This Row],[Weather_Code]],Lookup_Tables!$E$9:$F$13,2,FALSE)</f>
        <v>Clear</v>
      </c>
      <c r="S93" s="10" t="str">
        <f>INDEX(Lookup_Tables!$I$10:$I$16,MATCH(Cleaned_datasetB[[#This Row],[Day_Code]],Lookup_Tables!$H$10:$H$16,0))</f>
        <v>Tuesday</v>
      </c>
      <c r="T93" s="10" t="str">
        <f>VLOOKUP(Cleaned_datasetB[[#This Row],[Month]], Lookup_Tables!$K$8:$L$19, 2, FALSE)</f>
        <v>January</v>
      </c>
      <c r="U93" s="10" t="str">
        <f>IF(AND(Cleaned_datasetB[[#This Row],[Day_Type]]="Weekday",Cleaned_datasetB[[#This Row],[Is_Holiday]]=FALSE),"Working Day","Non-Working Day")</f>
        <v>Working Day</v>
      </c>
    </row>
    <row r="94" spans="1:21">
      <c r="A94" s="10">
        <v>93</v>
      </c>
      <c r="B94" s="23">
        <v>40548</v>
      </c>
      <c r="C94" s="10">
        <v>1</v>
      </c>
      <c r="D94" s="10">
        <v>0</v>
      </c>
      <c r="E94" s="10">
        <v>1</v>
      </c>
      <c r="F94" s="10">
        <v>0</v>
      </c>
      <c r="G94" s="10" t="b">
        <v>0</v>
      </c>
      <c r="H94" s="10">
        <v>3</v>
      </c>
      <c r="I94" s="10" t="str">
        <f>IF(OR(Cleaned_datasetB[[#This Row],[Day_Code]]=0,Cleaned_datasetB[[#This Row],[Day_Code]]=6),"Weekend","Weekday")</f>
        <v>Weekday</v>
      </c>
      <c r="J94" s="10">
        <v>1</v>
      </c>
      <c r="K94" s="10">
        <v>0.2</v>
      </c>
      <c r="L94" s="51">
        <v>0.2576</v>
      </c>
      <c r="M94" s="10">
        <v>0.64</v>
      </c>
      <c r="N94" s="10">
        <v>0</v>
      </c>
      <c r="O94" s="10">
        <v>0</v>
      </c>
      <c r="P94" s="10">
        <v>6</v>
      </c>
      <c r="Q94" s="10">
        <v>6</v>
      </c>
      <c r="R94" s="10" t="str">
        <f>VLOOKUP(Cleaned_datasetB[[#This Row],[Weather_Code]],Lookup_Tables!$E$9:$F$13,2,FALSE)</f>
        <v>Clear</v>
      </c>
      <c r="S94" s="10" t="str">
        <f>INDEX(Lookup_Tables!$I$10:$I$16,MATCH(Cleaned_datasetB[[#This Row],[Day_Code]],Lookup_Tables!$H$10:$H$16,0))</f>
        <v>Wednesday</v>
      </c>
      <c r="T94" s="10" t="str">
        <f>VLOOKUP(Cleaned_datasetB[[#This Row],[Month]], Lookup_Tables!$K$8:$L$19, 2, FALSE)</f>
        <v>January</v>
      </c>
      <c r="U94" s="10" t="str">
        <f>IF(AND(Cleaned_datasetB[[#This Row],[Day_Type]]="Weekday",Cleaned_datasetB[[#This Row],[Is_Holiday]]=FALSE),"Working Day","Non-Working Day")</f>
        <v>Working Day</v>
      </c>
    </row>
    <row r="95" spans="1:21">
      <c r="A95" s="10">
        <v>94</v>
      </c>
      <c r="B95" s="23">
        <v>40548</v>
      </c>
      <c r="C95" s="10">
        <v>1</v>
      </c>
      <c r="D95" s="10">
        <v>0</v>
      </c>
      <c r="E95" s="10">
        <v>1</v>
      </c>
      <c r="F95" s="10">
        <v>1</v>
      </c>
      <c r="G95" s="10" t="b">
        <v>0</v>
      </c>
      <c r="H95" s="10">
        <v>3</v>
      </c>
      <c r="I95" s="10" t="str">
        <f>IF(OR(Cleaned_datasetB[[#This Row],[Day_Code]]=0,Cleaned_datasetB[[#This Row],[Day_Code]]=6),"Weekend","Weekday")</f>
        <v>Weekday</v>
      </c>
      <c r="J95" s="10">
        <v>1</v>
      </c>
      <c r="K95" s="10">
        <v>0.16</v>
      </c>
      <c r="L95" s="51">
        <v>0.19700000000000001</v>
      </c>
      <c r="M95" s="10">
        <v>0.74</v>
      </c>
      <c r="N95" s="10">
        <v>8.9599999999999999E-2</v>
      </c>
      <c r="O95" s="10">
        <v>0</v>
      </c>
      <c r="P95" s="10">
        <v>6</v>
      </c>
      <c r="Q95" s="10">
        <v>6</v>
      </c>
      <c r="R95" s="10" t="str">
        <f>VLOOKUP(Cleaned_datasetB[[#This Row],[Weather_Code]],Lookup_Tables!$E$9:$F$13,2,FALSE)</f>
        <v>Clear</v>
      </c>
      <c r="S95" s="10" t="str">
        <f>INDEX(Lookup_Tables!$I$10:$I$16,MATCH(Cleaned_datasetB[[#This Row],[Day_Code]],Lookup_Tables!$H$10:$H$16,0))</f>
        <v>Wednesday</v>
      </c>
      <c r="T95" s="10" t="str">
        <f>VLOOKUP(Cleaned_datasetB[[#This Row],[Month]], Lookup_Tables!$K$8:$L$19, 2, FALSE)</f>
        <v>January</v>
      </c>
      <c r="U95" s="10" t="str">
        <f>IF(AND(Cleaned_datasetB[[#This Row],[Day_Type]]="Weekday",Cleaned_datasetB[[#This Row],[Is_Holiday]]=FALSE),"Working Day","Non-Working Day")</f>
        <v>Working Day</v>
      </c>
    </row>
    <row r="96" spans="1:21">
      <c r="A96" s="10">
        <v>95</v>
      </c>
      <c r="B96" s="23">
        <v>40548</v>
      </c>
      <c r="C96" s="10">
        <v>1</v>
      </c>
      <c r="D96" s="10">
        <v>0</v>
      </c>
      <c r="E96" s="10">
        <v>1</v>
      </c>
      <c r="F96" s="10">
        <v>2</v>
      </c>
      <c r="G96" s="10" t="b">
        <v>0</v>
      </c>
      <c r="H96" s="10">
        <v>3</v>
      </c>
      <c r="I96" s="10" t="str">
        <f>IF(OR(Cleaned_datasetB[[#This Row],[Day_Code]]=0,Cleaned_datasetB[[#This Row],[Day_Code]]=6),"Weekend","Weekday")</f>
        <v>Weekday</v>
      </c>
      <c r="J96" s="10">
        <v>1</v>
      </c>
      <c r="K96" s="10">
        <v>0.16</v>
      </c>
      <c r="L96" s="51">
        <v>0.19700000000000001</v>
      </c>
      <c r="M96" s="10">
        <v>0.74</v>
      </c>
      <c r="N96" s="10">
        <v>8.9599999999999999E-2</v>
      </c>
      <c r="O96" s="10">
        <v>0</v>
      </c>
      <c r="P96" s="10">
        <v>2</v>
      </c>
      <c r="Q96" s="10">
        <v>2</v>
      </c>
      <c r="R96" s="10" t="str">
        <f>VLOOKUP(Cleaned_datasetB[[#This Row],[Weather_Code]],Lookup_Tables!$E$9:$F$13,2,FALSE)</f>
        <v>Clear</v>
      </c>
      <c r="S96" s="10" t="str">
        <f>INDEX(Lookup_Tables!$I$10:$I$16,MATCH(Cleaned_datasetB[[#This Row],[Day_Code]],Lookup_Tables!$H$10:$H$16,0))</f>
        <v>Wednesday</v>
      </c>
      <c r="T96" s="10" t="str">
        <f>VLOOKUP(Cleaned_datasetB[[#This Row],[Month]], Lookup_Tables!$K$8:$L$19, 2, FALSE)</f>
        <v>January</v>
      </c>
      <c r="U96" s="10" t="str">
        <f>IF(AND(Cleaned_datasetB[[#This Row],[Day_Type]]="Weekday",Cleaned_datasetB[[#This Row],[Is_Holiday]]=FALSE),"Working Day","Non-Working Day")</f>
        <v>Working Day</v>
      </c>
    </row>
    <row r="97" spans="1:21">
      <c r="A97" s="10">
        <v>96</v>
      </c>
      <c r="B97" s="23">
        <v>40548</v>
      </c>
      <c r="C97" s="10">
        <v>1</v>
      </c>
      <c r="D97" s="10">
        <v>0</v>
      </c>
      <c r="E97" s="10">
        <v>1</v>
      </c>
      <c r="F97" s="10">
        <v>4</v>
      </c>
      <c r="G97" s="10" t="b">
        <v>0</v>
      </c>
      <c r="H97" s="10">
        <v>3</v>
      </c>
      <c r="I97" s="10" t="str">
        <f>IF(OR(Cleaned_datasetB[[#This Row],[Day_Code]]=0,Cleaned_datasetB[[#This Row],[Day_Code]]=6),"Weekend","Weekday")</f>
        <v>Weekday</v>
      </c>
      <c r="J97" s="10">
        <v>1</v>
      </c>
      <c r="K97" s="10">
        <v>0.24</v>
      </c>
      <c r="L97" s="51">
        <v>0.2273</v>
      </c>
      <c r="M97" s="10">
        <v>0.48</v>
      </c>
      <c r="N97" s="10">
        <v>0.22389999999999999</v>
      </c>
      <c r="O97" s="10">
        <v>0</v>
      </c>
      <c r="P97" s="10">
        <v>2</v>
      </c>
      <c r="Q97" s="10">
        <v>2</v>
      </c>
      <c r="R97" s="10" t="str">
        <f>VLOOKUP(Cleaned_datasetB[[#This Row],[Weather_Code]],Lookup_Tables!$E$9:$F$13,2,FALSE)</f>
        <v>Clear</v>
      </c>
      <c r="S97" s="10" t="str">
        <f>INDEX(Lookup_Tables!$I$10:$I$16,MATCH(Cleaned_datasetB[[#This Row],[Day_Code]],Lookup_Tables!$H$10:$H$16,0))</f>
        <v>Wednesday</v>
      </c>
      <c r="T97" s="10" t="str">
        <f>VLOOKUP(Cleaned_datasetB[[#This Row],[Month]], Lookup_Tables!$K$8:$L$19, 2, FALSE)</f>
        <v>January</v>
      </c>
      <c r="U97" s="10" t="str">
        <f>IF(AND(Cleaned_datasetB[[#This Row],[Day_Type]]="Weekday",Cleaned_datasetB[[#This Row],[Is_Holiday]]=FALSE),"Working Day","Non-Working Day")</f>
        <v>Working Day</v>
      </c>
    </row>
    <row r="98" spans="1:21">
      <c r="A98" s="10">
        <v>97</v>
      </c>
      <c r="B98" s="23">
        <v>40548</v>
      </c>
      <c r="C98" s="10">
        <v>1</v>
      </c>
      <c r="D98" s="10">
        <v>0</v>
      </c>
      <c r="E98" s="10">
        <v>1</v>
      </c>
      <c r="F98" s="10">
        <v>5</v>
      </c>
      <c r="G98" s="10" t="b">
        <v>0</v>
      </c>
      <c r="H98" s="10">
        <v>3</v>
      </c>
      <c r="I98" s="10" t="str">
        <f>IF(OR(Cleaned_datasetB[[#This Row],[Day_Code]]=0,Cleaned_datasetB[[#This Row],[Day_Code]]=6),"Weekend","Weekday")</f>
        <v>Weekday</v>
      </c>
      <c r="J98" s="10">
        <v>1</v>
      </c>
      <c r="K98" s="10">
        <v>0.22</v>
      </c>
      <c r="L98" s="51">
        <v>0.2273</v>
      </c>
      <c r="M98" s="10">
        <v>0.47</v>
      </c>
      <c r="N98" s="10">
        <v>0.16420000000000001</v>
      </c>
      <c r="O98" s="10">
        <v>0</v>
      </c>
      <c r="P98" s="10">
        <v>3</v>
      </c>
      <c r="Q98" s="10">
        <v>3</v>
      </c>
      <c r="R98" s="10" t="str">
        <f>VLOOKUP(Cleaned_datasetB[[#This Row],[Weather_Code]],Lookup_Tables!$E$9:$F$13,2,FALSE)</f>
        <v>Clear</v>
      </c>
      <c r="S98" s="10" t="str">
        <f>INDEX(Lookup_Tables!$I$10:$I$16,MATCH(Cleaned_datasetB[[#This Row],[Day_Code]],Lookup_Tables!$H$10:$H$16,0))</f>
        <v>Wednesday</v>
      </c>
      <c r="T98" s="10" t="str">
        <f>VLOOKUP(Cleaned_datasetB[[#This Row],[Month]], Lookup_Tables!$K$8:$L$19, 2, FALSE)</f>
        <v>January</v>
      </c>
      <c r="U98" s="10" t="str">
        <f>IF(AND(Cleaned_datasetB[[#This Row],[Day_Type]]="Weekday",Cleaned_datasetB[[#This Row],[Is_Holiday]]=FALSE),"Working Day","Non-Working Day")</f>
        <v>Working Day</v>
      </c>
    </row>
    <row r="99" spans="1:21">
      <c r="A99" s="10">
        <v>98</v>
      </c>
      <c r="B99" s="23">
        <v>40548</v>
      </c>
      <c r="C99" s="10">
        <v>1</v>
      </c>
      <c r="D99" s="10">
        <v>0</v>
      </c>
      <c r="E99" s="10">
        <v>1</v>
      </c>
      <c r="F99" s="10">
        <v>6</v>
      </c>
      <c r="G99" s="10" t="b">
        <v>0</v>
      </c>
      <c r="H99" s="10">
        <v>3</v>
      </c>
      <c r="I99" s="10" t="str">
        <f>IF(OR(Cleaned_datasetB[[#This Row],[Day_Code]]=0,Cleaned_datasetB[[#This Row],[Day_Code]]=6),"Weekend","Weekday")</f>
        <v>Weekday</v>
      </c>
      <c r="J99" s="10">
        <v>1</v>
      </c>
      <c r="K99" s="10">
        <v>0.2</v>
      </c>
      <c r="L99" s="51">
        <v>0.19700000000000001</v>
      </c>
      <c r="M99" s="10">
        <v>0.47</v>
      </c>
      <c r="N99" s="10">
        <v>0.22389999999999999</v>
      </c>
      <c r="O99" s="10">
        <v>0</v>
      </c>
      <c r="P99" s="10">
        <v>33</v>
      </c>
      <c r="Q99" s="10">
        <v>33</v>
      </c>
      <c r="R99" s="10" t="str">
        <f>VLOOKUP(Cleaned_datasetB[[#This Row],[Weather_Code]],Lookup_Tables!$E$9:$F$13,2,FALSE)</f>
        <v>Clear</v>
      </c>
      <c r="S99" s="10" t="str">
        <f>INDEX(Lookup_Tables!$I$10:$I$16,MATCH(Cleaned_datasetB[[#This Row],[Day_Code]],Lookup_Tables!$H$10:$H$16,0))</f>
        <v>Wednesday</v>
      </c>
      <c r="T99" s="10" t="str">
        <f>VLOOKUP(Cleaned_datasetB[[#This Row],[Month]], Lookup_Tables!$K$8:$L$19, 2, FALSE)</f>
        <v>January</v>
      </c>
      <c r="U99" s="10" t="str">
        <f>IF(AND(Cleaned_datasetB[[#This Row],[Day_Type]]="Weekday",Cleaned_datasetB[[#This Row],[Is_Holiday]]=FALSE),"Working Day","Non-Working Day")</f>
        <v>Working Day</v>
      </c>
    </row>
    <row r="100" spans="1:21">
      <c r="A100" s="10">
        <v>99</v>
      </c>
      <c r="B100" s="23">
        <v>40548</v>
      </c>
      <c r="C100" s="10">
        <v>1</v>
      </c>
      <c r="D100" s="10">
        <v>0</v>
      </c>
      <c r="E100" s="10">
        <v>1</v>
      </c>
      <c r="F100" s="10">
        <v>7</v>
      </c>
      <c r="G100" s="10" t="b">
        <v>0</v>
      </c>
      <c r="H100" s="10">
        <v>3</v>
      </c>
      <c r="I100" s="10" t="str">
        <f>IF(OR(Cleaned_datasetB[[#This Row],[Day_Code]]=0,Cleaned_datasetB[[#This Row],[Day_Code]]=6),"Weekend","Weekday")</f>
        <v>Weekday</v>
      </c>
      <c r="J100" s="10">
        <v>1</v>
      </c>
      <c r="K100" s="10">
        <v>0.18</v>
      </c>
      <c r="L100" s="51">
        <v>0.18179999999999999</v>
      </c>
      <c r="M100" s="10">
        <v>0.43</v>
      </c>
      <c r="N100" s="10">
        <v>0.19400000000000001</v>
      </c>
      <c r="O100" s="10">
        <v>1</v>
      </c>
      <c r="P100" s="10">
        <v>87</v>
      </c>
      <c r="Q100" s="10">
        <v>88</v>
      </c>
      <c r="R100" s="10" t="str">
        <f>VLOOKUP(Cleaned_datasetB[[#This Row],[Weather_Code]],Lookup_Tables!$E$9:$F$13,2,FALSE)</f>
        <v>Clear</v>
      </c>
      <c r="S100" s="10" t="str">
        <f>INDEX(Lookup_Tables!$I$10:$I$16,MATCH(Cleaned_datasetB[[#This Row],[Day_Code]],Lookup_Tables!$H$10:$H$16,0))</f>
        <v>Wednesday</v>
      </c>
      <c r="T100" s="10" t="str">
        <f>VLOOKUP(Cleaned_datasetB[[#This Row],[Month]], Lookup_Tables!$K$8:$L$19, 2, FALSE)</f>
        <v>January</v>
      </c>
      <c r="U100" s="10" t="str">
        <f>IF(AND(Cleaned_datasetB[[#This Row],[Day_Type]]="Weekday",Cleaned_datasetB[[#This Row],[Is_Holiday]]=FALSE),"Working Day","Non-Working Day")</f>
        <v>Working Day</v>
      </c>
    </row>
    <row r="101" spans="1:21">
      <c r="A101" s="10">
        <v>100</v>
      </c>
      <c r="B101" s="23">
        <v>40548</v>
      </c>
      <c r="C101" s="10">
        <v>1</v>
      </c>
      <c r="D101" s="10">
        <v>0</v>
      </c>
      <c r="E101" s="10">
        <v>1</v>
      </c>
      <c r="F101" s="10">
        <v>8</v>
      </c>
      <c r="G101" s="10" t="b">
        <v>0</v>
      </c>
      <c r="H101" s="10">
        <v>3</v>
      </c>
      <c r="I101" s="10" t="str">
        <f>IF(OR(Cleaned_datasetB[[#This Row],[Day_Code]]=0,Cleaned_datasetB[[#This Row],[Day_Code]]=6),"Weekend","Weekday")</f>
        <v>Weekday</v>
      </c>
      <c r="J101" s="10">
        <v>1</v>
      </c>
      <c r="K101" s="10">
        <v>0.2</v>
      </c>
      <c r="L101" s="51">
        <v>0.18179999999999999</v>
      </c>
      <c r="M101" s="10">
        <v>0.4</v>
      </c>
      <c r="N101" s="10">
        <v>0.29849999999999999</v>
      </c>
      <c r="O101" s="10">
        <v>3</v>
      </c>
      <c r="P101" s="10">
        <v>192</v>
      </c>
      <c r="Q101" s="10">
        <v>195</v>
      </c>
      <c r="R101" s="10" t="str">
        <f>VLOOKUP(Cleaned_datasetB[[#This Row],[Weather_Code]],Lookup_Tables!$E$9:$F$13,2,FALSE)</f>
        <v>Clear</v>
      </c>
      <c r="S101" s="10" t="str">
        <f>INDEX(Lookup_Tables!$I$10:$I$16,MATCH(Cleaned_datasetB[[#This Row],[Day_Code]],Lookup_Tables!$H$10:$H$16,0))</f>
        <v>Wednesday</v>
      </c>
      <c r="T101" s="10" t="str">
        <f>VLOOKUP(Cleaned_datasetB[[#This Row],[Month]], Lookup_Tables!$K$8:$L$19, 2, FALSE)</f>
        <v>January</v>
      </c>
      <c r="U101" s="10" t="str">
        <f>IF(AND(Cleaned_datasetB[[#This Row],[Day_Type]]="Weekday",Cleaned_datasetB[[#This Row],[Is_Holiday]]=FALSE),"Working Day","Non-Working Day")</f>
        <v>Working Day</v>
      </c>
    </row>
    <row r="102" spans="1:21">
      <c r="A102" s="10">
        <v>101</v>
      </c>
      <c r="B102" s="23">
        <v>40548</v>
      </c>
      <c r="C102" s="10">
        <v>1</v>
      </c>
      <c r="D102" s="10">
        <v>0</v>
      </c>
      <c r="E102" s="10">
        <v>1</v>
      </c>
      <c r="F102" s="10">
        <v>9</v>
      </c>
      <c r="G102" s="10" t="b">
        <v>0</v>
      </c>
      <c r="H102" s="10">
        <v>3</v>
      </c>
      <c r="I102" s="10" t="str">
        <f>IF(OR(Cleaned_datasetB[[#This Row],[Day_Code]]=0,Cleaned_datasetB[[#This Row],[Day_Code]]=6),"Weekend","Weekday")</f>
        <v>Weekday</v>
      </c>
      <c r="J102" s="10">
        <v>1</v>
      </c>
      <c r="K102" s="10">
        <v>0.22</v>
      </c>
      <c r="L102" s="51">
        <v>0.19700000000000001</v>
      </c>
      <c r="M102" s="10">
        <v>0.37</v>
      </c>
      <c r="N102" s="10">
        <v>0.32840000000000003</v>
      </c>
      <c r="O102" s="10">
        <v>6</v>
      </c>
      <c r="P102" s="10">
        <v>109</v>
      </c>
      <c r="Q102" s="10">
        <v>115</v>
      </c>
      <c r="R102" s="10" t="str">
        <f>VLOOKUP(Cleaned_datasetB[[#This Row],[Weather_Code]],Lookup_Tables!$E$9:$F$13,2,FALSE)</f>
        <v>Clear</v>
      </c>
      <c r="S102" s="10" t="str">
        <f>INDEX(Lookup_Tables!$I$10:$I$16,MATCH(Cleaned_datasetB[[#This Row],[Day_Code]],Lookup_Tables!$H$10:$H$16,0))</f>
        <v>Wednesday</v>
      </c>
      <c r="T102" s="10" t="str">
        <f>VLOOKUP(Cleaned_datasetB[[#This Row],[Month]], Lookup_Tables!$K$8:$L$19, 2, FALSE)</f>
        <v>January</v>
      </c>
      <c r="U102" s="10" t="str">
        <f>IF(AND(Cleaned_datasetB[[#This Row],[Day_Type]]="Weekday",Cleaned_datasetB[[#This Row],[Is_Holiday]]=FALSE),"Working Day","Non-Working Day")</f>
        <v>Working Day</v>
      </c>
    </row>
    <row r="103" spans="1:21">
      <c r="A103" s="10">
        <v>102</v>
      </c>
      <c r="B103" s="23">
        <v>40548</v>
      </c>
      <c r="C103" s="10">
        <v>1</v>
      </c>
      <c r="D103" s="10">
        <v>0</v>
      </c>
      <c r="E103" s="10">
        <v>1</v>
      </c>
      <c r="F103" s="10">
        <v>10</v>
      </c>
      <c r="G103" s="10" t="b">
        <v>0</v>
      </c>
      <c r="H103" s="10">
        <v>3</v>
      </c>
      <c r="I103" s="10" t="str">
        <f>IF(OR(Cleaned_datasetB[[#This Row],[Day_Code]]=0,Cleaned_datasetB[[#This Row],[Day_Code]]=6),"Weekend","Weekday")</f>
        <v>Weekday</v>
      </c>
      <c r="J103" s="10">
        <v>1</v>
      </c>
      <c r="K103" s="10">
        <v>0.22</v>
      </c>
      <c r="L103" s="51">
        <v>0.19700000000000001</v>
      </c>
      <c r="M103" s="10">
        <v>0.37</v>
      </c>
      <c r="N103" s="10">
        <v>0.32840000000000003</v>
      </c>
      <c r="O103" s="10">
        <v>4</v>
      </c>
      <c r="P103" s="10">
        <v>53</v>
      </c>
      <c r="Q103" s="10">
        <v>57</v>
      </c>
      <c r="R103" s="10" t="str">
        <f>VLOOKUP(Cleaned_datasetB[[#This Row],[Weather_Code]],Lookup_Tables!$E$9:$F$13,2,FALSE)</f>
        <v>Clear</v>
      </c>
      <c r="S103" s="10" t="str">
        <f>INDEX(Lookup_Tables!$I$10:$I$16,MATCH(Cleaned_datasetB[[#This Row],[Day_Code]],Lookup_Tables!$H$10:$H$16,0))</f>
        <v>Wednesday</v>
      </c>
      <c r="T103" s="10" t="str">
        <f>VLOOKUP(Cleaned_datasetB[[#This Row],[Month]], Lookup_Tables!$K$8:$L$19, 2, FALSE)</f>
        <v>January</v>
      </c>
      <c r="U103" s="10" t="str">
        <f>IF(AND(Cleaned_datasetB[[#This Row],[Day_Type]]="Weekday",Cleaned_datasetB[[#This Row],[Is_Holiday]]=FALSE),"Working Day","Non-Working Day")</f>
        <v>Working Day</v>
      </c>
    </row>
    <row r="104" spans="1:21">
      <c r="A104" s="10">
        <v>103</v>
      </c>
      <c r="B104" s="23">
        <v>40548</v>
      </c>
      <c r="C104" s="10">
        <v>1</v>
      </c>
      <c r="D104" s="10">
        <v>0</v>
      </c>
      <c r="E104" s="10">
        <v>1</v>
      </c>
      <c r="F104" s="10">
        <v>11</v>
      </c>
      <c r="G104" s="10" t="b">
        <v>0</v>
      </c>
      <c r="H104" s="10">
        <v>3</v>
      </c>
      <c r="I104" s="10" t="str">
        <f>IF(OR(Cleaned_datasetB[[#This Row],[Day_Code]]=0,Cleaned_datasetB[[#This Row],[Day_Code]]=6),"Weekend","Weekday")</f>
        <v>Weekday</v>
      </c>
      <c r="J104" s="10">
        <v>1</v>
      </c>
      <c r="K104" s="10">
        <v>0.26</v>
      </c>
      <c r="L104" s="51">
        <v>0.2273</v>
      </c>
      <c r="M104" s="10">
        <v>0.33</v>
      </c>
      <c r="N104" s="10">
        <v>0.32840000000000003</v>
      </c>
      <c r="O104" s="10">
        <v>12</v>
      </c>
      <c r="P104" s="10">
        <v>34</v>
      </c>
      <c r="Q104" s="10">
        <v>46</v>
      </c>
      <c r="R104" s="10" t="str">
        <f>VLOOKUP(Cleaned_datasetB[[#This Row],[Weather_Code]],Lookup_Tables!$E$9:$F$13,2,FALSE)</f>
        <v>Clear</v>
      </c>
      <c r="S104" s="10" t="str">
        <f>INDEX(Lookup_Tables!$I$10:$I$16,MATCH(Cleaned_datasetB[[#This Row],[Day_Code]],Lookup_Tables!$H$10:$H$16,0))</f>
        <v>Wednesday</v>
      </c>
      <c r="T104" s="10" t="str">
        <f>VLOOKUP(Cleaned_datasetB[[#This Row],[Month]], Lookup_Tables!$K$8:$L$19, 2, FALSE)</f>
        <v>January</v>
      </c>
      <c r="U104" s="10" t="str">
        <f>IF(AND(Cleaned_datasetB[[#This Row],[Day_Type]]="Weekday",Cleaned_datasetB[[#This Row],[Is_Holiday]]=FALSE),"Working Day","Non-Working Day")</f>
        <v>Working Day</v>
      </c>
    </row>
    <row r="105" spans="1:21">
      <c r="A105" s="10">
        <v>104</v>
      </c>
      <c r="B105" s="23">
        <v>40548</v>
      </c>
      <c r="C105" s="10">
        <v>1</v>
      </c>
      <c r="D105" s="10">
        <v>0</v>
      </c>
      <c r="E105" s="10">
        <v>1</v>
      </c>
      <c r="F105" s="10">
        <v>12</v>
      </c>
      <c r="G105" s="10" t="b">
        <v>0</v>
      </c>
      <c r="H105" s="10">
        <v>3</v>
      </c>
      <c r="I105" s="10" t="str">
        <f>IF(OR(Cleaned_datasetB[[#This Row],[Day_Code]]=0,Cleaned_datasetB[[#This Row],[Day_Code]]=6),"Weekend","Weekday")</f>
        <v>Weekday</v>
      </c>
      <c r="J105" s="10">
        <v>1</v>
      </c>
      <c r="K105" s="10">
        <v>0.26</v>
      </c>
      <c r="L105" s="51">
        <v>0.2273</v>
      </c>
      <c r="M105" s="10">
        <v>0.33</v>
      </c>
      <c r="N105" s="10">
        <v>0.32840000000000003</v>
      </c>
      <c r="O105" s="10">
        <v>5</v>
      </c>
      <c r="P105" s="10">
        <v>74</v>
      </c>
      <c r="Q105" s="10">
        <v>79</v>
      </c>
      <c r="R105" s="10" t="str">
        <f>VLOOKUP(Cleaned_datasetB[[#This Row],[Weather_Code]],Lookup_Tables!$E$9:$F$13,2,FALSE)</f>
        <v>Clear</v>
      </c>
      <c r="S105" s="10" t="str">
        <f>INDEX(Lookup_Tables!$I$10:$I$16,MATCH(Cleaned_datasetB[[#This Row],[Day_Code]],Lookup_Tables!$H$10:$H$16,0))</f>
        <v>Wednesday</v>
      </c>
      <c r="T105" s="10" t="str">
        <f>VLOOKUP(Cleaned_datasetB[[#This Row],[Month]], Lookup_Tables!$K$8:$L$19, 2, FALSE)</f>
        <v>January</v>
      </c>
      <c r="U105" s="10" t="str">
        <f>IF(AND(Cleaned_datasetB[[#This Row],[Day_Type]]="Weekday",Cleaned_datasetB[[#This Row],[Is_Holiday]]=FALSE),"Working Day","Non-Working Day")</f>
        <v>Working Day</v>
      </c>
    </row>
    <row r="106" spans="1:21">
      <c r="A106" s="10">
        <v>105</v>
      </c>
      <c r="B106" s="23">
        <v>40548</v>
      </c>
      <c r="C106" s="10">
        <v>1</v>
      </c>
      <c r="D106" s="10">
        <v>0</v>
      </c>
      <c r="E106" s="10">
        <v>1</v>
      </c>
      <c r="F106" s="10">
        <v>13</v>
      </c>
      <c r="G106" s="10" t="b">
        <v>0</v>
      </c>
      <c r="H106" s="10">
        <v>3</v>
      </c>
      <c r="I106" s="10" t="str">
        <f>IF(OR(Cleaned_datasetB[[#This Row],[Day_Code]]=0,Cleaned_datasetB[[#This Row],[Day_Code]]=6),"Weekend","Weekday")</f>
        <v>Weekday</v>
      </c>
      <c r="J106" s="10">
        <v>1</v>
      </c>
      <c r="K106" s="10">
        <v>0.28000000000000003</v>
      </c>
      <c r="L106" s="51">
        <v>0.2576</v>
      </c>
      <c r="M106" s="10">
        <v>0.3</v>
      </c>
      <c r="N106" s="10">
        <v>0.29849999999999999</v>
      </c>
      <c r="O106" s="10">
        <v>6</v>
      </c>
      <c r="P106" s="10">
        <v>65</v>
      </c>
      <c r="Q106" s="10">
        <v>71</v>
      </c>
      <c r="R106" s="10" t="str">
        <f>VLOOKUP(Cleaned_datasetB[[#This Row],[Weather_Code]],Lookup_Tables!$E$9:$F$13,2,FALSE)</f>
        <v>Clear</v>
      </c>
      <c r="S106" s="10" t="str">
        <f>INDEX(Lookup_Tables!$I$10:$I$16,MATCH(Cleaned_datasetB[[#This Row],[Day_Code]],Lookup_Tables!$H$10:$H$16,0))</f>
        <v>Wednesday</v>
      </c>
      <c r="T106" s="10" t="str">
        <f>VLOOKUP(Cleaned_datasetB[[#This Row],[Month]], Lookup_Tables!$K$8:$L$19, 2, FALSE)</f>
        <v>January</v>
      </c>
      <c r="U106" s="10" t="str">
        <f>IF(AND(Cleaned_datasetB[[#This Row],[Day_Type]]="Weekday",Cleaned_datasetB[[#This Row],[Is_Holiday]]=FALSE),"Working Day","Non-Working Day")</f>
        <v>Working Day</v>
      </c>
    </row>
    <row r="107" spans="1:21">
      <c r="A107" s="10">
        <v>106</v>
      </c>
      <c r="B107" s="23">
        <v>40548</v>
      </c>
      <c r="C107" s="10">
        <v>1</v>
      </c>
      <c r="D107" s="10">
        <v>0</v>
      </c>
      <c r="E107" s="10">
        <v>1</v>
      </c>
      <c r="F107" s="10">
        <v>14</v>
      </c>
      <c r="G107" s="10" t="b">
        <v>0</v>
      </c>
      <c r="H107" s="10">
        <v>3</v>
      </c>
      <c r="I107" s="10" t="str">
        <f>IF(OR(Cleaned_datasetB[[#This Row],[Day_Code]]=0,Cleaned_datasetB[[#This Row],[Day_Code]]=6),"Weekend","Weekday")</f>
        <v>Weekday</v>
      </c>
      <c r="J107" s="10">
        <v>1</v>
      </c>
      <c r="K107" s="10">
        <v>0.3</v>
      </c>
      <c r="L107" s="51">
        <v>0.28789999999999999</v>
      </c>
      <c r="M107" s="10">
        <v>0.28000000000000003</v>
      </c>
      <c r="N107" s="10">
        <v>0.19400000000000001</v>
      </c>
      <c r="O107" s="10">
        <v>10</v>
      </c>
      <c r="P107" s="10">
        <v>52</v>
      </c>
      <c r="Q107" s="10">
        <v>62</v>
      </c>
      <c r="R107" s="10" t="str">
        <f>VLOOKUP(Cleaned_datasetB[[#This Row],[Weather_Code]],Lookup_Tables!$E$9:$F$13,2,FALSE)</f>
        <v>Clear</v>
      </c>
      <c r="S107" s="10" t="str">
        <f>INDEX(Lookup_Tables!$I$10:$I$16,MATCH(Cleaned_datasetB[[#This Row],[Day_Code]],Lookup_Tables!$H$10:$H$16,0))</f>
        <v>Wednesday</v>
      </c>
      <c r="T107" s="10" t="str">
        <f>VLOOKUP(Cleaned_datasetB[[#This Row],[Month]], Lookup_Tables!$K$8:$L$19, 2, FALSE)</f>
        <v>January</v>
      </c>
      <c r="U107" s="10" t="str">
        <f>IF(AND(Cleaned_datasetB[[#This Row],[Day_Type]]="Weekday",Cleaned_datasetB[[#This Row],[Is_Holiday]]=FALSE),"Working Day","Non-Working Day")</f>
        <v>Working Day</v>
      </c>
    </row>
    <row r="108" spans="1:21">
      <c r="A108" s="10">
        <v>107</v>
      </c>
      <c r="B108" s="23">
        <v>40548</v>
      </c>
      <c r="C108" s="10">
        <v>1</v>
      </c>
      <c r="D108" s="10">
        <v>0</v>
      </c>
      <c r="E108" s="10">
        <v>1</v>
      </c>
      <c r="F108" s="10">
        <v>15</v>
      </c>
      <c r="G108" s="10" t="b">
        <v>0</v>
      </c>
      <c r="H108" s="10">
        <v>3</v>
      </c>
      <c r="I108" s="10" t="str">
        <f>IF(OR(Cleaned_datasetB[[#This Row],[Day_Code]]=0,Cleaned_datasetB[[#This Row],[Day_Code]]=6),"Weekend","Weekday")</f>
        <v>Weekday</v>
      </c>
      <c r="J108" s="10">
        <v>1</v>
      </c>
      <c r="K108" s="10">
        <v>0.3</v>
      </c>
      <c r="L108" s="51">
        <v>0.28789999999999999</v>
      </c>
      <c r="M108" s="10">
        <v>0.28000000000000003</v>
      </c>
      <c r="N108" s="10">
        <v>0.19400000000000001</v>
      </c>
      <c r="O108" s="10">
        <v>7</v>
      </c>
      <c r="P108" s="10">
        <v>55</v>
      </c>
      <c r="Q108" s="10">
        <v>62</v>
      </c>
      <c r="R108" s="10" t="str">
        <f>VLOOKUP(Cleaned_datasetB[[#This Row],[Weather_Code]],Lookup_Tables!$E$9:$F$13,2,FALSE)</f>
        <v>Clear</v>
      </c>
      <c r="S108" s="10" t="str">
        <f>INDEX(Lookup_Tables!$I$10:$I$16,MATCH(Cleaned_datasetB[[#This Row],[Day_Code]],Lookup_Tables!$H$10:$H$16,0))</f>
        <v>Wednesday</v>
      </c>
      <c r="T108" s="10" t="str">
        <f>VLOOKUP(Cleaned_datasetB[[#This Row],[Month]], Lookup_Tables!$K$8:$L$19, 2, FALSE)</f>
        <v>January</v>
      </c>
      <c r="U108" s="10" t="str">
        <f>IF(AND(Cleaned_datasetB[[#This Row],[Day_Type]]="Weekday",Cleaned_datasetB[[#This Row],[Is_Holiday]]=FALSE),"Working Day","Non-Working Day")</f>
        <v>Working Day</v>
      </c>
    </row>
    <row r="109" spans="1:21">
      <c r="A109" s="10">
        <v>108</v>
      </c>
      <c r="B109" s="23">
        <v>40548</v>
      </c>
      <c r="C109" s="10">
        <v>1</v>
      </c>
      <c r="D109" s="10">
        <v>0</v>
      </c>
      <c r="E109" s="10">
        <v>1</v>
      </c>
      <c r="F109" s="10">
        <v>16</v>
      </c>
      <c r="G109" s="10" t="b">
        <v>0</v>
      </c>
      <c r="H109" s="10">
        <v>3</v>
      </c>
      <c r="I109" s="10" t="str">
        <f>IF(OR(Cleaned_datasetB[[#This Row],[Day_Code]]=0,Cleaned_datasetB[[#This Row],[Day_Code]]=6),"Weekend","Weekday")</f>
        <v>Weekday</v>
      </c>
      <c r="J109" s="10">
        <v>1</v>
      </c>
      <c r="K109" s="10">
        <v>0.3</v>
      </c>
      <c r="L109" s="51">
        <v>0.31819999999999998</v>
      </c>
      <c r="M109" s="10">
        <v>0.28000000000000003</v>
      </c>
      <c r="N109" s="10">
        <v>8.9599999999999999E-2</v>
      </c>
      <c r="O109" s="10">
        <v>4</v>
      </c>
      <c r="P109" s="10">
        <v>85</v>
      </c>
      <c r="Q109" s="10">
        <v>89</v>
      </c>
      <c r="R109" s="10" t="str">
        <f>VLOOKUP(Cleaned_datasetB[[#This Row],[Weather_Code]],Lookup_Tables!$E$9:$F$13,2,FALSE)</f>
        <v>Clear</v>
      </c>
      <c r="S109" s="10" t="str">
        <f>INDEX(Lookup_Tables!$I$10:$I$16,MATCH(Cleaned_datasetB[[#This Row],[Day_Code]],Lookup_Tables!$H$10:$H$16,0))</f>
        <v>Wednesday</v>
      </c>
      <c r="T109" s="10" t="str">
        <f>VLOOKUP(Cleaned_datasetB[[#This Row],[Month]], Lookup_Tables!$K$8:$L$19, 2, FALSE)</f>
        <v>January</v>
      </c>
      <c r="U109" s="10" t="str">
        <f>IF(AND(Cleaned_datasetB[[#This Row],[Day_Type]]="Weekday",Cleaned_datasetB[[#This Row],[Is_Holiday]]=FALSE),"Working Day","Non-Working Day")</f>
        <v>Working Day</v>
      </c>
    </row>
    <row r="110" spans="1:21">
      <c r="A110" s="10">
        <v>109</v>
      </c>
      <c r="B110" s="23">
        <v>40548</v>
      </c>
      <c r="C110" s="10">
        <v>1</v>
      </c>
      <c r="D110" s="10">
        <v>0</v>
      </c>
      <c r="E110" s="10">
        <v>1</v>
      </c>
      <c r="F110" s="10">
        <v>17</v>
      </c>
      <c r="G110" s="10" t="b">
        <v>0</v>
      </c>
      <c r="H110" s="10">
        <v>3</v>
      </c>
      <c r="I110" s="10" t="str">
        <f>IF(OR(Cleaned_datasetB[[#This Row],[Day_Code]]=0,Cleaned_datasetB[[#This Row],[Day_Code]]=6),"Weekend","Weekday")</f>
        <v>Weekday</v>
      </c>
      <c r="J110" s="10">
        <v>1</v>
      </c>
      <c r="K110" s="10">
        <v>0.24</v>
      </c>
      <c r="L110" s="51">
        <v>0.2273</v>
      </c>
      <c r="M110" s="10">
        <v>0.38</v>
      </c>
      <c r="N110" s="10">
        <v>0.19400000000000001</v>
      </c>
      <c r="O110" s="10">
        <v>4</v>
      </c>
      <c r="P110" s="10">
        <v>186</v>
      </c>
      <c r="Q110" s="10">
        <v>190</v>
      </c>
      <c r="R110" s="10" t="str">
        <f>VLOOKUP(Cleaned_datasetB[[#This Row],[Weather_Code]],Lookup_Tables!$E$9:$F$13,2,FALSE)</f>
        <v>Clear</v>
      </c>
      <c r="S110" s="10" t="str">
        <f>INDEX(Lookup_Tables!$I$10:$I$16,MATCH(Cleaned_datasetB[[#This Row],[Day_Code]],Lookup_Tables!$H$10:$H$16,0))</f>
        <v>Wednesday</v>
      </c>
      <c r="T110" s="10" t="str">
        <f>VLOOKUP(Cleaned_datasetB[[#This Row],[Month]], Lookup_Tables!$K$8:$L$19, 2, FALSE)</f>
        <v>January</v>
      </c>
      <c r="U110" s="10" t="str">
        <f>IF(AND(Cleaned_datasetB[[#This Row],[Day_Type]]="Weekday",Cleaned_datasetB[[#This Row],[Is_Holiday]]=FALSE),"Working Day","Non-Working Day")</f>
        <v>Working Day</v>
      </c>
    </row>
    <row r="111" spans="1:21">
      <c r="A111" s="10">
        <v>110</v>
      </c>
      <c r="B111" s="23">
        <v>40548</v>
      </c>
      <c r="C111" s="10">
        <v>1</v>
      </c>
      <c r="D111" s="10">
        <v>0</v>
      </c>
      <c r="E111" s="10">
        <v>1</v>
      </c>
      <c r="F111" s="10">
        <v>18</v>
      </c>
      <c r="G111" s="10" t="b">
        <v>0</v>
      </c>
      <c r="H111" s="10">
        <v>3</v>
      </c>
      <c r="I111" s="10" t="str">
        <f>IF(OR(Cleaned_datasetB[[#This Row],[Day_Code]]=0,Cleaned_datasetB[[#This Row],[Day_Code]]=6),"Weekend","Weekday")</f>
        <v>Weekday</v>
      </c>
      <c r="J111" s="10">
        <v>1</v>
      </c>
      <c r="K111" s="10">
        <v>0.24</v>
      </c>
      <c r="L111" s="51">
        <v>0.2424</v>
      </c>
      <c r="M111" s="10">
        <v>0.38</v>
      </c>
      <c r="N111" s="10">
        <v>0.1343</v>
      </c>
      <c r="O111" s="10">
        <v>3</v>
      </c>
      <c r="P111" s="10">
        <v>166</v>
      </c>
      <c r="Q111" s="10">
        <v>169</v>
      </c>
      <c r="R111" s="10" t="str">
        <f>VLOOKUP(Cleaned_datasetB[[#This Row],[Weather_Code]],Lookup_Tables!$E$9:$F$13,2,FALSE)</f>
        <v>Clear</v>
      </c>
      <c r="S111" s="10" t="str">
        <f>INDEX(Lookup_Tables!$I$10:$I$16,MATCH(Cleaned_datasetB[[#This Row],[Day_Code]],Lookup_Tables!$H$10:$H$16,0))</f>
        <v>Wednesday</v>
      </c>
      <c r="T111" s="10" t="str">
        <f>VLOOKUP(Cleaned_datasetB[[#This Row],[Month]], Lookup_Tables!$K$8:$L$19, 2, FALSE)</f>
        <v>January</v>
      </c>
      <c r="U111" s="10" t="str">
        <f>IF(AND(Cleaned_datasetB[[#This Row],[Day_Type]]="Weekday",Cleaned_datasetB[[#This Row],[Is_Holiday]]=FALSE),"Working Day","Non-Working Day")</f>
        <v>Working Day</v>
      </c>
    </row>
    <row r="112" spans="1:21">
      <c r="A112" s="10">
        <v>111</v>
      </c>
      <c r="B112" s="23">
        <v>40548</v>
      </c>
      <c r="C112" s="10">
        <v>1</v>
      </c>
      <c r="D112" s="10">
        <v>0</v>
      </c>
      <c r="E112" s="10">
        <v>1</v>
      </c>
      <c r="F112" s="10">
        <v>19</v>
      </c>
      <c r="G112" s="10" t="b">
        <v>0</v>
      </c>
      <c r="H112" s="10">
        <v>3</v>
      </c>
      <c r="I112" s="10" t="str">
        <f>IF(OR(Cleaned_datasetB[[#This Row],[Day_Code]]=0,Cleaned_datasetB[[#This Row],[Day_Code]]=6),"Weekend","Weekday")</f>
        <v>Weekday</v>
      </c>
      <c r="J112" s="10">
        <v>1</v>
      </c>
      <c r="K112" s="10">
        <v>0.24</v>
      </c>
      <c r="L112" s="51">
        <v>0.2576</v>
      </c>
      <c r="M112" s="10">
        <v>0.38</v>
      </c>
      <c r="N112" s="10">
        <v>0.1045</v>
      </c>
      <c r="O112" s="10">
        <v>5</v>
      </c>
      <c r="P112" s="10">
        <v>127</v>
      </c>
      <c r="Q112" s="10">
        <v>132</v>
      </c>
      <c r="R112" s="10" t="str">
        <f>VLOOKUP(Cleaned_datasetB[[#This Row],[Weather_Code]],Lookup_Tables!$E$9:$F$13,2,FALSE)</f>
        <v>Clear</v>
      </c>
      <c r="S112" s="10" t="str">
        <f>INDEX(Lookup_Tables!$I$10:$I$16,MATCH(Cleaned_datasetB[[#This Row],[Day_Code]],Lookup_Tables!$H$10:$H$16,0))</f>
        <v>Wednesday</v>
      </c>
      <c r="T112" s="10" t="str">
        <f>VLOOKUP(Cleaned_datasetB[[#This Row],[Month]], Lookup_Tables!$K$8:$L$19, 2, FALSE)</f>
        <v>January</v>
      </c>
      <c r="U112" s="10" t="str">
        <f>IF(AND(Cleaned_datasetB[[#This Row],[Day_Type]]="Weekday",Cleaned_datasetB[[#This Row],[Is_Holiday]]=FALSE),"Working Day","Non-Working Day")</f>
        <v>Working Day</v>
      </c>
    </row>
    <row r="113" spans="1:21">
      <c r="A113" s="10">
        <v>112</v>
      </c>
      <c r="B113" s="23">
        <v>40548</v>
      </c>
      <c r="C113" s="10">
        <v>1</v>
      </c>
      <c r="D113" s="10">
        <v>0</v>
      </c>
      <c r="E113" s="10">
        <v>1</v>
      </c>
      <c r="F113" s="10">
        <v>20</v>
      </c>
      <c r="G113" s="10" t="b">
        <v>0</v>
      </c>
      <c r="H113" s="10">
        <v>3</v>
      </c>
      <c r="I113" s="10" t="str">
        <f>IF(OR(Cleaned_datasetB[[#This Row],[Day_Code]]=0,Cleaned_datasetB[[#This Row],[Day_Code]]=6),"Weekend","Weekday")</f>
        <v>Weekday</v>
      </c>
      <c r="J113" s="10">
        <v>1</v>
      </c>
      <c r="K113" s="10">
        <v>0.22</v>
      </c>
      <c r="L113" s="51">
        <v>0.2273</v>
      </c>
      <c r="M113" s="10">
        <v>0.47</v>
      </c>
      <c r="N113" s="10">
        <v>0.16420000000000001</v>
      </c>
      <c r="O113" s="10">
        <v>7</v>
      </c>
      <c r="P113" s="10">
        <v>82</v>
      </c>
      <c r="Q113" s="10">
        <v>89</v>
      </c>
      <c r="R113" s="10" t="str">
        <f>VLOOKUP(Cleaned_datasetB[[#This Row],[Weather_Code]],Lookup_Tables!$E$9:$F$13,2,FALSE)</f>
        <v>Clear</v>
      </c>
      <c r="S113" s="10" t="str">
        <f>INDEX(Lookup_Tables!$I$10:$I$16,MATCH(Cleaned_datasetB[[#This Row],[Day_Code]],Lookup_Tables!$H$10:$H$16,0))</f>
        <v>Wednesday</v>
      </c>
      <c r="T113" s="10" t="str">
        <f>VLOOKUP(Cleaned_datasetB[[#This Row],[Month]], Lookup_Tables!$K$8:$L$19, 2, FALSE)</f>
        <v>January</v>
      </c>
      <c r="U113" s="10" t="str">
        <f>IF(AND(Cleaned_datasetB[[#This Row],[Day_Type]]="Weekday",Cleaned_datasetB[[#This Row],[Is_Holiday]]=FALSE),"Working Day","Non-Working Day")</f>
        <v>Working Day</v>
      </c>
    </row>
    <row r="114" spans="1:21">
      <c r="A114" s="10">
        <v>113</v>
      </c>
      <c r="B114" s="23">
        <v>40548</v>
      </c>
      <c r="C114" s="10">
        <v>1</v>
      </c>
      <c r="D114" s="10">
        <v>0</v>
      </c>
      <c r="E114" s="10">
        <v>1</v>
      </c>
      <c r="F114" s="10">
        <v>21</v>
      </c>
      <c r="G114" s="10" t="b">
        <v>0</v>
      </c>
      <c r="H114" s="10">
        <v>3</v>
      </c>
      <c r="I114" s="10" t="str">
        <f>IF(OR(Cleaned_datasetB[[#This Row],[Day_Code]]=0,Cleaned_datasetB[[#This Row],[Day_Code]]=6),"Weekend","Weekday")</f>
        <v>Weekday</v>
      </c>
      <c r="J114" s="10">
        <v>1</v>
      </c>
      <c r="K114" s="10">
        <v>0.2</v>
      </c>
      <c r="L114" s="51">
        <v>0.19700000000000001</v>
      </c>
      <c r="M114" s="10">
        <v>0.51</v>
      </c>
      <c r="N114" s="10">
        <v>0.19400000000000001</v>
      </c>
      <c r="O114" s="10">
        <v>3</v>
      </c>
      <c r="P114" s="10">
        <v>40</v>
      </c>
      <c r="Q114" s="10">
        <v>43</v>
      </c>
      <c r="R114" s="10" t="str">
        <f>VLOOKUP(Cleaned_datasetB[[#This Row],[Weather_Code]],Lookup_Tables!$E$9:$F$13,2,FALSE)</f>
        <v>Clear</v>
      </c>
      <c r="S114" s="10" t="str">
        <f>INDEX(Lookup_Tables!$I$10:$I$16,MATCH(Cleaned_datasetB[[#This Row],[Day_Code]],Lookup_Tables!$H$10:$H$16,0))</f>
        <v>Wednesday</v>
      </c>
      <c r="T114" s="10" t="str">
        <f>VLOOKUP(Cleaned_datasetB[[#This Row],[Month]], Lookup_Tables!$K$8:$L$19, 2, FALSE)</f>
        <v>January</v>
      </c>
      <c r="U114" s="10" t="str">
        <f>IF(AND(Cleaned_datasetB[[#This Row],[Day_Type]]="Weekday",Cleaned_datasetB[[#This Row],[Is_Holiday]]=FALSE),"Working Day","Non-Working Day")</f>
        <v>Working Day</v>
      </c>
    </row>
    <row r="115" spans="1:21">
      <c r="A115" s="10">
        <v>114</v>
      </c>
      <c r="B115" s="23">
        <v>40548</v>
      </c>
      <c r="C115" s="10">
        <v>1</v>
      </c>
      <c r="D115" s="10">
        <v>0</v>
      </c>
      <c r="E115" s="10">
        <v>1</v>
      </c>
      <c r="F115" s="10">
        <v>22</v>
      </c>
      <c r="G115" s="10" t="b">
        <v>0</v>
      </c>
      <c r="H115" s="10">
        <v>3</v>
      </c>
      <c r="I115" s="10" t="str">
        <f>IF(OR(Cleaned_datasetB[[#This Row],[Day_Code]]=0,Cleaned_datasetB[[#This Row],[Day_Code]]=6),"Weekend","Weekday")</f>
        <v>Weekday</v>
      </c>
      <c r="J115" s="10">
        <v>1</v>
      </c>
      <c r="K115" s="10">
        <v>0.18</v>
      </c>
      <c r="L115" s="51">
        <v>0.19700000000000001</v>
      </c>
      <c r="M115" s="10">
        <v>0.55000000000000004</v>
      </c>
      <c r="N115" s="10">
        <v>0.1343</v>
      </c>
      <c r="O115" s="10">
        <v>1</v>
      </c>
      <c r="P115" s="10">
        <v>41</v>
      </c>
      <c r="Q115" s="10">
        <v>42</v>
      </c>
      <c r="R115" s="10" t="str">
        <f>VLOOKUP(Cleaned_datasetB[[#This Row],[Weather_Code]],Lookup_Tables!$E$9:$F$13,2,FALSE)</f>
        <v>Clear</v>
      </c>
      <c r="S115" s="10" t="str">
        <f>INDEX(Lookup_Tables!$I$10:$I$16,MATCH(Cleaned_datasetB[[#This Row],[Day_Code]],Lookup_Tables!$H$10:$H$16,0))</f>
        <v>Wednesday</v>
      </c>
      <c r="T115" s="10" t="str">
        <f>VLOOKUP(Cleaned_datasetB[[#This Row],[Month]], Lookup_Tables!$K$8:$L$19, 2, FALSE)</f>
        <v>January</v>
      </c>
      <c r="U115" s="10" t="str">
        <f>IF(AND(Cleaned_datasetB[[#This Row],[Day_Type]]="Weekday",Cleaned_datasetB[[#This Row],[Is_Holiday]]=FALSE),"Working Day","Non-Working Day")</f>
        <v>Working Day</v>
      </c>
    </row>
    <row r="116" spans="1:21">
      <c r="A116" s="10">
        <v>115</v>
      </c>
      <c r="B116" s="23">
        <v>40548</v>
      </c>
      <c r="C116" s="10">
        <v>1</v>
      </c>
      <c r="D116" s="10">
        <v>0</v>
      </c>
      <c r="E116" s="10">
        <v>1</v>
      </c>
      <c r="F116" s="10">
        <v>23</v>
      </c>
      <c r="G116" s="10" t="b">
        <v>0</v>
      </c>
      <c r="H116" s="10">
        <v>3</v>
      </c>
      <c r="I116" s="10" t="str">
        <f>IF(OR(Cleaned_datasetB[[#This Row],[Day_Code]]=0,Cleaned_datasetB[[#This Row],[Day_Code]]=6),"Weekend","Weekday")</f>
        <v>Weekday</v>
      </c>
      <c r="J116" s="10">
        <v>1</v>
      </c>
      <c r="K116" s="10">
        <v>0.2</v>
      </c>
      <c r="L116" s="51">
        <v>0.2576</v>
      </c>
      <c r="M116" s="10">
        <v>0.47</v>
      </c>
      <c r="N116" s="10">
        <v>0</v>
      </c>
      <c r="O116" s="10">
        <v>1</v>
      </c>
      <c r="P116" s="10">
        <v>18</v>
      </c>
      <c r="Q116" s="10">
        <v>19</v>
      </c>
      <c r="R116" s="10" t="str">
        <f>VLOOKUP(Cleaned_datasetB[[#This Row],[Weather_Code]],Lookup_Tables!$E$9:$F$13,2,FALSE)</f>
        <v>Clear</v>
      </c>
      <c r="S116" s="10" t="str">
        <f>INDEX(Lookup_Tables!$I$10:$I$16,MATCH(Cleaned_datasetB[[#This Row],[Day_Code]],Lookup_Tables!$H$10:$H$16,0))</f>
        <v>Wednesday</v>
      </c>
      <c r="T116" s="10" t="str">
        <f>VLOOKUP(Cleaned_datasetB[[#This Row],[Month]], Lookup_Tables!$K$8:$L$19, 2, FALSE)</f>
        <v>January</v>
      </c>
      <c r="U116" s="10" t="str">
        <f>IF(AND(Cleaned_datasetB[[#This Row],[Day_Type]]="Weekday",Cleaned_datasetB[[#This Row],[Is_Holiday]]=FALSE),"Working Day","Non-Working Day")</f>
        <v>Working Day</v>
      </c>
    </row>
    <row r="117" spans="1:21">
      <c r="A117" s="10">
        <v>116</v>
      </c>
      <c r="B117" s="23">
        <v>40549</v>
      </c>
      <c r="C117" s="10">
        <v>1</v>
      </c>
      <c r="D117" s="10">
        <v>0</v>
      </c>
      <c r="E117" s="10">
        <v>1</v>
      </c>
      <c r="F117" s="10">
        <v>0</v>
      </c>
      <c r="G117" s="10" t="b">
        <v>0</v>
      </c>
      <c r="H117" s="10">
        <v>4</v>
      </c>
      <c r="I117" s="10" t="str">
        <f>IF(OR(Cleaned_datasetB[[#This Row],[Day_Code]]=0,Cleaned_datasetB[[#This Row],[Day_Code]]=6),"Weekend","Weekday")</f>
        <v>Weekday</v>
      </c>
      <c r="J117" s="10">
        <v>1</v>
      </c>
      <c r="K117" s="10">
        <v>0.18</v>
      </c>
      <c r="L117" s="51">
        <v>0.2424</v>
      </c>
      <c r="M117" s="10">
        <v>0.55000000000000004</v>
      </c>
      <c r="N117" s="10">
        <v>0</v>
      </c>
      <c r="O117" s="10">
        <v>0</v>
      </c>
      <c r="P117" s="10">
        <v>11</v>
      </c>
      <c r="Q117" s="10">
        <v>11</v>
      </c>
      <c r="R117" s="10" t="str">
        <f>VLOOKUP(Cleaned_datasetB[[#This Row],[Weather_Code]],Lookup_Tables!$E$9:$F$13,2,FALSE)</f>
        <v>Clear</v>
      </c>
      <c r="S117" s="10" t="str">
        <f>INDEX(Lookup_Tables!$I$10:$I$16,MATCH(Cleaned_datasetB[[#This Row],[Day_Code]],Lookup_Tables!$H$10:$H$16,0))</f>
        <v>Thursday</v>
      </c>
      <c r="T117" s="10" t="str">
        <f>VLOOKUP(Cleaned_datasetB[[#This Row],[Month]], Lookup_Tables!$K$8:$L$19, 2, FALSE)</f>
        <v>January</v>
      </c>
      <c r="U117" s="10" t="str">
        <f>IF(AND(Cleaned_datasetB[[#This Row],[Day_Type]]="Weekday",Cleaned_datasetB[[#This Row],[Is_Holiday]]=FALSE),"Working Day","Non-Working Day")</f>
        <v>Working Day</v>
      </c>
    </row>
    <row r="118" spans="1:21">
      <c r="A118" s="10">
        <v>117</v>
      </c>
      <c r="B118" s="23">
        <v>40549</v>
      </c>
      <c r="C118" s="10">
        <v>1</v>
      </c>
      <c r="D118" s="10">
        <v>0</v>
      </c>
      <c r="E118" s="10">
        <v>1</v>
      </c>
      <c r="F118" s="10">
        <v>1</v>
      </c>
      <c r="G118" s="10" t="b">
        <v>0</v>
      </c>
      <c r="H118" s="10">
        <v>4</v>
      </c>
      <c r="I118" s="10" t="str">
        <f>IF(OR(Cleaned_datasetB[[#This Row],[Day_Code]]=0,Cleaned_datasetB[[#This Row],[Day_Code]]=6),"Weekend","Weekday")</f>
        <v>Weekday</v>
      </c>
      <c r="J118" s="10">
        <v>1</v>
      </c>
      <c r="K118" s="10">
        <v>0.16</v>
      </c>
      <c r="L118" s="51">
        <v>0.2273</v>
      </c>
      <c r="M118" s="10">
        <v>0.64</v>
      </c>
      <c r="N118" s="10">
        <v>0</v>
      </c>
      <c r="O118" s="10">
        <v>0</v>
      </c>
      <c r="P118" s="10">
        <v>4</v>
      </c>
      <c r="Q118" s="10">
        <v>4</v>
      </c>
      <c r="R118" s="10" t="str">
        <f>VLOOKUP(Cleaned_datasetB[[#This Row],[Weather_Code]],Lookup_Tables!$E$9:$F$13,2,FALSE)</f>
        <v>Clear</v>
      </c>
      <c r="S118" s="10" t="str">
        <f>INDEX(Lookup_Tables!$I$10:$I$16,MATCH(Cleaned_datasetB[[#This Row],[Day_Code]],Lookup_Tables!$H$10:$H$16,0))</f>
        <v>Thursday</v>
      </c>
      <c r="T118" s="10" t="str">
        <f>VLOOKUP(Cleaned_datasetB[[#This Row],[Month]], Lookup_Tables!$K$8:$L$19, 2, FALSE)</f>
        <v>January</v>
      </c>
      <c r="U118" s="10" t="str">
        <f>IF(AND(Cleaned_datasetB[[#This Row],[Day_Type]]="Weekday",Cleaned_datasetB[[#This Row],[Is_Holiday]]=FALSE),"Working Day","Non-Working Day")</f>
        <v>Working Day</v>
      </c>
    </row>
    <row r="119" spans="1:21">
      <c r="A119" s="10">
        <v>118</v>
      </c>
      <c r="B119" s="23">
        <v>40549</v>
      </c>
      <c r="C119" s="10">
        <v>1</v>
      </c>
      <c r="D119" s="10">
        <v>0</v>
      </c>
      <c r="E119" s="10">
        <v>1</v>
      </c>
      <c r="F119" s="10">
        <v>2</v>
      </c>
      <c r="G119" s="10" t="b">
        <v>0</v>
      </c>
      <c r="H119" s="10">
        <v>4</v>
      </c>
      <c r="I119" s="10" t="str">
        <f>IF(OR(Cleaned_datasetB[[#This Row],[Day_Code]]=0,Cleaned_datasetB[[#This Row],[Day_Code]]=6),"Weekend","Weekday")</f>
        <v>Weekday</v>
      </c>
      <c r="J119" s="10">
        <v>1</v>
      </c>
      <c r="K119" s="10">
        <v>0.16</v>
      </c>
      <c r="L119" s="51">
        <v>0.2273</v>
      </c>
      <c r="M119" s="10">
        <v>0.64</v>
      </c>
      <c r="N119" s="10">
        <v>0</v>
      </c>
      <c r="O119" s="10">
        <v>0</v>
      </c>
      <c r="P119" s="10">
        <v>2</v>
      </c>
      <c r="Q119" s="10">
        <v>2</v>
      </c>
      <c r="R119" s="10" t="str">
        <f>VLOOKUP(Cleaned_datasetB[[#This Row],[Weather_Code]],Lookup_Tables!$E$9:$F$13,2,FALSE)</f>
        <v>Clear</v>
      </c>
      <c r="S119" s="10" t="str">
        <f>INDEX(Lookup_Tables!$I$10:$I$16,MATCH(Cleaned_datasetB[[#This Row],[Day_Code]],Lookup_Tables!$H$10:$H$16,0))</f>
        <v>Thursday</v>
      </c>
      <c r="T119" s="10" t="str">
        <f>VLOOKUP(Cleaned_datasetB[[#This Row],[Month]], Lookup_Tables!$K$8:$L$19, 2, FALSE)</f>
        <v>January</v>
      </c>
      <c r="U119" s="10" t="str">
        <f>IF(AND(Cleaned_datasetB[[#This Row],[Day_Type]]="Weekday",Cleaned_datasetB[[#This Row],[Is_Holiday]]=FALSE),"Working Day","Non-Working Day")</f>
        <v>Working Day</v>
      </c>
    </row>
    <row r="120" spans="1:21">
      <c r="A120" s="10">
        <v>119</v>
      </c>
      <c r="B120" s="23">
        <v>40549</v>
      </c>
      <c r="C120" s="10">
        <v>1</v>
      </c>
      <c r="D120" s="10">
        <v>0</v>
      </c>
      <c r="E120" s="10">
        <v>1</v>
      </c>
      <c r="F120" s="10">
        <v>4</v>
      </c>
      <c r="G120" s="10" t="b">
        <v>0</v>
      </c>
      <c r="H120" s="10">
        <v>4</v>
      </c>
      <c r="I120" s="10" t="str">
        <f>IF(OR(Cleaned_datasetB[[#This Row],[Day_Code]]=0,Cleaned_datasetB[[#This Row],[Day_Code]]=6),"Weekend","Weekday")</f>
        <v>Weekday</v>
      </c>
      <c r="J120" s="10">
        <v>2</v>
      </c>
      <c r="K120" s="10">
        <v>0.16</v>
      </c>
      <c r="L120" s="51">
        <v>0.19700000000000001</v>
      </c>
      <c r="M120" s="10">
        <v>0.64</v>
      </c>
      <c r="N120" s="10">
        <v>8.9599999999999999E-2</v>
      </c>
      <c r="O120" s="10">
        <v>0</v>
      </c>
      <c r="P120" s="10">
        <v>1</v>
      </c>
      <c r="Q120" s="10">
        <v>1</v>
      </c>
      <c r="R120" s="10" t="str">
        <f>VLOOKUP(Cleaned_datasetB[[#This Row],[Weather_Code]],Lookup_Tables!$E$9:$F$13,2,FALSE)</f>
        <v>Cloudy</v>
      </c>
      <c r="S120" s="10" t="str">
        <f>INDEX(Lookup_Tables!$I$10:$I$16,MATCH(Cleaned_datasetB[[#This Row],[Day_Code]],Lookup_Tables!$H$10:$H$16,0))</f>
        <v>Thursday</v>
      </c>
      <c r="T120" s="10" t="str">
        <f>VLOOKUP(Cleaned_datasetB[[#This Row],[Month]], Lookup_Tables!$K$8:$L$19, 2, FALSE)</f>
        <v>January</v>
      </c>
      <c r="U120" s="10" t="str">
        <f>IF(AND(Cleaned_datasetB[[#This Row],[Day_Type]]="Weekday",Cleaned_datasetB[[#This Row],[Is_Holiday]]=FALSE),"Working Day","Non-Working Day")</f>
        <v>Working Day</v>
      </c>
    </row>
    <row r="121" spans="1:21">
      <c r="A121" s="10">
        <v>120</v>
      </c>
      <c r="B121" s="23">
        <v>40549</v>
      </c>
      <c r="C121" s="10">
        <v>1</v>
      </c>
      <c r="D121" s="10">
        <v>0</v>
      </c>
      <c r="E121" s="10">
        <v>1</v>
      </c>
      <c r="F121" s="10">
        <v>5</v>
      </c>
      <c r="G121" s="10" t="b">
        <v>0</v>
      </c>
      <c r="H121" s="10">
        <v>4</v>
      </c>
      <c r="I121" s="10" t="str">
        <f>IF(OR(Cleaned_datasetB[[#This Row],[Day_Code]]=0,Cleaned_datasetB[[#This Row],[Day_Code]]=6),"Weekend","Weekday")</f>
        <v>Weekday</v>
      </c>
      <c r="J121" s="10">
        <v>2</v>
      </c>
      <c r="K121" s="10">
        <v>0.14000000000000001</v>
      </c>
      <c r="L121" s="51">
        <v>0.18179999999999999</v>
      </c>
      <c r="M121" s="10">
        <v>0.69</v>
      </c>
      <c r="N121" s="10">
        <v>8.9599999999999999E-2</v>
      </c>
      <c r="O121" s="10">
        <v>0</v>
      </c>
      <c r="P121" s="10">
        <v>4</v>
      </c>
      <c r="Q121" s="10">
        <v>4</v>
      </c>
      <c r="R121" s="10" t="str">
        <f>VLOOKUP(Cleaned_datasetB[[#This Row],[Weather_Code]],Lookup_Tables!$E$9:$F$13,2,FALSE)</f>
        <v>Cloudy</v>
      </c>
      <c r="S121" s="10" t="str">
        <f>INDEX(Lookup_Tables!$I$10:$I$16,MATCH(Cleaned_datasetB[[#This Row],[Day_Code]],Lookup_Tables!$H$10:$H$16,0))</f>
        <v>Thursday</v>
      </c>
      <c r="T121" s="10" t="str">
        <f>VLOOKUP(Cleaned_datasetB[[#This Row],[Month]], Lookup_Tables!$K$8:$L$19, 2, FALSE)</f>
        <v>January</v>
      </c>
      <c r="U121" s="10" t="str">
        <f>IF(AND(Cleaned_datasetB[[#This Row],[Day_Type]]="Weekday",Cleaned_datasetB[[#This Row],[Is_Holiday]]=FALSE),"Working Day","Non-Working Day")</f>
        <v>Working Day</v>
      </c>
    </row>
    <row r="122" spans="1:21">
      <c r="A122" s="10">
        <v>121</v>
      </c>
      <c r="B122" s="23">
        <v>40549</v>
      </c>
      <c r="C122" s="10">
        <v>1</v>
      </c>
      <c r="D122" s="10">
        <v>0</v>
      </c>
      <c r="E122" s="10">
        <v>1</v>
      </c>
      <c r="F122" s="10">
        <v>6</v>
      </c>
      <c r="G122" s="10" t="b">
        <v>0</v>
      </c>
      <c r="H122" s="10">
        <v>4</v>
      </c>
      <c r="I122" s="10" t="str">
        <f>IF(OR(Cleaned_datasetB[[#This Row],[Day_Code]]=0,Cleaned_datasetB[[#This Row],[Day_Code]]=6),"Weekend","Weekday")</f>
        <v>Weekday</v>
      </c>
      <c r="J122" s="10">
        <v>2</v>
      </c>
      <c r="K122" s="10">
        <v>0.14000000000000001</v>
      </c>
      <c r="L122" s="51">
        <v>0.16669999999999999</v>
      </c>
      <c r="M122" s="10">
        <v>0.63</v>
      </c>
      <c r="N122" s="10">
        <v>0.1045</v>
      </c>
      <c r="O122" s="10">
        <v>0</v>
      </c>
      <c r="P122" s="10">
        <v>36</v>
      </c>
      <c r="Q122" s="10">
        <v>36</v>
      </c>
      <c r="R122" s="10" t="str">
        <f>VLOOKUP(Cleaned_datasetB[[#This Row],[Weather_Code]],Lookup_Tables!$E$9:$F$13,2,FALSE)</f>
        <v>Cloudy</v>
      </c>
      <c r="S122" s="10" t="str">
        <f>INDEX(Lookup_Tables!$I$10:$I$16,MATCH(Cleaned_datasetB[[#This Row],[Day_Code]],Lookup_Tables!$H$10:$H$16,0))</f>
        <v>Thursday</v>
      </c>
      <c r="T122" s="10" t="str">
        <f>VLOOKUP(Cleaned_datasetB[[#This Row],[Month]], Lookup_Tables!$K$8:$L$19, 2, FALSE)</f>
        <v>January</v>
      </c>
      <c r="U122" s="10" t="str">
        <f>IF(AND(Cleaned_datasetB[[#This Row],[Day_Type]]="Weekday",Cleaned_datasetB[[#This Row],[Is_Holiday]]=FALSE),"Working Day","Non-Working Day")</f>
        <v>Working Day</v>
      </c>
    </row>
    <row r="123" spans="1:21">
      <c r="A123" s="10">
        <v>122</v>
      </c>
      <c r="B123" s="23">
        <v>40549</v>
      </c>
      <c r="C123" s="10">
        <v>1</v>
      </c>
      <c r="D123" s="10">
        <v>0</v>
      </c>
      <c r="E123" s="10">
        <v>1</v>
      </c>
      <c r="F123" s="10">
        <v>7</v>
      </c>
      <c r="G123" s="10" t="b">
        <v>0</v>
      </c>
      <c r="H123" s="10">
        <v>4</v>
      </c>
      <c r="I123" s="10" t="str">
        <f>IF(OR(Cleaned_datasetB[[#This Row],[Day_Code]]=0,Cleaned_datasetB[[#This Row],[Day_Code]]=6),"Weekend","Weekday")</f>
        <v>Weekday</v>
      </c>
      <c r="J123" s="10">
        <v>2</v>
      </c>
      <c r="K123" s="10">
        <v>0.16</v>
      </c>
      <c r="L123" s="51">
        <v>0.2273</v>
      </c>
      <c r="M123" s="10">
        <v>0.59</v>
      </c>
      <c r="N123" s="10">
        <v>0</v>
      </c>
      <c r="O123" s="10">
        <v>0</v>
      </c>
      <c r="P123" s="10">
        <v>95</v>
      </c>
      <c r="Q123" s="10">
        <v>95</v>
      </c>
      <c r="R123" s="10" t="str">
        <f>VLOOKUP(Cleaned_datasetB[[#This Row],[Weather_Code]],Lookup_Tables!$E$9:$F$13,2,FALSE)</f>
        <v>Cloudy</v>
      </c>
      <c r="S123" s="10" t="str">
        <f>INDEX(Lookup_Tables!$I$10:$I$16,MATCH(Cleaned_datasetB[[#This Row],[Day_Code]],Lookup_Tables!$H$10:$H$16,0))</f>
        <v>Thursday</v>
      </c>
      <c r="T123" s="10" t="str">
        <f>VLOOKUP(Cleaned_datasetB[[#This Row],[Month]], Lookup_Tables!$K$8:$L$19, 2, FALSE)</f>
        <v>January</v>
      </c>
      <c r="U123" s="10" t="str">
        <f>IF(AND(Cleaned_datasetB[[#This Row],[Day_Type]]="Weekday",Cleaned_datasetB[[#This Row],[Is_Holiday]]=FALSE),"Working Day","Non-Working Day")</f>
        <v>Working Day</v>
      </c>
    </row>
    <row r="124" spans="1:21">
      <c r="A124" s="10">
        <v>123</v>
      </c>
      <c r="B124" s="23">
        <v>40549</v>
      </c>
      <c r="C124" s="10">
        <v>1</v>
      </c>
      <c r="D124" s="10">
        <v>0</v>
      </c>
      <c r="E124" s="10">
        <v>1</v>
      </c>
      <c r="F124" s="10">
        <v>8</v>
      </c>
      <c r="G124" s="10" t="b">
        <v>0</v>
      </c>
      <c r="H124" s="10">
        <v>4</v>
      </c>
      <c r="I124" s="10" t="str">
        <f>IF(OR(Cleaned_datasetB[[#This Row],[Day_Code]]=0,Cleaned_datasetB[[#This Row],[Day_Code]]=6),"Weekend","Weekday")</f>
        <v>Weekday</v>
      </c>
      <c r="J124" s="10">
        <v>1</v>
      </c>
      <c r="K124" s="10">
        <v>0.16</v>
      </c>
      <c r="L124" s="51">
        <v>0.2273</v>
      </c>
      <c r="M124" s="10">
        <v>0.59</v>
      </c>
      <c r="N124" s="10">
        <v>0</v>
      </c>
      <c r="O124" s="10">
        <v>3</v>
      </c>
      <c r="P124" s="10">
        <v>216</v>
      </c>
      <c r="Q124" s="10">
        <v>219</v>
      </c>
      <c r="R124" s="10" t="str">
        <f>VLOOKUP(Cleaned_datasetB[[#This Row],[Weather_Code]],Lookup_Tables!$E$9:$F$13,2,FALSE)</f>
        <v>Clear</v>
      </c>
      <c r="S124" s="10" t="str">
        <f>INDEX(Lookup_Tables!$I$10:$I$16,MATCH(Cleaned_datasetB[[#This Row],[Day_Code]],Lookup_Tables!$H$10:$H$16,0))</f>
        <v>Thursday</v>
      </c>
      <c r="T124" s="10" t="str">
        <f>VLOOKUP(Cleaned_datasetB[[#This Row],[Month]], Lookup_Tables!$K$8:$L$19, 2, FALSE)</f>
        <v>January</v>
      </c>
      <c r="U124" s="10" t="str">
        <f>IF(AND(Cleaned_datasetB[[#This Row],[Day_Type]]="Weekday",Cleaned_datasetB[[#This Row],[Is_Holiday]]=FALSE),"Working Day","Non-Working Day")</f>
        <v>Working Day</v>
      </c>
    </row>
    <row r="125" spans="1:21">
      <c r="A125" s="10">
        <v>124</v>
      </c>
      <c r="B125" s="23">
        <v>40549</v>
      </c>
      <c r="C125" s="10">
        <v>1</v>
      </c>
      <c r="D125" s="10">
        <v>0</v>
      </c>
      <c r="E125" s="10">
        <v>1</v>
      </c>
      <c r="F125" s="10">
        <v>9</v>
      </c>
      <c r="G125" s="10" t="b">
        <v>0</v>
      </c>
      <c r="H125" s="10">
        <v>4</v>
      </c>
      <c r="I125" s="10" t="str">
        <f>IF(OR(Cleaned_datasetB[[#This Row],[Day_Code]]=0,Cleaned_datasetB[[#This Row],[Day_Code]]=6),"Weekend","Weekday")</f>
        <v>Weekday</v>
      </c>
      <c r="J125" s="10">
        <v>2</v>
      </c>
      <c r="K125" s="10">
        <v>0.18</v>
      </c>
      <c r="L125" s="51">
        <v>0.2424</v>
      </c>
      <c r="M125" s="10">
        <v>0.51</v>
      </c>
      <c r="N125" s="10">
        <v>0</v>
      </c>
      <c r="O125" s="10">
        <v>6</v>
      </c>
      <c r="P125" s="10">
        <v>116</v>
      </c>
      <c r="Q125" s="10">
        <v>122</v>
      </c>
      <c r="R125" s="10" t="str">
        <f>VLOOKUP(Cleaned_datasetB[[#This Row],[Weather_Code]],Lookup_Tables!$E$9:$F$13,2,FALSE)</f>
        <v>Cloudy</v>
      </c>
      <c r="S125" s="10" t="str">
        <f>INDEX(Lookup_Tables!$I$10:$I$16,MATCH(Cleaned_datasetB[[#This Row],[Day_Code]],Lookup_Tables!$H$10:$H$16,0))</f>
        <v>Thursday</v>
      </c>
      <c r="T125" s="10" t="str">
        <f>VLOOKUP(Cleaned_datasetB[[#This Row],[Month]], Lookup_Tables!$K$8:$L$19, 2, FALSE)</f>
        <v>January</v>
      </c>
      <c r="U125" s="10" t="str">
        <f>IF(AND(Cleaned_datasetB[[#This Row],[Day_Type]]="Weekday",Cleaned_datasetB[[#This Row],[Is_Holiday]]=FALSE),"Working Day","Non-Working Day")</f>
        <v>Working Day</v>
      </c>
    </row>
    <row r="126" spans="1:21">
      <c r="A126" s="10">
        <v>125</v>
      </c>
      <c r="B126" s="23">
        <v>40549</v>
      </c>
      <c r="C126" s="10">
        <v>1</v>
      </c>
      <c r="D126" s="10">
        <v>0</v>
      </c>
      <c r="E126" s="10">
        <v>1</v>
      </c>
      <c r="F126" s="10">
        <v>10</v>
      </c>
      <c r="G126" s="10" t="b">
        <v>0</v>
      </c>
      <c r="H126" s="10">
        <v>4</v>
      </c>
      <c r="I126" s="10" t="str">
        <f>IF(OR(Cleaned_datasetB[[#This Row],[Day_Code]]=0,Cleaned_datasetB[[#This Row],[Day_Code]]=6),"Weekend","Weekday")</f>
        <v>Weekday</v>
      </c>
      <c r="J126" s="10">
        <v>1</v>
      </c>
      <c r="K126" s="10">
        <v>0.2</v>
      </c>
      <c r="L126" s="51">
        <v>0.2576</v>
      </c>
      <c r="M126" s="10">
        <v>0.47</v>
      </c>
      <c r="N126" s="10">
        <v>0</v>
      </c>
      <c r="O126" s="10">
        <v>3</v>
      </c>
      <c r="P126" s="10">
        <v>42</v>
      </c>
      <c r="Q126" s="10">
        <v>45</v>
      </c>
      <c r="R126" s="10" t="str">
        <f>VLOOKUP(Cleaned_datasetB[[#This Row],[Weather_Code]],Lookup_Tables!$E$9:$F$13,2,FALSE)</f>
        <v>Clear</v>
      </c>
      <c r="S126" s="10" t="str">
        <f>INDEX(Lookup_Tables!$I$10:$I$16,MATCH(Cleaned_datasetB[[#This Row],[Day_Code]],Lookup_Tables!$H$10:$H$16,0))</f>
        <v>Thursday</v>
      </c>
      <c r="T126" s="10" t="str">
        <f>VLOOKUP(Cleaned_datasetB[[#This Row],[Month]], Lookup_Tables!$K$8:$L$19, 2, FALSE)</f>
        <v>January</v>
      </c>
      <c r="U126" s="10" t="str">
        <f>IF(AND(Cleaned_datasetB[[#This Row],[Day_Type]]="Weekday",Cleaned_datasetB[[#This Row],[Is_Holiday]]=FALSE),"Working Day","Non-Working Day")</f>
        <v>Working Day</v>
      </c>
    </row>
    <row r="127" spans="1:21">
      <c r="A127" s="10">
        <v>126</v>
      </c>
      <c r="B127" s="23">
        <v>40549</v>
      </c>
      <c r="C127" s="10">
        <v>1</v>
      </c>
      <c r="D127" s="10">
        <v>0</v>
      </c>
      <c r="E127" s="10">
        <v>1</v>
      </c>
      <c r="F127" s="10">
        <v>11</v>
      </c>
      <c r="G127" s="10" t="b">
        <v>0</v>
      </c>
      <c r="H127" s="10">
        <v>4</v>
      </c>
      <c r="I127" s="10" t="str">
        <f>IF(OR(Cleaned_datasetB[[#This Row],[Day_Code]]=0,Cleaned_datasetB[[#This Row],[Day_Code]]=6),"Weekend","Weekday")</f>
        <v>Weekday</v>
      </c>
      <c r="J127" s="10">
        <v>1</v>
      </c>
      <c r="K127" s="10">
        <v>0.22</v>
      </c>
      <c r="L127" s="51">
        <v>0.2576</v>
      </c>
      <c r="M127" s="10">
        <v>0.44</v>
      </c>
      <c r="N127" s="10">
        <v>8.9599999999999999E-2</v>
      </c>
      <c r="O127" s="10">
        <v>2</v>
      </c>
      <c r="P127" s="10">
        <v>57</v>
      </c>
      <c r="Q127" s="10">
        <v>59</v>
      </c>
      <c r="R127" s="10" t="str">
        <f>VLOOKUP(Cleaned_datasetB[[#This Row],[Weather_Code]],Lookup_Tables!$E$9:$F$13,2,FALSE)</f>
        <v>Clear</v>
      </c>
      <c r="S127" s="10" t="str">
        <f>INDEX(Lookup_Tables!$I$10:$I$16,MATCH(Cleaned_datasetB[[#This Row],[Day_Code]],Lookup_Tables!$H$10:$H$16,0))</f>
        <v>Thursday</v>
      </c>
      <c r="T127" s="10" t="str">
        <f>VLOOKUP(Cleaned_datasetB[[#This Row],[Month]], Lookup_Tables!$K$8:$L$19, 2, FALSE)</f>
        <v>January</v>
      </c>
      <c r="U127" s="10" t="str">
        <f>IF(AND(Cleaned_datasetB[[#This Row],[Day_Type]]="Weekday",Cleaned_datasetB[[#This Row],[Is_Holiday]]=FALSE),"Working Day","Non-Working Day")</f>
        <v>Working Day</v>
      </c>
    </row>
    <row r="128" spans="1:21">
      <c r="A128" s="10">
        <v>127</v>
      </c>
      <c r="B128" s="23">
        <v>40549</v>
      </c>
      <c r="C128" s="10">
        <v>1</v>
      </c>
      <c r="D128" s="10">
        <v>0</v>
      </c>
      <c r="E128" s="10">
        <v>1</v>
      </c>
      <c r="F128" s="10">
        <v>12</v>
      </c>
      <c r="G128" s="10" t="b">
        <v>0</v>
      </c>
      <c r="H128" s="10">
        <v>4</v>
      </c>
      <c r="I128" s="10" t="str">
        <f>IF(OR(Cleaned_datasetB[[#This Row],[Day_Code]]=0,Cleaned_datasetB[[#This Row],[Day_Code]]=6),"Weekend","Weekday")</f>
        <v>Weekday</v>
      </c>
      <c r="J128" s="10">
        <v>1</v>
      </c>
      <c r="K128" s="10">
        <v>0.26</v>
      </c>
      <c r="L128" s="51">
        <v>0.28789999999999999</v>
      </c>
      <c r="M128" s="10">
        <v>0.35</v>
      </c>
      <c r="N128" s="10">
        <v>0</v>
      </c>
      <c r="O128" s="10">
        <v>6</v>
      </c>
      <c r="P128" s="10">
        <v>78</v>
      </c>
      <c r="Q128" s="10">
        <v>84</v>
      </c>
      <c r="R128" s="10" t="str">
        <f>VLOOKUP(Cleaned_datasetB[[#This Row],[Weather_Code]],Lookup_Tables!$E$9:$F$13,2,FALSE)</f>
        <v>Clear</v>
      </c>
      <c r="S128" s="10" t="str">
        <f>INDEX(Lookup_Tables!$I$10:$I$16,MATCH(Cleaned_datasetB[[#This Row],[Day_Code]],Lookup_Tables!$H$10:$H$16,0))</f>
        <v>Thursday</v>
      </c>
      <c r="T128" s="10" t="str">
        <f>VLOOKUP(Cleaned_datasetB[[#This Row],[Month]], Lookup_Tables!$K$8:$L$19, 2, FALSE)</f>
        <v>January</v>
      </c>
      <c r="U128" s="10" t="str">
        <f>IF(AND(Cleaned_datasetB[[#This Row],[Day_Type]]="Weekday",Cleaned_datasetB[[#This Row],[Is_Holiday]]=FALSE),"Working Day","Non-Working Day")</f>
        <v>Working Day</v>
      </c>
    </row>
    <row r="129" spans="1:21">
      <c r="A129" s="10">
        <v>128</v>
      </c>
      <c r="B129" s="23">
        <v>40549</v>
      </c>
      <c r="C129" s="10">
        <v>1</v>
      </c>
      <c r="D129" s="10">
        <v>0</v>
      </c>
      <c r="E129" s="10">
        <v>1</v>
      </c>
      <c r="F129" s="10">
        <v>13</v>
      </c>
      <c r="G129" s="10" t="b">
        <v>0</v>
      </c>
      <c r="H129" s="10">
        <v>4</v>
      </c>
      <c r="I129" s="10" t="str">
        <f>IF(OR(Cleaned_datasetB[[#This Row],[Day_Code]]=0,Cleaned_datasetB[[#This Row],[Day_Code]]=6),"Weekend","Weekday")</f>
        <v>Weekday</v>
      </c>
      <c r="J129" s="10">
        <v>1</v>
      </c>
      <c r="K129" s="10">
        <v>0.26</v>
      </c>
      <c r="L129" s="51">
        <v>0.2727</v>
      </c>
      <c r="M129" s="10">
        <v>0.35</v>
      </c>
      <c r="N129" s="10">
        <v>0.1045</v>
      </c>
      <c r="O129" s="10">
        <v>12</v>
      </c>
      <c r="P129" s="10">
        <v>55</v>
      </c>
      <c r="Q129" s="10">
        <v>67</v>
      </c>
      <c r="R129" s="10" t="str">
        <f>VLOOKUP(Cleaned_datasetB[[#This Row],[Weather_Code]],Lookup_Tables!$E$9:$F$13,2,FALSE)</f>
        <v>Clear</v>
      </c>
      <c r="S129" s="10" t="str">
        <f>INDEX(Lookup_Tables!$I$10:$I$16,MATCH(Cleaned_datasetB[[#This Row],[Day_Code]],Lookup_Tables!$H$10:$H$16,0))</f>
        <v>Thursday</v>
      </c>
      <c r="T129" s="10" t="str">
        <f>VLOOKUP(Cleaned_datasetB[[#This Row],[Month]], Lookup_Tables!$K$8:$L$19, 2, FALSE)</f>
        <v>January</v>
      </c>
      <c r="U129" s="10" t="str">
        <f>IF(AND(Cleaned_datasetB[[#This Row],[Day_Type]]="Weekday",Cleaned_datasetB[[#This Row],[Is_Holiday]]=FALSE),"Working Day","Non-Working Day")</f>
        <v>Working Day</v>
      </c>
    </row>
    <row r="130" spans="1:21">
      <c r="A130" s="10">
        <v>129</v>
      </c>
      <c r="B130" s="23">
        <v>40549</v>
      </c>
      <c r="C130" s="10">
        <v>1</v>
      </c>
      <c r="D130" s="10">
        <v>0</v>
      </c>
      <c r="E130" s="10">
        <v>1</v>
      </c>
      <c r="F130" s="10">
        <v>14</v>
      </c>
      <c r="G130" s="10" t="b">
        <v>0</v>
      </c>
      <c r="H130" s="10">
        <v>4</v>
      </c>
      <c r="I130" s="10" t="str">
        <f>IF(OR(Cleaned_datasetB[[#This Row],[Day_Code]]=0,Cleaned_datasetB[[#This Row],[Day_Code]]=6),"Weekend","Weekday")</f>
        <v>Weekday</v>
      </c>
      <c r="J130" s="10">
        <v>1</v>
      </c>
      <c r="K130" s="10">
        <v>0.28000000000000003</v>
      </c>
      <c r="L130" s="51">
        <v>0.2727</v>
      </c>
      <c r="M130" s="10">
        <v>0.36</v>
      </c>
      <c r="N130" s="10">
        <v>0.16420000000000001</v>
      </c>
      <c r="O130" s="10">
        <v>11</v>
      </c>
      <c r="P130" s="10">
        <v>59</v>
      </c>
      <c r="Q130" s="10">
        <v>70</v>
      </c>
      <c r="R130" s="10" t="str">
        <f>VLOOKUP(Cleaned_datasetB[[#This Row],[Weather_Code]],Lookup_Tables!$E$9:$F$13,2,FALSE)</f>
        <v>Clear</v>
      </c>
      <c r="S130" s="10" t="str">
        <f>INDEX(Lookup_Tables!$I$10:$I$16,MATCH(Cleaned_datasetB[[#This Row],[Day_Code]],Lookup_Tables!$H$10:$H$16,0))</f>
        <v>Thursday</v>
      </c>
      <c r="T130" s="10" t="str">
        <f>VLOOKUP(Cleaned_datasetB[[#This Row],[Month]], Lookup_Tables!$K$8:$L$19, 2, FALSE)</f>
        <v>January</v>
      </c>
      <c r="U130" s="10" t="str">
        <f>IF(AND(Cleaned_datasetB[[#This Row],[Day_Type]]="Weekday",Cleaned_datasetB[[#This Row],[Is_Holiday]]=FALSE),"Working Day","Non-Working Day")</f>
        <v>Working Day</v>
      </c>
    </row>
    <row r="131" spans="1:21">
      <c r="A131" s="10">
        <v>130</v>
      </c>
      <c r="B131" s="23">
        <v>40549</v>
      </c>
      <c r="C131" s="10">
        <v>1</v>
      </c>
      <c r="D131" s="10">
        <v>0</v>
      </c>
      <c r="E131" s="10">
        <v>1</v>
      </c>
      <c r="F131" s="10">
        <v>15</v>
      </c>
      <c r="G131" s="10" t="b">
        <v>0</v>
      </c>
      <c r="H131" s="10">
        <v>4</v>
      </c>
      <c r="I131" s="10" t="str">
        <f>IF(OR(Cleaned_datasetB[[#This Row],[Day_Code]]=0,Cleaned_datasetB[[#This Row],[Day_Code]]=6),"Weekend","Weekday")</f>
        <v>Weekday</v>
      </c>
      <c r="J131" s="10">
        <v>1</v>
      </c>
      <c r="K131" s="10">
        <v>0.28000000000000003</v>
      </c>
      <c r="L131" s="51">
        <v>0.2727</v>
      </c>
      <c r="M131" s="10">
        <v>0.36</v>
      </c>
      <c r="N131" s="10">
        <v>0</v>
      </c>
      <c r="O131" s="10">
        <v>8</v>
      </c>
      <c r="P131" s="10">
        <v>54</v>
      </c>
      <c r="Q131" s="10">
        <v>62</v>
      </c>
      <c r="R131" s="10" t="str">
        <f>VLOOKUP(Cleaned_datasetB[[#This Row],[Weather_Code]],Lookup_Tables!$E$9:$F$13,2,FALSE)</f>
        <v>Clear</v>
      </c>
      <c r="S131" s="10" t="str">
        <f>INDEX(Lookup_Tables!$I$10:$I$16,MATCH(Cleaned_datasetB[[#This Row],[Day_Code]],Lookup_Tables!$H$10:$H$16,0))</f>
        <v>Thursday</v>
      </c>
      <c r="T131" s="10" t="str">
        <f>VLOOKUP(Cleaned_datasetB[[#This Row],[Month]], Lookup_Tables!$K$8:$L$19, 2, FALSE)</f>
        <v>January</v>
      </c>
      <c r="U131" s="10" t="str">
        <f>IF(AND(Cleaned_datasetB[[#This Row],[Day_Type]]="Weekday",Cleaned_datasetB[[#This Row],[Is_Holiday]]=FALSE),"Working Day","Non-Working Day")</f>
        <v>Working Day</v>
      </c>
    </row>
    <row r="132" spans="1:21">
      <c r="A132" s="10">
        <v>131</v>
      </c>
      <c r="B132" s="23">
        <v>40549</v>
      </c>
      <c r="C132" s="10">
        <v>1</v>
      </c>
      <c r="D132" s="10">
        <v>0</v>
      </c>
      <c r="E132" s="10">
        <v>1</v>
      </c>
      <c r="F132" s="10">
        <v>16</v>
      </c>
      <c r="G132" s="10" t="b">
        <v>0</v>
      </c>
      <c r="H132" s="10">
        <v>4</v>
      </c>
      <c r="I132" s="10" t="str">
        <f>IF(OR(Cleaned_datasetB[[#This Row],[Day_Code]]=0,Cleaned_datasetB[[#This Row],[Day_Code]]=6),"Weekend","Weekday")</f>
        <v>Weekday</v>
      </c>
      <c r="J132" s="10">
        <v>1</v>
      </c>
      <c r="K132" s="10">
        <v>0.26</v>
      </c>
      <c r="L132" s="51">
        <v>0.2576</v>
      </c>
      <c r="M132" s="10">
        <v>0.38</v>
      </c>
      <c r="N132" s="10">
        <v>0.16420000000000001</v>
      </c>
      <c r="O132" s="10">
        <v>12</v>
      </c>
      <c r="P132" s="10">
        <v>74</v>
      </c>
      <c r="Q132" s="10">
        <v>86</v>
      </c>
      <c r="R132" s="10" t="str">
        <f>VLOOKUP(Cleaned_datasetB[[#This Row],[Weather_Code]],Lookup_Tables!$E$9:$F$13,2,FALSE)</f>
        <v>Clear</v>
      </c>
      <c r="S132" s="10" t="str">
        <f>INDEX(Lookup_Tables!$I$10:$I$16,MATCH(Cleaned_datasetB[[#This Row],[Day_Code]],Lookup_Tables!$H$10:$H$16,0))</f>
        <v>Thursday</v>
      </c>
      <c r="T132" s="10" t="str">
        <f>VLOOKUP(Cleaned_datasetB[[#This Row],[Month]], Lookup_Tables!$K$8:$L$19, 2, FALSE)</f>
        <v>January</v>
      </c>
      <c r="U132" s="10" t="str">
        <f>IF(AND(Cleaned_datasetB[[#This Row],[Day_Type]]="Weekday",Cleaned_datasetB[[#This Row],[Is_Holiday]]=FALSE),"Working Day","Non-Working Day")</f>
        <v>Working Day</v>
      </c>
    </row>
    <row r="133" spans="1:21">
      <c r="A133" s="10">
        <v>132</v>
      </c>
      <c r="B133" s="23">
        <v>40549</v>
      </c>
      <c r="C133" s="10">
        <v>1</v>
      </c>
      <c r="D133" s="10">
        <v>0</v>
      </c>
      <c r="E133" s="10">
        <v>1</v>
      </c>
      <c r="F133" s="10">
        <v>17</v>
      </c>
      <c r="G133" s="10" t="b">
        <v>0</v>
      </c>
      <c r="H133" s="10">
        <v>4</v>
      </c>
      <c r="I133" s="10" t="str">
        <f>IF(OR(Cleaned_datasetB[[#This Row],[Day_Code]]=0,Cleaned_datasetB[[#This Row],[Day_Code]]=6),"Weekend","Weekday")</f>
        <v>Weekday</v>
      </c>
      <c r="J133" s="10">
        <v>1</v>
      </c>
      <c r="K133" s="10">
        <v>0.22</v>
      </c>
      <c r="L133" s="51">
        <v>0.2273</v>
      </c>
      <c r="M133" s="10">
        <v>0.51</v>
      </c>
      <c r="N133" s="10">
        <v>0.16420000000000001</v>
      </c>
      <c r="O133" s="10">
        <v>9</v>
      </c>
      <c r="P133" s="10">
        <v>163</v>
      </c>
      <c r="Q133" s="10">
        <v>172</v>
      </c>
      <c r="R133" s="10" t="str">
        <f>VLOOKUP(Cleaned_datasetB[[#This Row],[Weather_Code]],Lookup_Tables!$E$9:$F$13,2,FALSE)</f>
        <v>Clear</v>
      </c>
      <c r="S133" s="10" t="str">
        <f>INDEX(Lookup_Tables!$I$10:$I$16,MATCH(Cleaned_datasetB[[#This Row],[Day_Code]],Lookup_Tables!$H$10:$H$16,0))</f>
        <v>Thursday</v>
      </c>
      <c r="T133" s="10" t="str">
        <f>VLOOKUP(Cleaned_datasetB[[#This Row],[Month]], Lookup_Tables!$K$8:$L$19, 2, FALSE)</f>
        <v>January</v>
      </c>
      <c r="U133" s="10" t="str">
        <f>IF(AND(Cleaned_datasetB[[#This Row],[Day_Type]]="Weekday",Cleaned_datasetB[[#This Row],[Is_Holiday]]=FALSE),"Working Day","Non-Working Day")</f>
        <v>Working Day</v>
      </c>
    </row>
    <row r="134" spans="1:21">
      <c r="A134" s="10">
        <v>133</v>
      </c>
      <c r="B134" s="23">
        <v>40549</v>
      </c>
      <c r="C134" s="10">
        <v>1</v>
      </c>
      <c r="D134" s="10">
        <v>0</v>
      </c>
      <c r="E134" s="10">
        <v>1</v>
      </c>
      <c r="F134" s="10">
        <v>18</v>
      </c>
      <c r="G134" s="10" t="b">
        <v>0</v>
      </c>
      <c r="H134" s="10">
        <v>4</v>
      </c>
      <c r="I134" s="10" t="str">
        <f>IF(OR(Cleaned_datasetB[[#This Row],[Day_Code]]=0,Cleaned_datasetB[[#This Row],[Day_Code]]=6),"Weekend","Weekday")</f>
        <v>Weekday</v>
      </c>
      <c r="J134" s="10">
        <v>1</v>
      </c>
      <c r="K134" s="10">
        <v>0.22</v>
      </c>
      <c r="L134" s="51">
        <v>0.2273</v>
      </c>
      <c r="M134" s="10">
        <v>0.51</v>
      </c>
      <c r="N134" s="10">
        <v>0.1343</v>
      </c>
      <c r="O134" s="10">
        <v>5</v>
      </c>
      <c r="P134" s="10">
        <v>158</v>
      </c>
      <c r="Q134" s="10">
        <v>163</v>
      </c>
      <c r="R134" s="10" t="str">
        <f>VLOOKUP(Cleaned_datasetB[[#This Row],[Weather_Code]],Lookup_Tables!$E$9:$F$13,2,FALSE)</f>
        <v>Clear</v>
      </c>
      <c r="S134" s="10" t="str">
        <f>INDEX(Lookup_Tables!$I$10:$I$16,MATCH(Cleaned_datasetB[[#This Row],[Day_Code]],Lookup_Tables!$H$10:$H$16,0))</f>
        <v>Thursday</v>
      </c>
      <c r="T134" s="10" t="str">
        <f>VLOOKUP(Cleaned_datasetB[[#This Row],[Month]], Lookup_Tables!$K$8:$L$19, 2, FALSE)</f>
        <v>January</v>
      </c>
      <c r="U134" s="10" t="str">
        <f>IF(AND(Cleaned_datasetB[[#This Row],[Day_Type]]="Weekday",Cleaned_datasetB[[#This Row],[Is_Holiday]]=FALSE),"Working Day","Non-Working Day")</f>
        <v>Working Day</v>
      </c>
    </row>
    <row r="135" spans="1:21">
      <c r="A135" s="10">
        <v>134</v>
      </c>
      <c r="B135" s="23">
        <v>40549</v>
      </c>
      <c r="C135" s="10">
        <v>1</v>
      </c>
      <c r="D135" s="10">
        <v>0</v>
      </c>
      <c r="E135" s="10">
        <v>1</v>
      </c>
      <c r="F135" s="10">
        <v>19</v>
      </c>
      <c r="G135" s="10" t="b">
        <v>0</v>
      </c>
      <c r="H135" s="10">
        <v>4</v>
      </c>
      <c r="I135" s="10" t="str">
        <f>IF(OR(Cleaned_datasetB[[#This Row],[Day_Code]]=0,Cleaned_datasetB[[#This Row],[Day_Code]]=6),"Weekend","Weekday")</f>
        <v>Weekday</v>
      </c>
      <c r="J135" s="10">
        <v>1</v>
      </c>
      <c r="K135" s="10">
        <v>0.22</v>
      </c>
      <c r="L135" s="51">
        <v>0.2576</v>
      </c>
      <c r="M135" s="10">
        <v>0.55000000000000004</v>
      </c>
      <c r="N135" s="10">
        <v>8.9599999999999999E-2</v>
      </c>
      <c r="O135" s="10">
        <v>3</v>
      </c>
      <c r="P135" s="10">
        <v>109</v>
      </c>
      <c r="Q135" s="10">
        <v>112</v>
      </c>
      <c r="R135" s="10" t="str">
        <f>VLOOKUP(Cleaned_datasetB[[#This Row],[Weather_Code]],Lookup_Tables!$E$9:$F$13,2,FALSE)</f>
        <v>Clear</v>
      </c>
      <c r="S135" s="10" t="str">
        <f>INDEX(Lookup_Tables!$I$10:$I$16,MATCH(Cleaned_datasetB[[#This Row],[Day_Code]],Lookup_Tables!$H$10:$H$16,0))</f>
        <v>Thursday</v>
      </c>
      <c r="T135" s="10" t="str">
        <f>VLOOKUP(Cleaned_datasetB[[#This Row],[Month]], Lookup_Tables!$K$8:$L$19, 2, FALSE)</f>
        <v>January</v>
      </c>
      <c r="U135" s="10" t="str">
        <f>IF(AND(Cleaned_datasetB[[#This Row],[Day_Type]]="Weekday",Cleaned_datasetB[[#This Row],[Is_Holiday]]=FALSE),"Working Day","Non-Working Day")</f>
        <v>Working Day</v>
      </c>
    </row>
    <row r="136" spans="1:21">
      <c r="A136" s="10">
        <v>135</v>
      </c>
      <c r="B136" s="23">
        <v>40549</v>
      </c>
      <c r="C136" s="10">
        <v>1</v>
      </c>
      <c r="D136" s="10">
        <v>0</v>
      </c>
      <c r="E136" s="10">
        <v>1</v>
      </c>
      <c r="F136" s="10">
        <v>20</v>
      </c>
      <c r="G136" s="10" t="b">
        <v>0</v>
      </c>
      <c r="H136" s="10">
        <v>4</v>
      </c>
      <c r="I136" s="10" t="str">
        <f>IF(OR(Cleaned_datasetB[[#This Row],[Day_Code]]=0,Cleaned_datasetB[[#This Row],[Day_Code]]=6),"Weekend","Weekday")</f>
        <v>Weekday</v>
      </c>
      <c r="J136" s="10">
        <v>1</v>
      </c>
      <c r="K136" s="10">
        <v>0.2</v>
      </c>
      <c r="L136" s="51">
        <v>0.21210000000000001</v>
      </c>
      <c r="M136" s="10">
        <v>0.51</v>
      </c>
      <c r="N136" s="10">
        <v>0.16420000000000001</v>
      </c>
      <c r="O136" s="10">
        <v>3</v>
      </c>
      <c r="P136" s="10">
        <v>66</v>
      </c>
      <c r="Q136" s="10">
        <v>69</v>
      </c>
      <c r="R136" s="10" t="str">
        <f>VLOOKUP(Cleaned_datasetB[[#This Row],[Weather_Code]],Lookup_Tables!$E$9:$F$13,2,FALSE)</f>
        <v>Clear</v>
      </c>
      <c r="S136" s="10" t="str">
        <f>INDEX(Lookup_Tables!$I$10:$I$16,MATCH(Cleaned_datasetB[[#This Row],[Day_Code]],Lookup_Tables!$H$10:$H$16,0))</f>
        <v>Thursday</v>
      </c>
      <c r="T136" s="10" t="str">
        <f>VLOOKUP(Cleaned_datasetB[[#This Row],[Month]], Lookup_Tables!$K$8:$L$19, 2, FALSE)</f>
        <v>January</v>
      </c>
      <c r="U136" s="10" t="str">
        <f>IF(AND(Cleaned_datasetB[[#This Row],[Day_Type]]="Weekday",Cleaned_datasetB[[#This Row],[Is_Holiday]]=FALSE),"Working Day","Non-Working Day")</f>
        <v>Working Day</v>
      </c>
    </row>
    <row r="137" spans="1:21">
      <c r="A137" s="10">
        <v>136</v>
      </c>
      <c r="B137" s="23">
        <v>40549</v>
      </c>
      <c r="C137" s="10">
        <v>1</v>
      </c>
      <c r="D137" s="10">
        <v>0</v>
      </c>
      <c r="E137" s="10">
        <v>1</v>
      </c>
      <c r="F137" s="10">
        <v>21</v>
      </c>
      <c r="G137" s="10" t="b">
        <v>0</v>
      </c>
      <c r="H137" s="10">
        <v>4</v>
      </c>
      <c r="I137" s="10" t="str">
        <f>IF(OR(Cleaned_datasetB[[#This Row],[Day_Code]]=0,Cleaned_datasetB[[#This Row],[Day_Code]]=6),"Weekend","Weekday")</f>
        <v>Weekday</v>
      </c>
      <c r="J137" s="10">
        <v>2</v>
      </c>
      <c r="K137" s="10">
        <v>0.22</v>
      </c>
      <c r="L137" s="51">
        <v>0.21210000000000001</v>
      </c>
      <c r="M137" s="10">
        <v>0.55000000000000004</v>
      </c>
      <c r="N137" s="10">
        <v>0.22389999999999999</v>
      </c>
      <c r="O137" s="10">
        <v>0</v>
      </c>
      <c r="P137" s="10">
        <v>48</v>
      </c>
      <c r="Q137" s="10">
        <v>48</v>
      </c>
      <c r="R137" s="10" t="str">
        <f>VLOOKUP(Cleaned_datasetB[[#This Row],[Weather_Code]],Lookup_Tables!$E$9:$F$13,2,FALSE)</f>
        <v>Cloudy</v>
      </c>
      <c r="S137" s="10" t="str">
        <f>INDEX(Lookup_Tables!$I$10:$I$16,MATCH(Cleaned_datasetB[[#This Row],[Day_Code]],Lookup_Tables!$H$10:$H$16,0))</f>
        <v>Thursday</v>
      </c>
      <c r="T137" s="10" t="str">
        <f>VLOOKUP(Cleaned_datasetB[[#This Row],[Month]], Lookup_Tables!$K$8:$L$19, 2, FALSE)</f>
        <v>January</v>
      </c>
      <c r="U137" s="10" t="str">
        <f>IF(AND(Cleaned_datasetB[[#This Row],[Day_Type]]="Weekday",Cleaned_datasetB[[#This Row],[Is_Holiday]]=FALSE),"Working Day","Non-Working Day")</f>
        <v>Working Day</v>
      </c>
    </row>
    <row r="138" spans="1:21">
      <c r="A138" s="10">
        <v>137</v>
      </c>
      <c r="B138" s="23">
        <v>40549</v>
      </c>
      <c r="C138" s="10">
        <v>1</v>
      </c>
      <c r="D138" s="10">
        <v>0</v>
      </c>
      <c r="E138" s="10">
        <v>1</v>
      </c>
      <c r="F138" s="10">
        <v>22</v>
      </c>
      <c r="G138" s="10" t="b">
        <v>0</v>
      </c>
      <c r="H138" s="10">
        <v>4</v>
      </c>
      <c r="I138" s="10" t="str">
        <f>IF(OR(Cleaned_datasetB[[#This Row],[Day_Code]]=0,Cleaned_datasetB[[#This Row],[Day_Code]]=6),"Weekend","Weekday")</f>
        <v>Weekday</v>
      </c>
      <c r="J138" s="10">
        <v>2</v>
      </c>
      <c r="K138" s="10">
        <v>0.22</v>
      </c>
      <c r="L138" s="51">
        <v>0.21210000000000001</v>
      </c>
      <c r="M138" s="10">
        <v>0.51</v>
      </c>
      <c r="N138" s="10">
        <v>0.28360000000000002</v>
      </c>
      <c r="O138" s="10">
        <v>1</v>
      </c>
      <c r="P138" s="10">
        <v>51</v>
      </c>
      <c r="Q138" s="10">
        <v>52</v>
      </c>
      <c r="R138" s="10" t="str">
        <f>VLOOKUP(Cleaned_datasetB[[#This Row],[Weather_Code]],Lookup_Tables!$E$9:$F$13,2,FALSE)</f>
        <v>Cloudy</v>
      </c>
      <c r="S138" s="10" t="str">
        <f>INDEX(Lookup_Tables!$I$10:$I$16,MATCH(Cleaned_datasetB[[#This Row],[Day_Code]],Lookup_Tables!$H$10:$H$16,0))</f>
        <v>Thursday</v>
      </c>
      <c r="T138" s="10" t="str">
        <f>VLOOKUP(Cleaned_datasetB[[#This Row],[Month]], Lookup_Tables!$K$8:$L$19, 2, FALSE)</f>
        <v>January</v>
      </c>
      <c r="U138" s="10" t="str">
        <f>IF(AND(Cleaned_datasetB[[#This Row],[Day_Type]]="Weekday",Cleaned_datasetB[[#This Row],[Is_Holiday]]=FALSE),"Working Day","Non-Working Day")</f>
        <v>Working Day</v>
      </c>
    </row>
    <row r="139" spans="1:21">
      <c r="A139" s="10">
        <v>138</v>
      </c>
      <c r="B139" s="23">
        <v>40549</v>
      </c>
      <c r="C139" s="10">
        <v>1</v>
      </c>
      <c r="D139" s="10">
        <v>0</v>
      </c>
      <c r="E139" s="10">
        <v>1</v>
      </c>
      <c r="F139" s="10">
        <v>23</v>
      </c>
      <c r="G139" s="10" t="b">
        <v>0</v>
      </c>
      <c r="H139" s="10">
        <v>4</v>
      </c>
      <c r="I139" s="10" t="str">
        <f>IF(OR(Cleaned_datasetB[[#This Row],[Day_Code]]=0,Cleaned_datasetB[[#This Row],[Day_Code]]=6),"Weekend","Weekday")</f>
        <v>Weekday</v>
      </c>
      <c r="J139" s="10">
        <v>2</v>
      </c>
      <c r="K139" s="10">
        <v>0.2</v>
      </c>
      <c r="L139" s="51">
        <v>0.19700000000000001</v>
      </c>
      <c r="M139" s="10">
        <v>0.59</v>
      </c>
      <c r="N139" s="10">
        <v>0.19400000000000001</v>
      </c>
      <c r="O139" s="10">
        <v>4</v>
      </c>
      <c r="P139" s="10">
        <v>19</v>
      </c>
      <c r="Q139" s="10">
        <v>23</v>
      </c>
      <c r="R139" s="10" t="str">
        <f>VLOOKUP(Cleaned_datasetB[[#This Row],[Weather_Code]],Lookup_Tables!$E$9:$F$13,2,FALSE)</f>
        <v>Cloudy</v>
      </c>
      <c r="S139" s="10" t="str">
        <f>INDEX(Lookup_Tables!$I$10:$I$16,MATCH(Cleaned_datasetB[[#This Row],[Day_Code]],Lookup_Tables!$H$10:$H$16,0))</f>
        <v>Thursday</v>
      </c>
      <c r="T139" s="10" t="str">
        <f>VLOOKUP(Cleaned_datasetB[[#This Row],[Month]], Lookup_Tables!$K$8:$L$19, 2, FALSE)</f>
        <v>January</v>
      </c>
      <c r="U139" s="10" t="str">
        <f>IF(AND(Cleaned_datasetB[[#This Row],[Day_Type]]="Weekday",Cleaned_datasetB[[#This Row],[Is_Holiday]]=FALSE),"Working Day","Non-Working Day")</f>
        <v>Working Day</v>
      </c>
    </row>
    <row r="140" spans="1:21">
      <c r="A140" s="10">
        <v>139</v>
      </c>
      <c r="B140" s="23">
        <v>40550</v>
      </c>
      <c r="C140" s="10">
        <v>1</v>
      </c>
      <c r="D140" s="10">
        <v>0</v>
      </c>
      <c r="E140" s="10">
        <v>1</v>
      </c>
      <c r="F140" s="10">
        <v>0</v>
      </c>
      <c r="G140" s="10" t="b">
        <v>0</v>
      </c>
      <c r="H140" s="10">
        <v>5</v>
      </c>
      <c r="I140" s="10" t="str">
        <f>IF(OR(Cleaned_datasetB[[#This Row],[Day_Code]]=0,Cleaned_datasetB[[#This Row],[Day_Code]]=6),"Weekend","Weekday")</f>
        <v>Weekday</v>
      </c>
      <c r="J140" s="10">
        <v>2</v>
      </c>
      <c r="K140" s="10">
        <v>0.2</v>
      </c>
      <c r="L140" s="51">
        <v>0.19700000000000001</v>
      </c>
      <c r="M140" s="10">
        <v>0.64</v>
      </c>
      <c r="N140" s="10">
        <v>0.19400000000000001</v>
      </c>
      <c r="O140" s="10">
        <v>4</v>
      </c>
      <c r="P140" s="10">
        <v>13</v>
      </c>
      <c r="Q140" s="10">
        <v>17</v>
      </c>
      <c r="R140" s="10" t="str">
        <f>VLOOKUP(Cleaned_datasetB[[#This Row],[Weather_Code]],Lookup_Tables!$E$9:$F$13,2,FALSE)</f>
        <v>Cloudy</v>
      </c>
      <c r="S140" s="10" t="str">
        <f>INDEX(Lookup_Tables!$I$10:$I$16,MATCH(Cleaned_datasetB[[#This Row],[Day_Code]],Lookup_Tables!$H$10:$H$16,0))</f>
        <v>Friday</v>
      </c>
      <c r="T140" s="10" t="str">
        <f>VLOOKUP(Cleaned_datasetB[[#This Row],[Month]], Lookup_Tables!$K$8:$L$19, 2, FALSE)</f>
        <v>January</v>
      </c>
      <c r="U140" s="10" t="str">
        <f>IF(AND(Cleaned_datasetB[[#This Row],[Day_Type]]="Weekday",Cleaned_datasetB[[#This Row],[Is_Holiday]]=FALSE),"Working Day","Non-Working Day")</f>
        <v>Working Day</v>
      </c>
    </row>
    <row r="141" spans="1:21">
      <c r="A141" s="10">
        <v>140</v>
      </c>
      <c r="B141" s="23">
        <v>40550</v>
      </c>
      <c r="C141" s="10">
        <v>1</v>
      </c>
      <c r="D141" s="10">
        <v>0</v>
      </c>
      <c r="E141" s="10">
        <v>1</v>
      </c>
      <c r="F141" s="10">
        <v>1</v>
      </c>
      <c r="G141" s="10" t="b">
        <v>0</v>
      </c>
      <c r="H141" s="10">
        <v>5</v>
      </c>
      <c r="I141" s="10" t="str">
        <f>IF(OR(Cleaned_datasetB[[#This Row],[Day_Code]]=0,Cleaned_datasetB[[#This Row],[Day_Code]]=6),"Weekend","Weekday")</f>
        <v>Weekday</v>
      </c>
      <c r="J141" s="10">
        <v>2</v>
      </c>
      <c r="K141" s="10">
        <v>0.2</v>
      </c>
      <c r="L141" s="51">
        <v>0.19700000000000001</v>
      </c>
      <c r="M141" s="10">
        <v>0.69</v>
      </c>
      <c r="N141" s="10">
        <v>0.22389999999999999</v>
      </c>
      <c r="O141" s="10">
        <v>2</v>
      </c>
      <c r="P141" s="10">
        <v>5</v>
      </c>
      <c r="Q141" s="10">
        <v>7</v>
      </c>
      <c r="R141" s="10" t="str">
        <f>VLOOKUP(Cleaned_datasetB[[#This Row],[Weather_Code]],Lookup_Tables!$E$9:$F$13,2,FALSE)</f>
        <v>Cloudy</v>
      </c>
      <c r="S141" s="10" t="str">
        <f>INDEX(Lookup_Tables!$I$10:$I$16,MATCH(Cleaned_datasetB[[#This Row],[Day_Code]],Lookup_Tables!$H$10:$H$16,0))</f>
        <v>Friday</v>
      </c>
      <c r="T141" s="10" t="str">
        <f>VLOOKUP(Cleaned_datasetB[[#This Row],[Month]], Lookup_Tables!$K$8:$L$19, 2, FALSE)</f>
        <v>January</v>
      </c>
      <c r="U141" s="10" t="str">
        <f>IF(AND(Cleaned_datasetB[[#This Row],[Day_Type]]="Weekday",Cleaned_datasetB[[#This Row],[Is_Holiday]]=FALSE),"Working Day","Non-Working Day")</f>
        <v>Working Day</v>
      </c>
    </row>
    <row r="142" spans="1:21">
      <c r="A142" s="10">
        <v>141</v>
      </c>
      <c r="B142" s="23">
        <v>40550</v>
      </c>
      <c r="C142" s="10">
        <v>1</v>
      </c>
      <c r="D142" s="10">
        <v>0</v>
      </c>
      <c r="E142" s="10">
        <v>1</v>
      </c>
      <c r="F142" s="10">
        <v>2</v>
      </c>
      <c r="G142" s="10" t="b">
        <v>0</v>
      </c>
      <c r="H142" s="10">
        <v>5</v>
      </c>
      <c r="I142" s="10" t="str">
        <f>IF(OR(Cleaned_datasetB[[#This Row],[Day_Code]]=0,Cleaned_datasetB[[#This Row],[Day_Code]]=6),"Weekend","Weekday")</f>
        <v>Weekday</v>
      </c>
      <c r="J142" s="10">
        <v>2</v>
      </c>
      <c r="K142" s="10">
        <v>0.2</v>
      </c>
      <c r="L142" s="51">
        <v>0.19700000000000001</v>
      </c>
      <c r="M142" s="10">
        <v>0.69</v>
      </c>
      <c r="N142" s="10">
        <v>0.22389999999999999</v>
      </c>
      <c r="O142" s="10">
        <v>0</v>
      </c>
      <c r="P142" s="10">
        <v>1</v>
      </c>
      <c r="Q142" s="10">
        <v>1</v>
      </c>
      <c r="R142" s="10" t="str">
        <f>VLOOKUP(Cleaned_datasetB[[#This Row],[Weather_Code]],Lookup_Tables!$E$9:$F$13,2,FALSE)</f>
        <v>Cloudy</v>
      </c>
      <c r="S142" s="10" t="str">
        <f>INDEX(Lookup_Tables!$I$10:$I$16,MATCH(Cleaned_datasetB[[#This Row],[Day_Code]],Lookup_Tables!$H$10:$H$16,0))</f>
        <v>Friday</v>
      </c>
      <c r="T142" s="10" t="str">
        <f>VLOOKUP(Cleaned_datasetB[[#This Row],[Month]], Lookup_Tables!$K$8:$L$19, 2, FALSE)</f>
        <v>January</v>
      </c>
      <c r="U142" s="10" t="str">
        <f>IF(AND(Cleaned_datasetB[[#This Row],[Day_Type]]="Weekday",Cleaned_datasetB[[#This Row],[Is_Holiday]]=FALSE),"Working Day","Non-Working Day")</f>
        <v>Working Day</v>
      </c>
    </row>
    <row r="143" spans="1:21">
      <c r="A143" s="10">
        <v>142</v>
      </c>
      <c r="B143" s="23">
        <v>40550</v>
      </c>
      <c r="C143" s="10">
        <v>1</v>
      </c>
      <c r="D143" s="10">
        <v>0</v>
      </c>
      <c r="E143" s="10">
        <v>1</v>
      </c>
      <c r="F143" s="10">
        <v>4</v>
      </c>
      <c r="G143" s="10" t="b">
        <v>0</v>
      </c>
      <c r="H143" s="10">
        <v>5</v>
      </c>
      <c r="I143" s="10" t="str">
        <f>IF(OR(Cleaned_datasetB[[#This Row],[Day_Code]]=0,Cleaned_datasetB[[#This Row],[Day_Code]]=6),"Weekend","Weekday")</f>
        <v>Weekday</v>
      </c>
      <c r="J143" s="10">
        <v>2</v>
      </c>
      <c r="K143" s="10">
        <v>0.2</v>
      </c>
      <c r="L143" s="51">
        <v>0.21210000000000001</v>
      </c>
      <c r="M143" s="10">
        <v>0.69</v>
      </c>
      <c r="N143" s="10">
        <v>0.1343</v>
      </c>
      <c r="O143" s="10">
        <v>0</v>
      </c>
      <c r="P143" s="10">
        <v>1</v>
      </c>
      <c r="Q143" s="10">
        <v>1</v>
      </c>
      <c r="R143" s="10" t="str">
        <f>VLOOKUP(Cleaned_datasetB[[#This Row],[Weather_Code]],Lookup_Tables!$E$9:$F$13,2,FALSE)</f>
        <v>Cloudy</v>
      </c>
      <c r="S143" s="10" t="str">
        <f>INDEX(Lookup_Tables!$I$10:$I$16,MATCH(Cleaned_datasetB[[#This Row],[Day_Code]],Lookup_Tables!$H$10:$H$16,0))</f>
        <v>Friday</v>
      </c>
      <c r="T143" s="10" t="str">
        <f>VLOOKUP(Cleaned_datasetB[[#This Row],[Month]], Lookup_Tables!$K$8:$L$19, 2, FALSE)</f>
        <v>January</v>
      </c>
      <c r="U143" s="10" t="str">
        <f>IF(AND(Cleaned_datasetB[[#This Row],[Day_Type]]="Weekday",Cleaned_datasetB[[#This Row],[Is_Holiday]]=FALSE),"Working Day","Non-Working Day")</f>
        <v>Working Day</v>
      </c>
    </row>
    <row r="144" spans="1:21">
      <c r="A144" s="10">
        <v>143</v>
      </c>
      <c r="B144" s="23">
        <v>40550</v>
      </c>
      <c r="C144" s="10">
        <v>1</v>
      </c>
      <c r="D144" s="10">
        <v>0</v>
      </c>
      <c r="E144" s="10">
        <v>1</v>
      </c>
      <c r="F144" s="10">
        <v>5</v>
      </c>
      <c r="G144" s="10" t="b">
        <v>0</v>
      </c>
      <c r="H144" s="10">
        <v>5</v>
      </c>
      <c r="I144" s="10" t="str">
        <f>IF(OR(Cleaned_datasetB[[#This Row],[Day_Code]]=0,Cleaned_datasetB[[#This Row],[Day_Code]]=6),"Weekend","Weekday")</f>
        <v>Weekday</v>
      </c>
      <c r="J144" s="10">
        <v>3</v>
      </c>
      <c r="K144" s="10">
        <v>0.22</v>
      </c>
      <c r="L144" s="51">
        <v>0.2727</v>
      </c>
      <c r="M144" s="10">
        <v>0.55000000000000004</v>
      </c>
      <c r="N144" s="10">
        <v>0</v>
      </c>
      <c r="O144" s="10">
        <v>0</v>
      </c>
      <c r="P144" s="10">
        <v>5</v>
      </c>
      <c r="Q144" s="10">
        <v>5</v>
      </c>
      <c r="R144" s="10" t="str">
        <f>VLOOKUP(Cleaned_datasetB[[#This Row],[Weather_Code]],Lookup_Tables!$E$9:$F$13,2,FALSE)</f>
        <v>Light Rain</v>
      </c>
      <c r="S144" s="10" t="str">
        <f>INDEX(Lookup_Tables!$I$10:$I$16,MATCH(Cleaned_datasetB[[#This Row],[Day_Code]],Lookup_Tables!$H$10:$H$16,0))</f>
        <v>Friday</v>
      </c>
      <c r="T144" s="10" t="str">
        <f>VLOOKUP(Cleaned_datasetB[[#This Row],[Month]], Lookup_Tables!$K$8:$L$19, 2, FALSE)</f>
        <v>January</v>
      </c>
      <c r="U144" s="10" t="str">
        <f>IF(AND(Cleaned_datasetB[[#This Row],[Day_Type]]="Weekday",Cleaned_datasetB[[#This Row],[Is_Holiday]]=FALSE),"Working Day","Non-Working Day")</f>
        <v>Working Day</v>
      </c>
    </row>
    <row r="145" spans="1:21">
      <c r="A145" s="10">
        <v>144</v>
      </c>
      <c r="B145" s="23">
        <v>40550</v>
      </c>
      <c r="C145" s="10">
        <v>1</v>
      </c>
      <c r="D145" s="10">
        <v>0</v>
      </c>
      <c r="E145" s="10">
        <v>1</v>
      </c>
      <c r="F145" s="10">
        <v>6</v>
      </c>
      <c r="G145" s="10" t="b">
        <v>0</v>
      </c>
      <c r="H145" s="10">
        <v>5</v>
      </c>
      <c r="I145" s="10" t="str">
        <f>IF(OR(Cleaned_datasetB[[#This Row],[Day_Code]]=0,Cleaned_datasetB[[#This Row],[Day_Code]]=6),"Weekend","Weekday")</f>
        <v>Weekday</v>
      </c>
      <c r="J145" s="10">
        <v>2</v>
      </c>
      <c r="K145" s="10">
        <v>0.2</v>
      </c>
      <c r="L145" s="51">
        <v>0.2576</v>
      </c>
      <c r="M145" s="10">
        <v>0.69</v>
      </c>
      <c r="N145" s="10">
        <v>0</v>
      </c>
      <c r="O145" s="10">
        <v>8</v>
      </c>
      <c r="P145" s="10">
        <v>26</v>
      </c>
      <c r="Q145" s="10">
        <v>34</v>
      </c>
      <c r="R145" s="10" t="str">
        <f>VLOOKUP(Cleaned_datasetB[[#This Row],[Weather_Code]],Lookup_Tables!$E$9:$F$13,2,FALSE)</f>
        <v>Cloudy</v>
      </c>
      <c r="S145" s="10" t="str">
        <f>INDEX(Lookup_Tables!$I$10:$I$16,MATCH(Cleaned_datasetB[[#This Row],[Day_Code]],Lookup_Tables!$H$10:$H$16,0))</f>
        <v>Friday</v>
      </c>
      <c r="T145" s="10" t="str">
        <f>VLOOKUP(Cleaned_datasetB[[#This Row],[Month]], Lookup_Tables!$K$8:$L$19, 2, FALSE)</f>
        <v>January</v>
      </c>
      <c r="U145" s="10" t="str">
        <f>IF(AND(Cleaned_datasetB[[#This Row],[Day_Type]]="Weekday",Cleaned_datasetB[[#This Row],[Is_Holiday]]=FALSE),"Working Day","Non-Working Day")</f>
        <v>Working Day</v>
      </c>
    </row>
    <row r="146" spans="1:21">
      <c r="A146" s="10">
        <v>145</v>
      </c>
      <c r="B146" s="23">
        <v>40550</v>
      </c>
      <c r="C146" s="10">
        <v>1</v>
      </c>
      <c r="D146" s="10">
        <v>0</v>
      </c>
      <c r="E146" s="10">
        <v>1</v>
      </c>
      <c r="F146" s="10">
        <v>7</v>
      </c>
      <c r="G146" s="10" t="b">
        <v>0</v>
      </c>
      <c r="H146" s="10">
        <v>5</v>
      </c>
      <c r="I146" s="10" t="str">
        <f>IF(OR(Cleaned_datasetB[[#This Row],[Day_Code]]=0,Cleaned_datasetB[[#This Row],[Day_Code]]=6),"Weekend","Weekday")</f>
        <v>Weekday</v>
      </c>
      <c r="J146" s="10">
        <v>1</v>
      </c>
      <c r="K146" s="10">
        <v>0.2</v>
      </c>
      <c r="L146" s="51">
        <v>0.21210000000000001</v>
      </c>
      <c r="M146" s="10">
        <v>0.69</v>
      </c>
      <c r="N146" s="10">
        <v>0.1343</v>
      </c>
      <c r="O146" s="10">
        <v>8</v>
      </c>
      <c r="P146" s="10">
        <v>76</v>
      </c>
      <c r="Q146" s="10">
        <v>84</v>
      </c>
      <c r="R146" s="10" t="str">
        <f>VLOOKUP(Cleaned_datasetB[[#This Row],[Weather_Code]],Lookup_Tables!$E$9:$F$13,2,FALSE)</f>
        <v>Clear</v>
      </c>
      <c r="S146" s="10" t="str">
        <f>INDEX(Lookup_Tables!$I$10:$I$16,MATCH(Cleaned_datasetB[[#This Row],[Day_Code]],Lookup_Tables!$H$10:$H$16,0))</f>
        <v>Friday</v>
      </c>
      <c r="T146" s="10" t="str">
        <f>VLOOKUP(Cleaned_datasetB[[#This Row],[Month]], Lookup_Tables!$K$8:$L$19, 2, FALSE)</f>
        <v>January</v>
      </c>
      <c r="U146" s="10" t="str">
        <f>IF(AND(Cleaned_datasetB[[#This Row],[Day_Type]]="Weekday",Cleaned_datasetB[[#This Row],[Is_Holiday]]=FALSE),"Working Day","Non-Working Day")</f>
        <v>Working Day</v>
      </c>
    </row>
    <row r="147" spans="1:21">
      <c r="A147" s="10">
        <v>146</v>
      </c>
      <c r="B147" s="23">
        <v>40550</v>
      </c>
      <c r="C147" s="10">
        <v>1</v>
      </c>
      <c r="D147" s="10">
        <v>0</v>
      </c>
      <c r="E147" s="10">
        <v>1</v>
      </c>
      <c r="F147" s="10">
        <v>8</v>
      </c>
      <c r="G147" s="10" t="b">
        <v>0</v>
      </c>
      <c r="H147" s="10">
        <v>5</v>
      </c>
      <c r="I147" s="10" t="str">
        <f>IF(OR(Cleaned_datasetB[[#This Row],[Day_Code]]=0,Cleaned_datasetB[[#This Row],[Day_Code]]=6),"Weekend","Weekday")</f>
        <v>Weekday</v>
      </c>
      <c r="J147" s="10">
        <v>1</v>
      </c>
      <c r="K147" s="10">
        <v>0.2</v>
      </c>
      <c r="L147" s="51">
        <v>0.19700000000000001</v>
      </c>
      <c r="M147" s="10">
        <v>0.51</v>
      </c>
      <c r="N147" s="10">
        <v>0.25369999999999998</v>
      </c>
      <c r="O147" s="10">
        <v>20</v>
      </c>
      <c r="P147" s="10">
        <v>190</v>
      </c>
      <c r="Q147" s="10">
        <v>210</v>
      </c>
      <c r="R147" s="10" t="str">
        <f>VLOOKUP(Cleaned_datasetB[[#This Row],[Weather_Code]],Lookup_Tables!$E$9:$F$13,2,FALSE)</f>
        <v>Clear</v>
      </c>
      <c r="S147" s="10" t="str">
        <f>INDEX(Lookup_Tables!$I$10:$I$16,MATCH(Cleaned_datasetB[[#This Row],[Day_Code]],Lookup_Tables!$H$10:$H$16,0))</f>
        <v>Friday</v>
      </c>
      <c r="T147" s="10" t="str">
        <f>VLOOKUP(Cleaned_datasetB[[#This Row],[Month]], Lookup_Tables!$K$8:$L$19, 2, FALSE)</f>
        <v>January</v>
      </c>
      <c r="U147" s="10" t="str">
        <f>IF(AND(Cleaned_datasetB[[#This Row],[Day_Type]]="Weekday",Cleaned_datasetB[[#This Row],[Is_Holiday]]=FALSE),"Working Day","Non-Working Day")</f>
        <v>Working Day</v>
      </c>
    </row>
    <row r="148" spans="1:21">
      <c r="A148" s="10">
        <v>147</v>
      </c>
      <c r="B148" s="23">
        <v>40550</v>
      </c>
      <c r="C148" s="10">
        <v>1</v>
      </c>
      <c r="D148" s="10">
        <v>0</v>
      </c>
      <c r="E148" s="10">
        <v>1</v>
      </c>
      <c r="F148" s="10">
        <v>9</v>
      </c>
      <c r="G148" s="10" t="b">
        <v>0</v>
      </c>
      <c r="H148" s="10">
        <v>5</v>
      </c>
      <c r="I148" s="10" t="str">
        <f>IF(OR(Cleaned_datasetB[[#This Row],[Day_Code]]=0,Cleaned_datasetB[[#This Row],[Day_Code]]=6),"Weekend","Weekday")</f>
        <v>Weekday</v>
      </c>
      <c r="J148" s="10">
        <v>1</v>
      </c>
      <c r="K148" s="10">
        <v>0.2</v>
      </c>
      <c r="L148" s="51">
        <v>0.18179999999999999</v>
      </c>
      <c r="M148" s="10">
        <v>0.47</v>
      </c>
      <c r="N148" s="10">
        <v>0.29849999999999999</v>
      </c>
      <c r="O148" s="10">
        <v>9</v>
      </c>
      <c r="P148" s="10">
        <v>125</v>
      </c>
      <c r="Q148" s="10">
        <v>134</v>
      </c>
      <c r="R148" s="10" t="str">
        <f>VLOOKUP(Cleaned_datasetB[[#This Row],[Weather_Code]],Lookup_Tables!$E$9:$F$13,2,FALSE)</f>
        <v>Clear</v>
      </c>
      <c r="S148" s="10" t="str">
        <f>INDEX(Lookup_Tables!$I$10:$I$16,MATCH(Cleaned_datasetB[[#This Row],[Day_Code]],Lookup_Tables!$H$10:$H$16,0))</f>
        <v>Friday</v>
      </c>
      <c r="T148" s="10" t="str">
        <f>VLOOKUP(Cleaned_datasetB[[#This Row],[Month]], Lookup_Tables!$K$8:$L$19, 2, FALSE)</f>
        <v>January</v>
      </c>
      <c r="U148" s="10" t="str">
        <f>IF(AND(Cleaned_datasetB[[#This Row],[Day_Type]]="Weekday",Cleaned_datasetB[[#This Row],[Is_Holiday]]=FALSE),"Working Day","Non-Working Day")</f>
        <v>Working Day</v>
      </c>
    </row>
    <row r="149" spans="1:21">
      <c r="A149" s="10">
        <v>148</v>
      </c>
      <c r="B149" s="23">
        <v>40550</v>
      </c>
      <c r="C149" s="10">
        <v>1</v>
      </c>
      <c r="D149" s="10">
        <v>0</v>
      </c>
      <c r="E149" s="10">
        <v>1</v>
      </c>
      <c r="F149" s="10">
        <v>10</v>
      </c>
      <c r="G149" s="10" t="b">
        <v>0</v>
      </c>
      <c r="H149" s="10">
        <v>5</v>
      </c>
      <c r="I149" s="10" t="str">
        <f>IF(OR(Cleaned_datasetB[[#This Row],[Day_Code]]=0,Cleaned_datasetB[[#This Row],[Day_Code]]=6),"Weekend","Weekday")</f>
        <v>Weekday</v>
      </c>
      <c r="J149" s="10">
        <v>1</v>
      </c>
      <c r="K149" s="10">
        <v>0.22</v>
      </c>
      <c r="L149" s="51">
        <v>0.19700000000000001</v>
      </c>
      <c r="M149" s="10">
        <v>0.37</v>
      </c>
      <c r="N149" s="10">
        <v>0.32840000000000003</v>
      </c>
      <c r="O149" s="10">
        <v>16</v>
      </c>
      <c r="P149" s="10">
        <v>47</v>
      </c>
      <c r="Q149" s="10">
        <v>63</v>
      </c>
      <c r="R149" s="10" t="str">
        <f>VLOOKUP(Cleaned_datasetB[[#This Row],[Weather_Code]],Lookup_Tables!$E$9:$F$13,2,FALSE)</f>
        <v>Clear</v>
      </c>
      <c r="S149" s="10" t="str">
        <f>INDEX(Lookup_Tables!$I$10:$I$16,MATCH(Cleaned_datasetB[[#This Row],[Day_Code]],Lookup_Tables!$H$10:$H$16,0))</f>
        <v>Friday</v>
      </c>
      <c r="T149" s="10" t="str">
        <f>VLOOKUP(Cleaned_datasetB[[#This Row],[Month]], Lookup_Tables!$K$8:$L$19, 2, FALSE)</f>
        <v>January</v>
      </c>
      <c r="U149" s="10" t="str">
        <f>IF(AND(Cleaned_datasetB[[#This Row],[Day_Type]]="Weekday",Cleaned_datasetB[[#This Row],[Is_Holiday]]=FALSE),"Working Day","Non-Working Day")</f>
        <v>Working Day</v>
      </c>
    </row>
    <row r="150" spans="1:21">
      <c r="A150" s="10">
        <v>149</v>
      </c>
      <c r="B150" s="23">
        <v>40550</v>
      </c>
      <c r="C150" s="10">
        <v>1</v>
      </c>
      <c r="D150" s="10">
        <v>0</v>
      </c>
      <c r="E150" s="10">
        <v>1</v>
      </c>
      <c r="F150" s="10">
        <v>11</v>
      </c>
      <c r="G150" s="10" t="b">
        <v>0</v>
      </c>
      <c r="H150" s="10">
        <v>5</v>
      </c>
      <c r="I150" s="10" t="str">
        <f>IF(OR(Cleaned_datasetB[[#This Row],[Day_Code]]=0,Cleaned_datasetB[[#This Row],[Day_Code]]=6),"Weekend","Weekday")</f>
        <v>Weekday</v>
      </c>
      <c r="J150" s="10">
        <v>2</v>
      </c>
      <c r="K150" s="10">
        <v>0.2</v>
      </c>
      <c r="L150" s="51">
        <v>0.19700000000000001</v>
      </c>
      <c r="M150" s="10">
        <v>0.4</v>
      </c>
      <c r="N150" s="10">
        <v>0.22389999999999999</v>
      </c>
      <c r="O150" s="10">
        <v>19</v>
      </c>
      <c r="P150" s="10">
        <v>48</v>
      </c>
      <c r="Q150" s="10">
        <v>67</v>
      </c>
      <c r="R150" s="10" t="str">
        <f>VLOOKUP(Cleaned_datasetB[[#This Row],[Weather_Code]],Lookup_Tables!$E$9:$F$13,2,FALSE)</f>
        <v>Cloudy</v>
      </c>
      <c r="S150" s="10" t="str">
        <f>INDEX(Lookup_Tables!$I$10:$I$16,MATCH(Cleaned_datasetB[[#This Row],[Day_Code]],Lookup_Tables!$H$10:$H$16,0))</f>
        <v>Friday</v>
      </c>
      <c r="T150" s="10" t="str">
        <f>VLOOKUP(Cleaned_datasetB[[#This Row],[Month]], Lookup_Tables!$K$8:$L$19, 2, FALSE)</f>
        <v>January</v>
      </c>
      <c r="U150" s="10" t="str">
        <f>IF(AND(Cleaned_datasetB[[#This Row],[Day_Type]]="Weekday",Cleaned_datasetB[[#This Row],[Is_Holiday]]=FALSE),"Working Day","Non-Working Day")</f>
        <v>Working Day</v>
      </c>
    </row>
    <row r="151" spans="1:21">
      <c r="A151" s="10">
        <v>150</v>
      </c>
      <c r="B151" s="23">
        <v>40550</v>
      </c>
      <c r="C151" s="10">
        <v>1</v>
      </c>
      <c r="D151" s="10">
        <v>0</v>
      </c>
      <c r="E151" s="10">
        <v>1</v>
      </c>
      <c r="F151" s="10">
        <v>12</v>
      </c>
      <c r="G151" s="10" t="b">
        <v>0</v>
      </c>
      <c r="H151" s="10">
        <v>5</v>
      </c>
      <c r="I151" s="10" t="str">
        <f>IF(OR(Cleaned_datasetB[[#This Row],[Day_Code]]=0,Cleaned_datasetB[[#This Row],[Day_Code]]=6),"Weekend","Weekday")</f>
        <v>Weekday</v>
      </c>
      <c r="J151" s="10">
        <v>2</v>
      </c>
      <c r="K151" s="10">
        <v>0.2</v>
      </c>
      <c r="L151" s="51">
        <v>0.19700000000000001</v>
      </c>
      <c r="M151" s="10">
        <v>0.37</v>
      </c>
      <c r="N151" s="10">
        <v>0.25369999999999998</v>
      </c>
      <c r="O151" s="10">
        <v>9</v>
      </c>
      <c r="P151" s="10">
        <v>50</v>
      </c>
      <c r="Q151" s="10">
        <v>59</v>
      </c>
      <c r="R151" s="10" t="str">
        <f>VLOOKUP(Cleaned_datasetB[[#This Row],[Weather_Code]],Lookup_Tables!$E$9:$F$13,2,FALSE)</f>
        <v>Cloudy</v>
      </c>
      <c r="S151" s="10" t="str">
        <f>INDEX(Lookup_Tables!$I$10:$I$16,MATCH(Cleaned_datasetB[[#This Row],[Day_Code]],Lookup_Tables!$H$10:$H$16,0))</f>
        <v>Friday</v>
      </c>
      <c r="T151" s="10" t="str">
        <f>VLOOKUP(Cleaned_datasetB[[#This Row],[Month]], Lookup_Tables!$K$8:$L$19, 2, FALSE)</f>
        <v>January</v>
      </c>
      <c r="U151" s="10" t="str">
        <f>IF(AND(Cleaned_datasetB[[#This Row],[Day_Type]]="Weekday",Cleaned_datasetB[[#This Row],[Is_Holiday]]=FALSE),"Working Day","Non-Working Day")</f>
        <v>Working Day</v>
      </c>
    </row>
    <row r="152" spans="1:21">
      <c r="A152" s="10">
        <v>151</v>
      </c>
      <c r="B152" s="23">
        <v>40550</v>
      </c>
      <c r="C152" s="10">
        <v>1</v>
      </c>
      <c r="D152" s="10">
        <v>0</v>
      </c>
      <c r="E152" s="10">
        <v>1</v>
      </c>
      <c r="F152" s="10">
        <v>13</v>
      </c>
      <c r="G152" s="10" t="b">
        <v>0</v>
      </c>
      <c r="H152" s="10">
        <v>5</v>
      </c>
      <c r="I152" s="10" t="str">
        <f>IF(OR(Cleaned_datasetB[[#This Row],[Day_Code]]=0,Cleaned_datasetB[[#This Row],[Day_Code]]=6),"Weekend","Weekday")</f>
        <v>Weekday</v>
      </c>
      <c r="J152" s="10">
        <v>2</v>
      </c>
      <c r="K152" s="10">
        <v>0.2</v>
      </c>
      <c r="L152" s="51">
        <v>0.18179999999999999</v>
      </c>
      <c r="M152" s="10">
        <v>0.37</v>
      </c>
      <c r="N152" s="10">
        <v>0.28360000000000002</v>
      </c>
      <c r="O152" s="10">
        <v>9</v>
      </c>
      <c r="P152" s="10">
        <v>64</v>
      </c>
      <c r="Q152" s="10">
        <v>73</v>
      </c>
      <c r="R152" s="10" t="str">
        <f>VLOOKUP(Cleaned_datasetB[[#This Row],[Weather_Code]],Lookup_Tables!$E$9:$F$13,2,FALSE)</f>
        <v>Cloudy</v>
      </c>
      <c r="S152" s="10" t="str">
        <f>INDEX(Lookup_Tables!$I$10:$I$16,MATCH(Cleaned_datasetB[[#This Row],[Day_Code]],Lookup_Tables!$H$10:$H$16,0))</f>
        <v>Friday</v>
      </c>
      <c r="T152" s="10" t="str">
        <f>VLOOKUP(Cleaned_datasetB[[#This Row],[Month]], Lookup_Tables!$K$8:$L$19, 2, FALSE)</f>
        <v>January</v>
      </c>
      <c r="U152" s="10" t="str">
        <f>IF(AND(Cleaned_datasetB[[#This Row],[Day_Type]]="Weekday",Cleaned_datasetB[[#This Row],[Is_Holiday]]=FALSE),"Working Day","Non-Working Day")</f>
        <v>Working Day</v>
      </c>
    </row>
    <row r="153" spans="1:21">
      <c r="A153" s="10">
        <v>152</v>
      </c>
      <c r="B153" s="23">
        <v>40550</v>
      </c>
      <c r="C153" s="10">
        <v>1</v>
      </c>
      <c r="D153" s="10">
        <v>0</v>
      </c>
      <c r="E153" s="10">
        <v>1</v>
      </c>
      <c r="F153" s="10">
        <v>14</v>
      </c>
      <c r="G153" s="10" t="b">
        <v>0</v>
      </c>
      <c r="H153" s="10">
        <v>5</v>
      </c>
      <c r="I153" s="10" t="str">
        <f>IF(OR(Cleaned_datasetB[[#This Row],[Day_Code]]=0,Cleaned_datasetB[[#This Row],[Day_Code]]=6),"Weekend","Weekday")</f>
        <v>Weekday</v>
      </c>
      <c r="J153" s="10">
        <v>2</v>
      </c>
      <c r="K153" s="10">
        <v>0.2</v>
      </c>
      <c r="L153" s="51">
        <v>0.19700000000000001</v>
      </c>
      <c r="M153" s="10">
        <v>0.4</v>
      </c>
      <c r="N153" s="10">
        <v>0.25369999999999998</v>
      </c>
      <c r="O153" s="10">
        <v>7</v>
      </c>
      <c r="P153" s="10">
        <v>43</v>
      </c>
      <c r="Q153" s="10">
        <v>50</v>
      </c>
      <c r="R153" s="10" t="str">
        <f>VLOOKUP(Cleaned_datasetB[[#This Row],[Weather_Code]],Lookup_Tables!$E$9:$F$13,2,FALSE)</f>
        <v>Cloudy</v>
      </c>
      <c r="S153" s="10" t="str">
        <f>INDEX(Lookup_Tables!$I$10:$I$16,MATCH(Cleaned_datasetB[[#This Row],[Day_Code]],Lookup_Tables!$H$10:$H$16,0))</f>
        <v>Friday</v>
      </c>
      <c r="T153" s="10" t="str">
        <f>VLOOKUP(Cleaned_datasetB[[#This Row],[Month]], Lookup_Tables!$K$8:$L$19, 2, FALSE)</f>
        <v>January</v>
      </c>
      <c r="U153" s="10" t="str">
        <f>IF(AND(Cleaned_datasetB[[#This Row],[Day_Type]]="Weekday",Cleaned_datasetB[[#This Row],[Is_Holiday]]=FALSE),"Working Day","Non-Working Day")</f>
        <v>Working Day</v>
      </c>
    </row>
    <row r="154" spans="1:21">
      <c r="A154" s="10">
        <v>153</v>
      </c>
      <c r="B154" s="23">
        <v>40550</v>
      </c>
      <c r="C154" s="10">
        <v>1</v>
      </c>
      <c r="D154" s="10">
        <v>0</v>
      </c>
      <c r="E154" s="10">
        <v>1</v>
      </c>
      <c r="F154" s="10">
        <v>15</v>
      </c>
      <c r="G154" s="10" t="b">
        <v>0</v>
      </c>
      <c r="H154" s="10">
        <v>5</v>
      </c>
      <c r="I154" s="10" t="str">
        <f>IF(OR(Cleaned_datasetB[[#This Row],[Day_Code]]=0,Cleaned_datasetB[[#This Row],[Day_Code]]=6),"Weekend","Weekday")</f>
        <v>Weekday</v>
      </c>
      <c r="J154" s="10">
        <v>2</v>
      </c>
      <c r="K154" s="10">
        <v>0.2</v>
      </c>
      <c r="L154" s="51">
        <v>0.21210000000000001</v>
      </c>
      <c r="M154" s="10">
        <v>0.37</v>
      </c>
      <c r="N154" s="10">
        <v>0.16420000000000001</v>
      </c>
      <c r="O154" s="10">
        <v>9</v>
      </c>
      <c r="P154" s="10">
        <v>63</v>
      </c>
      <c r="Q154" s="10">
        <v>72</v>
      </c>
      <c r="R154" s="10" t="str">
        <f>VLOOKUP(Cleaned_datasetB[[#This Row],[Weather_Code]],Lookup_Tables!$E$9:$F$13,2,FALSE)</f>
        <v>Cloudy</v>
      </c>
      <c r="S154" s="10" t="str">
        <f>INDEX(Lookup_Tables!$I$10:$I$16,MATCH(Cleaned_datasetB[[#This Row],[Day_Code]],Lookup_Tables!$H$10:$H$16,0))</f>
        <v>Friday</v>
      </c>
      <c r="T154" s="10" t="str">
        <f>VLOOKUP(Cleaned_datasetB[[#This Row],[Month]], Lookup_Tables!$K$8:$L$19, 2, FALSE)</f>
        <v>January</v>
      </c>
      <c r="U154" s="10" t="str">
        <f>IF(AND(Cleaned_datasetB[[#This Row],[Day_Type]]="Weekday",Cleaned_datasetB[[#This Row],[Is_Holiday]]=FALSE),"Working Day","Non-Working Day")</f>
        <v>Working Day</v>
      </c>
    </row>
    <row r="155" spans="1:21">
      <c r="A155" s="10">
        <v>154</v>
      </c>
      <c r="B155" s="23">
        <v>40550</v>
      </c>
      <c r="C155" s="10">
        <v>1</v>
      </c>
      <c r="D155" s="10">
        <v>0</v>
      </c>
      <c r="E155" s="10">
        <v>1</v>
      </c>
      <c r="F155" s="10">
        <v>16</v>
      </c>
      <c r="G155" s="10" t="b">
        <v>0</v>
      </c>
      <c r="H155" s="10">
        <v>5</v>
      </c>
      <c r="I155" s="10" t="str">
        <f>IF(OR(Cleaned_datasetB[[#This Row],[Day_Code]]=0,Cleaned_datasetB[[#This Row],[Day_Code]]=6),"Weekend","Weekday")</f>
        <v>Weekday</v>
      </c>
      <c r="J155" s="10">
        <v>2</v>
      </c>
      <c r="K155" s="10">
        <v>0.2</v>
      </c>
      <c r="L155" s="51">
        <v>0.21210000000000001</v>
      </c>
      <c r="M155" s="10">
        <v>0.37</v>
      </c>
      <c r="N155" s="10">
        <v>0.16420000000000001</v>
      </c>
      <c r="O155" s="10">
        <v>5</v>
      </c>
      <c r="P155" s="10">
        <v>82</v>
      </c>
      <c r="Q155" s="10">
        <v>87</v>
      </c>
      <c r="R155" s="10" t="str">
        <f>VLOOKUP(Cleaned_datasetB[[#This Row],[Weather_Code]],Lookup_Tables!$E$9:$F$13,2,FALSE)</f>
        <v>Cloudy</v>
      </c>
      <c r="S155" s="10" t="str">
        <f>INDEX(Lookup_Tables!$I$10:$I$16,MATCH(Cleaned_datasetB[[#This Row],[Day_Code]],Lookup_Tables!$H$10:$H$16,0))</f>
        <v>Friday</v>
      </c>
      <c r="T155" s="10" t="str">
        <f>VLOOKUP(Cleaned_datasetB[[#This Row],[Month]], Lookup_Tables!$K$8:$L$19, 2, FALSE)</f>
        <v>January</v>
      </c>
      <c r="U155" s="10" t="str">
        <f>IF(AND(Cleaned_datasetB[[#This Row],[Day_Type]]="Weekday",Cleaned_datasetB[[#This Row],[Is_Holiday]]=FALSE),"Working Day","Non-Working Day")</f>
        <v>Working Day</v>
      </c>
    </row>
    <row r="156" spans="1:21">
      <c r="A156" s="10">
        <v>155</v>
      </c>
      <c r="B156" s="23">
        <v>40550</v>
      </c>
      <c r="C156" s="10">
        <v>1</v>
      </c>
      <c r="D156" s="10">
        <v>0</v>
      </c>
      <c r="E156" s="10">
        <v>1</v>
      </c>
      <c r="F156" s="10">
        <v>17</v>
      </c>
      <c r="G156" s="10" t="b">
        <v>0</v>
      </c>
      <c r="H156" s="10">
        <v>5</v>
      </c>
      <c r="I156" s="10" t="str">
        <f>IF(OR(Cleaned_datasetB[[#This Row],[Day_Code]]=0,Cleaned_datasetB[[#This Row],[Day_Code]]=6),"Weekend","Weekday")</f>
        <v>Weekday</v>
      </c>
      <c r="J156" s="10">
        <v>2</v>
      </c>
      <c r="K156" s="10">
        <v>0.2</v>
      </c>
      <c r="L156" s="51">
        <v>0.2576</v>
      </c>
      <c r="M156" s="10">
        <v>0.37</v>
      </c>
      <c r="N156" s="10">
        <v>0</v>
      </c>
      <c r="O156" s="10">
        <v>9</v>
      </c>
      <c r="P156" s="10">
        <v>178</v>
      </c>
      <c r="Q156" s="10">
        <v>187</v>
      </c>
      <c r="R156" s="10" t="str">
        <f>VLOOKUP(Cleaned_datasetB[[#This Row],[Weather_Code]],Lookup_Tables!$E$9:$F$13,2,FALSE)</f>
        <v>Cloudy</v>
      </c>
      <c r="S156" s="10" t="str">
        <f>INDEX(Lookup_Tables!$I$10:$I$16,MATCH(Cleaned_datasetB[[#This Row],[Day_Code]],Lookup_Tables!$H$10:$H$16,0))</f>
        <v>Friday</v>
      </c>
      <c r="T156" s="10" t="str">
        <f>VLOOKUP(Cleaned_datasetB[[#This Row],[Month]], Lookup_Tables!$K$8:$L$19, 2, FALSE)</f>
        <v>January</v>
      </c>
      <c r="U156" s="10" t="str">
        <f>IF(AND(Cleaned_datasetB[[#This Row],[Day_Type]]="Weekday",Cleaned_datasetB[[#This Row],[Is_Holiday]]=FALSE),"Working Day","Non-Working Day")</f>
        <v>Working Day</v>
      </c>
    </row>
    <row r="157" spans="1:21">
      <c r="A157" s="10">
        <v>156</v>
      </c>
      <c r="B157" s="23">
        <v>40550</v>
      </c>
      <c r="C157" s="10">
        <v>1</v>
      </c>
      <c r="D157" s="10">
        <v>0</v>
      </c>
      <c r="E157" s="10">
        <v>1</v>
      </c>
      <c r="F157" s="10">
        <v>18</v>
      </c>
      <c r="G157" s="10" t="b">
        <v>0</v>
      </c>
      <c r="H157" s="10">
        <v>5</v>
      </c>
      <c r="I157" s="10" t="str">
        <f>IF(OR(Cleaned_datasetB[[#This Row],[Day_Code]]=0,Cleaned_datasetB[[#This Row],[Day_Code]]=6),"Weekend","Weekday")</f>
        <v>Weekday</v>
      </c>
      <c r="J157" s="10">
        <v>1</v>
      </c>
      <c r="K157" s="10">
        <v>0.2</v>
      </c>
      <c r="L157" s="51">
        <v>0.2273</v>
      </c>
      <c r="M157" s="10">
        <v>0.4</v>
      </c>
      <c r="N157" s="10">
        <v>8.9599999999999999E-2</v>
      </c>
      <c r="O157" s="10">
        <v>7</v>
      </c>
      <c r="P157" s="10">
        <v>116</v>
      </c>
      <c r="Q157" s="10">
        <v>123</v>
      </c>
      <c r="R157" s="10" t="str">
        <f>VLOOKUP(Cleaned_datasetB[[#This Row],[Weather_Code]],Lookup_Tables!$E$9:$F$13,2,FALSE)</f>
        <v>Clear</v>
      </c>
      <c r="S157" s="10" t="str">
        <f>INDEX(Lookup_Tables!$I$10:$I$16,MATCH(Cleaned_datasetB[[#This Row],[Day_Code]],Lookup_Tables!$H$10:$H$16,0))</f>
        <v>Friday</v>
      </c>
      <c r="T157" s="10" t="str">
        <f>VLOOKUP(Cleaned_datasetB[[#This Row],[Month]], Lookup_Tables!$K$8:$L$19, 2, FALSE)</f>
        <v>January</v>
      </c>
      <c r="U157" s="10" t="str">
        <f>IF(AND(Cleaned_datasetB[[#This Row],[Day_Type]]="Weekday",Cleaned_datasetB[[#This Row],[Is_Holiday]]=FALSE),"Working Day","Non-Working Day")</f>
        <v>Working Day</v>
      </c>
    </row>
    <row r="158" spans="1:21">
      <c r="A158" s="10">
        <v>157</v>
      </c>
      <c r="B158" s="23">
        <v>40550</v>
      </c>
      <c r="C158" s="10">
        <v>1</v>
      </c>
      <c r="D158" s="10">
        <v>0</v>
      </c>
      <c r="E158" s="10">
        <v>1</v>
      </c>
      <c r="F158" s="10">
        <v>19</v>
      </c>
      <c r="G158" s="10" t="b">
        <v>0</v>
      </c>
      <c r="H158" s="10">
        <v>5</v>
      </c>
      <c r="I158" s="10" t="str">
        <f>IF(OR(Cleaned_datasetB[[#This Row],[Day_Code]]=0,Cleaned_datasetB[[#This Row],[Day_Code]]=6),"Weekend","Weekday")</f>
        <v>Weekday</v>
      </c>
      <c r="J158" s="10">
        <v>1</v>
      </c>
      <c r="K158" s="10">
        <v>0.16</v>
      </c>
      <c r="L158" s="51">
        <v>0.19700000000000001</v>
      </c>
      <c r="M158" s="10">
        <v>0.55000000000000004</v>
      </c>
      <c r="N158" s="10">
        <v>8.9599999999999999E-2</v>
      </c>
      <c r="O158" s="10">
        <v>3</v>
      </c>
      <c r="P158" s="10">
        <v>92</v>
      </c>
      <c r="Q158" s="10">
        <v>95</v>
      </c>
      <c r="R158" s="10" t="str">
        <f>VLOOKUP(Cleaned_datasetB[[#This Row],[Weather_Code]],Lookup_Tables!$E$9:$F$13,2,FALSE)</f>
        <v>Clear</v>
      </c>
      <c r="S158" s="10" t="str">
        <f>INDEX(Lookup_Tables!$I$10:$I$16,MATCH(Cleaned_datasetB[[#This Row],[Day_Code]],Lookup_Tables!$H$10:$H$16,0))</f>
        <v>Friday</v>
      </c>
      <c r="T158" s="10" t="str">
        <f>VLOOKUP(Cleaned_datasetB[[#This Row],[Month]], Lookup_Tables!$K$8:$L$19, 2, FALSE)</f>
        <v>January</v>
      </c>
      <c r="U158" s="10" t="str">
        <f>IF(AND(Cleaned_datasetB[[#This Row],[Day_Type]]="Weekday",Cleaned_datasetB[[#This Row],[Is_Holiday]]=FALSE),"Working Day","Non-Working Day")</f>
        <v>Working Day</v>
      </c>
    </row>
    <row r="159" spans="1:21">
      <c r="A159" s="10">
        <v>158</v>
      </c>
      <c r="B159" s="23">
        <v>40550</v>
      </c>
      <c r="C159" s="10">
        <v>1</v>
      </c>
      <c r="D159" s="10">
        <v>0</v>
      </c>
      <c r="E159" s="10">
        <v>1</v>
      </c>
      <c r="F159" s="10">
        <v>20</v>
      </c>
      <c r="G159" s="10" t="b">
        <v>0</v>
      </c>
      <c r="H159" s="10">
        <v>5</v>
      </c>
      <c r="I159" s="10" t="str">
        <f>IF(OR(Cleaned_datasetB[[#This Row],[Day_Code]]=0,Cleaned_datasetB[[#This Row],[Day_Code]]=6),"Weekend","Weekday")</f>
        <v>Weekday</v>
      </c>
      <c r="J159" s="10">
        <v>1</v>
      </c>
      <c r="K159" s="10">
        <v>0.18</v>
      </c>
      <c r="L159" s="51">
        <v>0.21210000000000001</v>
      </c>
      <c r="M159" s="10">
        <v>0.47</v>
      </c>
      <c r="N159" s="10">
        <v>0.1045</v>
      </c>
      <c r="O159" s="10">
        <v>1</v>
      </c>
      <c r="P159" s="10">
        <v>50</v>
      </c>
      <c r="Q159" s="10">
        <v>51</v>
      </c>
      <c r="R159" s="10" t="str">
        <f>VLOOKUP(Cleaned_datasetB[[#This Row],[Weather_Code]],Lookup_Tables!$E$9:$F$13,2,FALSE)</f>
        <v>Clear</v>
      </c>
      <c r="S159" s="10" t="str">
        <f>INDEX(Lookup_Tables!$I$10:$I$16,MATCH(Cleaned_datasetB[[#This Row],[Day_Code]],Lookup_Tables!$H$10:$H$16,0))</f>
        <v>Friday</v>
      </c>
      <c r="T159" s="10" t="str">
        <f>VLOOKUP(Cleaned_datasetB[[#This Row],[Month]], Lookup_Tables!$K$8:$L$19, 2, FALSE)</f>
        <v>January</v>
      </c>
      <c r="U159" s="10" t="str">
        <f>IF(AND(Cleaned_datasetB[[#This Row],[Day_Type]]="Weekday",Cleaned_datasetB[[#This Row],[Is_Holiday]]=FALSE),"Working Day","Non-Working Day")</f>
        <v>Working Day</v>
      </c>
    </row>
    <row r="160" spans="1:21">
      <c r="A160" s="10">
        <v>159</v>
      </c>
      <c r="B160" s="23">
        <v>40550</v>
      </c>
      <c r="C160" s="10">
        <v>1</v>
      </c>
      <c r="D160" s="10">
        <v>0</v>
      </c>
      <c r="E160" s="10">
        <v>1</v>
      </c>
      <c r="F160" s="10">
        <v>21</v>
      </c>
      <c r="G160" s="10" t="b">
        <v>0</v>
      </c>
      <c r="H160" s="10">
        <v>5</v>
      </c>
      <c r="I160" s="10" t="str">
        <f>IF(OR(Cleaned_datasetB[[#This Row],[Day_Code]]=0,Cleaned_datasetB[[#This Row],[Day_Code]]=6),"Weekend","Weekday")</f>
        <v>Weekday</v>
      </c>
      <c r="J160" s="10">
        <v>1</v>
      </c>
      <c r="K160" s="10">
        <v>0.18</v>
      </c>
      <c r="L160" s="51">
        <v>0.19700000000000001</v>
      </c>
      <c r="M160" s="10">
        <v>0.47</v>
      </c>
      <c r="N160" s="10">
        <v>0.1343</v>
      </c>
      <c r="O160" s="10">
        <v>0</v>
      </c>
      <c r="P160" s="10">
        <v>39</v>
      </c>
      <c r="Q160" s="10">
        <v>39</v>
      </c>
      <c r="R160" s="10" t="str">
        <f>VLOOKUP(Cleaned_datasetB[[#This Row],[Weather_Code]],Lookup_Tables!$E$9:$F$13,2,FALSE)</f>
        <v>Clear</v>
      </c>
      <c r="S160" s="10" t="str">
        <f>INDEX(Lookup_Tables!$I$10:$I$16,MATCH(Cleaned_datasetB[[#This Row],[Day_Code]],Lookup_Tables!$H$10:$H$16,0))</f>
        <v>Friday</v>
      </c>
      <c r="T160" s="10" t="str">
        <f>VLOOKUP(Cleaned_datasetB[[#This Row],[Month]], Lookup_Tables!$K$8:$L$19, 2, FALSE)</f>
        <v>January</v>
      </c>
      <c r="U160" s="10" t="str">
        <f>IF(AND(Cleaned_datasetB[[#This Row],[Day_Type]]="Weekday",Cleaned_datasetB[[#This Row],[Is_Holiday]]=FALSE),"Working Day","Non-Working Day")</f>
        <v>Working Day</v>
      </c>
    </row>
    <row r="161" spans="1:21">
      <c r="A161" s="10">
        <v>160</v>
      </c>
      <c r="B161" s="23">
        <v>40550</v>
      </c>
      <c r="C161" s="10">
        <v>1</v>
      </c>
      <c r="D161" s="10">
        <v>0</v>
      </c>
      <c r="E161" s="10">
        <v>1</v>
      </c>
      <c r="F161" s="10">
        <v>22</v>
      </c>
      <c r="G161" s="10" t="b">
        <v>0</v>
      </c>
      <c r="H161" s="10">
        <v>5</v>
      </c>
      <c r="I161" s="10" t="str">
        <f>IF(OR(Cleaned_datasetB[[#This Row],[Day_Code]]=0,Cleaned_datasetB[[#This Row],[Day_Code]]=6),"Weekend","Weekday")</f>
        <v>Weekday</v>
      </c>
      <c r="J161" s="10">
        <v>2</v>
      </c>
      <c r="K161" s="10">
        <v>0.18</v>
      </c>
      <c r="L161" s="51">
        <v>0.19700000000000001</v>
      </c>
      <c r="M161" s="10">
        <v>0.43</v>
      </c>
      <c r="N161" s="10">
        <v>0.16420000000000001</v>
      </c>
      <c r="O161" s="10">
        <v>2</v>
      </c>
      <c r="P161" s="10">
        <v>34</v>
      </c>
      <c r="Q161" s="10">
        <v>36</v>
      </c>
      <c r="R161" s="10" t="str">
        <f>VLOOKUP(Cleaned_datasetB[[#This Row],[Weather_Code]],Lookup_Tables!$E$9:$F$13,2,FALSE)</f>
        <v>Cloudy</v>
      </c>
      <c r="S161" s="10" t="str">
        <f>INDEX(Lookup_Tables!$I$10:$I$16,MATCH(Cleaned_datasetB[[#This Row],[Day_Code]],Lookup_Tables!$H$10:$H$16,0))</f>
        <v>Friday</v>
      </c>
      <c r="T161" s="10" t="str">
        <f>VLOOKUP(Cleaned_datasetB[[#This Row],[Month]], Lookup_Tables!$K$8:$L$19, 2, FALSE)</f>
        <v>January</v>
      </c>
      <c r="U161" s="10" t="str">
        <f>IF(AND(Cleaned_datasetB[[#This Row],[Day_Type]]="Weekday",Cleaned_datasetB[[#This Row],[Is_Holiday]]=FALSE),"Working Day","Non-Working Day")</f>
        <v>Working Day</v>
      </c>
    </row>
    <row r="162" spans="1:21">
      <c r="A162" s="10">
        <v>161</v>
      </c>
      <c r="B162" s="23">
        <v>40550</v>
      </c>
      <c r="C162" s="10">
        <v>1</v>
      </c>
      <c r="D162" s="10">
        <v>0</v>
      </c>
      <c r="E162" s="10">
        <v>1</v>
      </c>
      <c r="F162" s="10">
        <v>23</v>
      </c>
      <c r="G162" s="10" t="b">
        <v>0</v>
      </c>
      <c r="H162" s="10">
        <v>5</v>
      </c>
      <c r="I162" s="10" t="str">
        <f>IF(OR(Cleaned_datasetB[[#This Row],[Day_Code]]=0,Cleaned_datasetB[[#This Row],[Day_Code]]=6),"Weekend","Weekday")</f>
        <v>Weekday</v>
      </c>
      <c r="J162" s="10">
        <v>2</v>
      </c>
      <c r="K162" s="10">
        <v>0.18</v>
      </c>
      <c r="L162" s="51">
        <v>0.19700000000000001</v>
      </c>
      <c r="M162" s="10">
        <v>0.51</v>
      </c>
      <c r="N162" s="10">
        <v>0.16420000000000001</v>
      </c>
      <c r="O162" s="10">
        <v>1</v>
      </c>
      <c r="P162" s="10">
        <v>14</v>
      </c>
      <c r="Q162" s="10">
        <v>15</v>
      </c>
      <c r="R162" s="10" t="str">
        <f>VLOOKUP(Cleaned_datasetB[[#This Row],[Weather_Code]],Lookup_Tables!$E$9:$F$13,2,FALSE)</f>
        <v>Cloudy</v>
      </c>
      <c r="S162" s="10" t="str">
        <f>INDEX(Lookup_Tables!$I$10:$I$16,MATCH(Cleaned_datasetB[[#This Row],[Day_Code]],Lookup_Tables!$H$10:$H$16,0))</f>
        <v>Friday</v>
      </c>
      <c r="T162" s="10" t="str">
        <f>VLOOKUP(Cleaned_datasetB[[#This Row],[Month]], Lookup_Tables!$K$8:$L$19, 2, FALSE)</f>
        <v>January</v>
      </c>
      <c r="U162" s="10" t="str">
        <f>IF(AND(Cleaned_datasetB[[#This Row],[Day_Type]]="Weekday",Cleaned_datasetB[[#This Row],[Is_Holiday]]=FALSE),"Working Day","Non-Working Day")</f>
        <v>Working Day</v>
      </c>
    </row>
    <row r="163" spans="1:21">
      <c r="A163" s="10">
        <v>162</v>
      </c>
      <c r="B163" s="23">
        <v>40551</v>
      </c>
      <c r="C163" s="10">
        <v>1</v>
      </c>
      <c r="D163" s="10">
        <v>0</v>
      </c>
      <c r="E163" s="10">
        <v>1</v>
      </c>
      <c r="F163" s="10">
        <v>0</v>
      </c>
      <c r="G163" s="10" t="b">
        <v>0</v>
      </c>
      <c r="H163" s="10">
        <v>6</v>
      </c>
      <c r="I163" s="10" t="str">
        <f>IF(OR(Cleaned_datasetB[[#This Row],[Day_Code]]=0,Cleaned_datasetB[[#This Row],[Day_Code]]=6),"Weekend","Weekday")</f>
        <v>Weekend</v>
      </c>
      <c r="J163" s="10">
        <v>2</v>
      </c>
      <c r="K163" s="10">
        <v>0.18</v>
      </c>
      <c r="L163" s="51">
        <v>0.19700000000000001</v>
      </c>
      <c r="M163" s="10">
        <v>0.51</v>
      </c>
      <c r="N163" s="10">
        <v>0.16420000000000001</v>
      </c>
      <c r="O163" s="10">
        <v>1</v>
      </c>
      <c r="P163" s="10">
        <v>24</v>
      </c>
      <c r="Q163" s="10">
        <v>25</v>
      </c>
      <c r="R163" s="10" t="str">
        <f>VLOOKUP(Cleaned_datasetB[[#This Row],[Weather_Code]],Lookup_Tables!$E$9:$F$13,2,FALSE)</f>
        <v>Cloudy</v>
      </c>
      <c r="S163" s="10" t="str">
        <f>INDEX(Lookup_Tables!$I$10:$I$16,MATCH(Cleaned_datasetB[[#This Row],[Day_Code]],Lookup_Tables!$H$10:$H$16,0))</f>
        <v>Saturday</v>
      </c>
      <c r="T163" s="10" t="str">
        <f>VLOOKUP(Cleaned_datasetB[[#This Row],[Month]], Lookup_Tables!$K$8:$L$19, 2, FALSE)</f>
        <v>January</v>
      </c>
      <c r="U163" s="10" t="str">
        <f>IF(AND(Cleaned_datasetB[[#This Row],[Day_Type]]="Weekday",Cleaned_datasetB[[#This Row],[Is_Holiday]]=FALSE),"Working Day","Non-Working Day")</f>
        <v>Non-Working Day</v>
      </c>
    </row>
    <row r="164" spans="1:21">
      <c r="A164" s="10">
        <v>163</v>
      </c>
      <c r="B164" s="23">
        <v>40551</v>
      </c>
      <c r="C164" s="10">
        <v>1</v>
      </c>
      <c r="D164" s="10">
        <v>0</v>
      </c>
      <c r="E164" s="10">
        <v>1</v>
      </c>
      <c r="F164" s="10">
        <v>1</v>
      </c>
      <c r="G164" s="10" t="b">
        <v>0</v>
      </c>
      <c r="H164" s="10">
        <v>6</v>
      </c>
      <c r="I164" s="10" t="str">
        <f>IF(OR(Cleaned_datasetB[[#This Row],[Day_Code]]=0,Cleaned_datasetB[[#This Row],[Day_Code]]=6),"Weekend","Weekday")</f>
        <v>Weekend</v>
      </c>
      <c r="J164" s="10">
        <v>2</v>
      </c>
      <c r="K164" s="10">
        <v>0.18</v>
      </c>
      <c r="L164" s="51">
        <v>0.21210000000000001</v>
      </c>
      <c r="M164" s="10">
        <v>0.55000000000000004</v>
      </c>
      <c r="N164" s="10">
        <v>8.9599999999999999E-2</v>
      </c>
      <c r="O164" s="10">
        <v>1</v>
      </c>
      <c r="P164" s="10">
        <v>15</v>
      </c>
      <c r="Q164" s="10">
        <v>16</v>
      </c>
      <c r="R164" s="10" t="str">
        <f>VLOOKUP(Cleaned_datasetB[[#This Row],[Weather_Code]],Lookup_Tables!$E$9:$F$13,2,FALSE)</f>
        <v>Cloudy</v>
      </c>
      <c r="S164" s="10" t="str">
        <f>INDEX(Lookup_Tables!$I$10:$I$16,MATCH(Cleaned_datasetB[[#This Row],[Day_Code]],Lookup_Tables!$H$10:$H$16,0))</f>
        <v>Saturday</v>
      </c>
      <c r="T164" s="10" t="str">
        <f>VLOOKUP(Cleaned_datasetB[[#This Row],[Month]], Lookup_Tables!$K$8:$L$19, 2, FALSE)</f>
        <v>January</v>
      </c>
      <c r="U164" s="10" t="str">
        <f>IF(AND(Cleaned_datasetB[[#This Row],[Day_Type]]="Weekday",Cleaned_datasetB[[#This Row],[Is_Holiday]]=FALSE),"Working Day","Non-Working Day")</f>
        <v>Non-Working Day</v>
      </c>
    </row>
    <row r="165" spans="1:21">
      <c r="A165" s="10">
        <v>164</v>
      </c>
      <c r="B165" s="23">
        <v>40551</v>
      </c>
      <c r="C165" s="10">
        <v>1</v>
      </c>
      <c r="D165" s="10">
        <v>0</v>
      </c>
      <c r="E165" s="10">
        <v>1</v>
      </c>
      <c r="F165" s="10">
        <v>2</v>
      </c>
      <c r="G165" s="10" t="b">
        <v>0</v>
      </c>
      <c r="H165" s="10">
        <v>6</v>
      </c>
      <c r="I165" s="10" t="str">
        <f>IF(OR(Cleaned_datasetB[[#This Row],[Day_Code]]=0,Cleaned_datasetB[[#This Row],[Day_Code]]=6),"Weekend","Weekday")</f>
        <v>Weekend</v>
      </c>
      <c r="J165" s="10">
        <v>2</v>
      </c>
      <c r="K165" s="10">
        <v>0.18</v>
      </c>
      <c r="L165" s="51">
        <v>0.2424</v>
      </c>
      <c r="M165" s="10">
        <v>0.55000000000000004</v>
      </c>
      <c r="N165" s="10">
        <v>0</v>
      </c>
      <c r="O165" s="10">
        <v>3</v>
      </c>
      <c r="P165" s="10">
        <v>13</v>
      </c>
      <c r="Q165" s="10">
        <v>16</v>
      </c>
      <c r="R165" s="10" t="str">
        <f>VLOOKUP(Cleaned_datasetB[[#This Row],[Weather_Code]],Lookup_Tables!$E$9:$F$13,2,FALSE)</f>
        <v>Cloudy</v>
      </c>
      <c r="S165" s="10" t="str">
        <f>INDEX(Lookup_Tables!$I$10:$I$16,MATCH(Cleaned_datasetB[[#This Row],[Day_Code]],Lookup_Tables!$H$10:$H$16,0))</f>
        <v>Saturday</v>
      </c>
      <c r="T165" s="10" t="str">
        <f>VLOOKUP(Cleaned_datasetB[[#This Row],[Month]], Lookup_Tables!$K$8:$L$19, 2, FALSE)</f>
        <v>January</v>
      </c>
      <c r="U165" s="10" t="str">
        <f>IF(AND(Cleaned_datasetB[[#This Row],[Day_Type]]="Weekday",Cleaned_datasetB[[#This Row],[Is_Holiday]]=FALSE),"Working Day","Non-Working Day")</f>
        <v>Non-Working Day</v>
      </c>
    </row>
    <row r="166" spans="1:21">
      <c r="A166" s="10">
        <v>165</v>
      </c>
      <c r="B166" s="23">
        <v>40551</v>
      </c>
      <c r="C166" s="10">
        <v>1</v>
      </c>
      <c r="D166" s="10">
        <v>0</v>
      </c>
      <c r="E166" s="10">
        <v>1</v>
      </c>
      <c r="F166" s="10">
        <v>3</v>
      </c>
      <c r="G166" s="10" t="b">
        <v>0</v>
      </c>
      <c r="H166" s="10">
        <v>6</v>
      </c>
      <c r="I166" s="10" t="str">
        <f>IF(OR(Cleaned_datasetB[[#This Row],[Day_Code]]=0,Cleaned_datasetB[[#This Row],[Day_Code]]=6),"Weekend","Weekday")</f>
        <v>Weekend</v>
      </c>
      <c r="J166" s="10">
        <v>3</v>
      </c>
      <c r="K166" s="10">
        <v>0.18</v>
      </c>
      <c r="L166" s="51">
        <v>0.19700000000000001</v>
      </c>
      <c r="M166" s="10">
        <v>0.55000000000000004</v>
      </c>
      <c r="N166" s="10">
        <v>0.16420000000000001</v>
      </c>
      <c r="O166" s="10">
        <v>0</v>
      </c>
      <c r="P166" s="10">
        <v>7</v>
      </c>
      <c r="Q166" s="10">
        <v>7</v>
      </c>
      <c r="R166" s="10" t="str">
        <f>VLOOKUP(Cleaned_datasetB[[#This Row],[Weather_Code]],Lookup_Tables!$E$9:$F$13,2,FALSE)</f>
        <v>Light Rain</v>
      </c>
      <c r="S166" s="10" t="str">
        <f>INDEX(Lookup_Tables!$I$10:$I$16,MATCH(Cleaned_datasetB[[#This Row],[Day_Code]],Lookup_Tables!$H$10:$H$16,0))</f>
        <v>Saturday</v>
      </c>
      <c r="T166" s="10" t="str">
        <f>VLOOKUP(Cleaned_datasetB[[#This Row],[Month]], Lookup_Tables!$K$8:$L$19, 2, FALSE)</f>
        <v>January</v>
      </c>
      <c r="U166" s="10" t="str">
        <f>IF(AND(Cleaned_datasetB[[#This Row],[Day_Type]]="Weekday",Cleaned_datasetB[[#This Row],[Is_Holiday]]=FALSE),"Working Day","Non-Working Day")</f>
        <v>Non-Working Day</v>
      </c>
    </row>
    <row r="167" spans="1:21">
      <c r="A167" s="10">
        <v>166</v>
      </c>
      <c r="B167" s="23">
        <v>40551</v>
      </c>
      <c r="C167" s="10">
        <v>1</v>
      </c>
      <c r="D167" s="10">
        <v>0</v>
      </c>
      <c r="E167" s="10">
        <v>1</v>
      </c>
      <c r="F167" s="10">
        <v>4</v>
      </c>
      <c r="G167" s="10" t="b">
        <v>0</v>
      </c>
      <c r="H167" s="10">
        <v>6</v>
      </c>
      <c r="I167" s="10" t="str">
        <f>IF(OR(Cleaned_datasetB[[#This Row],[Day_Code]]=0,Cleaned_datasetB[[#This Row],[Day_Code]]=6),"Weekend","Weekday")</f>
        <v>Weekend</v>
      </c>
      <c r="J167" s="10">
        <v>3</v>
      </c>
      <c r="K167" s="10">
        <v>0.18</v>
      </c>
      <c r="L167" s="51">
        <v>0.19700000000000001</v>
      </c>
      <c r="M167" s="10">
        <v>0.55000000000000004</v>
      </c>
      <c r="N167" s="10">
        <v>0.16420000000000001</v>
      </c>
      <c r="O167" s="10">
        <v>0</v>
      </c>
      <c r="P167" s="10">
        <v>1</v>
      </c>
      <c r="Q167" s="10">
        <v>1</v>
      </c>
      <c r="R167" s="10" t="str">
        <f>VLOOKUP(Cleaned_datasetB[[#This Row],[Weather_Code]],Lookup_Tables!$E$9:$F$13,2,FALSE)</f>
        <v>Light Rain</v>
      </c>
      <c r="S167" s="10" t="str">
        <f>INDEX(Lookup_Tables!$I$10:$I$16,MATCH(Cleaned_datasetB[[#This Row],[Day_Code]],Lookup_Tables!$H$10:$H$16,0))</f>
        <v>Saturday</v>
      </c>
      <c r="T167" s="10" t="str">
        <f>VLOOKUP(Cleaned_datasetB[[#This Row],[Month]], Lookup_Tables!$K$8:$L$19, 2, FALSE)</f>
        <v>January</v>
      </c>
      <c r="U167" s="10" t="str">
        <f>IF(AND(Cleaned_datasetB[[#This Row],[Day_Type]]="Weekday",Cleaned_datasetB[[#This Row],[Is_Holiday]]=FALSE),"Working Day","Non-Working Day")</f>
        <v>Non-Working Day</v>
      </c>
    </row>
    <row r="168" spans="1:21">
      <c r="A168" s="10">
        <v>167</v>
      </c>
      <c r="B168" s="23">
        <v>40551</v>
      </c>
      <c r="C168" s="10">
        <v>1</v>
      </c>
      <c r="D168" s="10">
        <v>0</v>
      </c>
      <c r="E168" s="10">
        <v>1</v>
      </c>
      <c r="F168" s="10">
        <v>5</v>
      </c>
      <c r="G168" s="10" t="b">
        <v>0</v>
      </c>
      <c r="H168" s="10">
        <v>6</v>
      </c>
      <c r="I168" s="10" t="str">
        <f>IF(OR(Cleaned_datasetB[[#This Row],[Day_Code]]=0,Cleaned_datasetB[[#This Row],[Day_Code]]=6),"Weekend","Weekday")</f>
        <v>Weekend</v>
      </c>
      <c r="J168" s="10">
        <v>2</v>
      </c>
      <c r="K168" s="10">
        <v>0.16</v>
      </c>
      <c r="L168" s="51">
        <v>0.16669999999999999</v>
      </c>
      <c r="M168" s="10">
        <v>0.74</v>
      </c>
      <c r="N168" s="10">
        <v>0.16420000000000001</v>
      </c>
      <c r="O168" s="10">
        <v>0</v>
      </c>
      <c r="P168" s="10">
        <v>5</v>
      </c>
      <c r="Q168" s="10">
        <v>5</v>
      </c>
      <c r="R168" s="10" t="str">
        <f>VLOOKUP(Cleaned_datasetB[[#This Row],[Weather_Code]],Lookup_Tables!$E$9:$F$13,2,FALSE)</f>
        <v>Cloudy</v>
      </c>
      <c r="S168" s="10" t="str">
        <f>INDEX(Lookup_Tables!$I$10:$I$16,MATCH(Cleaned_datasetB[[#This Row],[Day_Code]],Lookup_Tables!$H$10:$H$16,0))</f>
        <v>Saturday</v>
      </c>
      <c r="T168" s="10" t="str">
        <f>VLOOKUP(Cleaned_datasetB[[#This Row],[Month]], Lookup_Tables!$K$8:$L$19, 2, FALSE)</f>
        <v>January</v>
      </c>
      <c r="U168" s="10" t="str">
        <f>IF(AND(Cleaned_datasetB[[#This Row],[Day_Type]]="Weekday",Cleaned_datasetB[[#This Row],[Is_Holiday]]=FALSE),"Working Day","Non-Working Day")</f>
        <v>Non-Working Day</v>
      </c>
    </row>
    <row r="169" spans="1:21">
      <c r="A169" s="10">
        <v>168</v>
      </c>
      <c r="B169" s="23">
        <v>40551</v>
      </c>
      <c r="C169" s="10">
        <v>1</v>
      </c>
      <c r="D169" s="10">
        <v>0</v>
      </c>
      <c r="E169" s="10">
        <v>1</v>
      </c>
      <c r="F169" s="10">
        <v>6</v>
      </c>
      <c r="G169" s="10" t="b">
        <v>0</v>
      </c>
      <c r="H169" s="10">
        <v>6</v>
      </c>
      <c r="I169" s="10" t="str">
        <f>IF(OR(Cleaned_datasetB[[#This Row],[Day_Code]]=0,Cleaned_datasetB[[#This Row],[Day_Code]]=6),"Weekend","Weekday")</f>
        <v>Weekend</v>
      </c>
      <c r="J169" s="10">
        <v>2</v>
      </c>
      <c r="K169" s="10">
        <v>0.16</v>
      </c>
      <c r="L169" s="51">
        <v>0.16669999999999999</v>
      </c>
      <c r="M169" s="10">
        <v>0.74</v>
      </c>
      <c r="N169" s="10">
        <v>0.16420000000000001</v>
      </c>
      <c r="O169" s="10">
        <v>0</v>
      </c>
      <c r="P169" s="10">
        <v>2</v>
      </c>
      <c r="Q169" s="10">
        <v>2</v>
      </c>
      <c r="R169" s="10" t="str">
        <f>VLOOKUP(Cleaned_datasetB[[#This Row],[Weather_Code]],Lookup_Tables!$E$9:$F$13,2,FALSE)</f>
        <v>Cloudy</v>
      </c>
      <c r="S169" s="10" t="str">
        <f>INDEX(Lookup_Tables!$I$10:$I$16,MATCH(Cleaned_datasetB[[#This Row],[Day_Code]],Lookup_Tables!$H$10:$H$16,0))</f>
        <v>Saturday</v>
      </c>
      <c r="T169" s="10" t="str">
        <f>VLOOKUP(Cleaned_datasetB[[#This Row],[Month]], Lookup_Tables!$K$8:$L$19, 2, FALSE)</f>
        <v>January</v>
      </c>
      <c r="U169" s="10" t="str">
        <f>IF(AND(Cleaned_datasetB[[#This Row],[Day_Type]]="Weekday",Cleaned_datasetB[[#This Row],[Is_Holiday]]=FALSE),"Working Day","Non-Working Day")</f>
        <v>Non-Working Day</v>
      </c>
    </row>
    <row r="170" spans="1:21">
      <c r="A170" s="10">
        <v>169</v>
      </c>
      <c r="B170" s="23">
        <v>40551</v>
      </c>
      <c r="C170" s="10">
        <v>1</v>
      </c>
      <c r="D170" s="10">
        <v>0</v>
      </c>
      <c r="E170" s="10">
        <v>1</v>
      </c>
      <c r="F170" s="10">
        <v>7</v>
      </c>
      <c r="G170" s="10" t="b">
        <v>0</v>
      </c>
      <c r="H170" s="10">
        <v>6</v>
      </c>
      <c r="I170" s="10" t="str">
        <f>IF(OR(Cleaned_datasetB[[#This Row],[Day_Code]]=0,Cleaned_datasetB[[#This Row],[Day_Code]]=6),"Weekend","Weekday")</f>
        <v>Weekend</v>
      </c>
      <c r="J170" s="10">
        <v>2</v>
      </c>
      <c r="K170" s="10">
        <v>0.16</v>
      </c>
      <c r="L170" s="51">
        <v>0.18179999999999999</v>
      </c>
      <c r="M170" s="10">
        <v>0.74</v>
      </c>
      <c r="N170" s="10">
        <v>0.1045</v>
      </c>
      <c r="O170" s="10">
        <v>1</v>
      </c>
      <c r="P170" s="10">
        <v>8</v>
      </c>
      <c r="Q170" s="10">
        <v>9</v>
      </c>
      <c r="R170" s="10" t="str">
        <f>VLOOKUP(Cleaned_datasetB[[#This Row],[Weather_Code]],Lookup_Tables!$E$9:$F$13,2,FALSE)</f>
        <v>Cloudy</v>
      </c>
      <c r="S170" s="10" t="str">
        <f>INDEX(Lookup_Tables!$I$10:$I$16,MATCH(Cleaned_datasetB[[#This Row],[Day_Code]],Lookup_Tables!$H$10:$H$16,0))</f>
        <v>Saturday</v>
      </c>
      <c r="T170" s="10" t="str">
        <f>VLOOKUP(Cleaned_datasetB[[#This Row],[Month]], Lookup_Tables!$K$8:$L$19, 2, FALSE)</f>
        <v>January</v>
      </c>
      <c r="U170" s="10" t="str">
        <f>IF(AND(Cleaned_datasetB[[#This Row],[Day_Type]]="Weekday",Cleaned_datasetB[[#This Row],[Is_Holiday]]=FALSE),"Working Day","Non-Working Day")</f>
        <v>Non-Working Day</v>
      </c>
    </row>
    <row r="171" spans="1:21">
      <c r="A171" s="10">
        <v>170</v>
      </c>
      <c r="B171" s="23">
        <v>40551</v>
      </c>
      <c r="C171" s="10">
        <v>1</v>
      </c>
      <c r="D171" s="10">
        <v>0</v>
      </c>
      <c r="E171" s="10">
        <v>1</v>
      </c>
      <c r="F171" s="10">
        <v>8</v>
      </c>
      <c r="G171" s="10" t="b">
        <v>0</v>
      </c>
      <c r="H171" s="10">
        <v>6</v>
      </c>
      <c r="I171" s="10" t="str">
        <f>IF(OR(Cleaned_datasetB[[#This Row],[Day_Code]]=0,Cleaned_datasetB[[#This Row],[Day_Code]]=6),"Weekend","Weekday")</f>
        <v>Weekend</v>
      </c>
      <c r="J171" s="10">
        <v>3</v>
      </c>
      <c r="K171" s="10">
        <v>0.16</v>
      </c>
      <c r="L171" s="51">
        <v>0.18179999999999999</v>
      </c>
      <c r="M171" s="10">
        <v>0.93</v>
      </c>
      <c r="N171" s="10">
        <v>0.1045</v>
      </c>
      <c r="O171" s="10">
        <v>0</v>
      </c>
      <c r="P171" s="10">
        <v>15</v>
      </c>
      <c r="Q171" s="10">
        <v>15</v>
      </c>
      <c r="R171" s="10" t="str">
        <f>VLOOKUP(Cleaned_datasetB[[#This Row],[Weather_Code]],Lookup_Tables!$E$9:$F$13,2,FALSE)</f>
        <v>Light Rain</v>
      </c>
      <c r="S171" s="10" t="str">
        <f>INDEX(Lookup_Tables!$I$10:$I$16,MATCH(Cleaned_datasetB[[#This Row],[Day_Code]],Lookup_Tables!$H$10:$H$16,0))</f>
        <v>Saturday</v>
      </c>
      <c r="T171" s="10" t="str">
        <f>VLOOKUP(Cleaned_datasetB[[#This Row],[Month]], Lookup_Tables!$K$8:$L$19, 2, FALSE)</f>
        <v>January</v>
      </c>
      <c r="U171" s="10" t="str">
        <f>IF(AND(Cleaned_datasetB[[#This Row],[Day_Type]]="Weekday",Cleaned_datasetB[[#This Row],[Is_Holiday]]=FALSE),"Working Day","Non-Working Day")</f>
        <v>Non-Working Day</v>
      </c>
    </row>
    <row r="172" spans="1:21">
      <c r="A172" s="10">
        <v>171</v>
      </c>
      <c r="B172" s="23">
        <v>40551</v>
      </c>
      <c r="C172" s="10">
        <v>1</v>
      </c>
      <c r="D172" s="10">
        <v>0</v>
      </c>
      <c r="E172" s="10">
        <v>1</v>
      </c>
      <c r="F172" s="10">
        <v>9</v>
      </c>
      <c r="G172" s="10" t="b">
        <v>0</v>
      </c>
      <c r="H172" s="10">
        <v>6</v>
      </c>
      <c r="I172" s="10" t="str">
        <f>IF(OR(Cleaned_datasetB[[#This Row],[Day_Code]]=0,Cleaned_datasetB[[#This Row],[Day_Code]]=6),"Weekend","Weekday")</f>
        <v>Weekend</v>
      </c>
      <c r="J172" s="10">
        <v>3</v>
      </c>
      <c r="K172" s="10">
        <v>0.16</v>
      </c>
      <c r="L172" s="51">
        <v>0.18179999999999999</v>
      </c>
      <c r="M172" s="10">
        <v>0.93</v>
      </c>
      <c r="N172" s="10">
        <v>0.1045</v>
      </c>
      <c r="O172" s="10">
        <v>0</v>
      </c>
      <c r="P172" s="10">
        <v>20</v>
      </c>
      <c r="Q172" s="10">
        <v>20</v>
      </c>
      <c r="R172" s="10" t="str">
        <f>VLOOKUP(Cleaned_datasetB[[#This Row],[Weather_Code]],Lookup_Tables!$E$9:$F$13,2,FALSE)</f>
        <v>Light Rain</v>
      </c>
      <c r="S172" s="10" t="str">
        <f>INDEX(Lookup_Tables!$I$10:$I$16,MATCH(Cleaned_datasetB[[#This Row],[Day_Code]],Lookup_Tables!$H$10:$H$16,0))</f>
        <v>Saturday</v>
      </c>
      <c r="T172" s="10" t="str">
        <f>VLOOKUP(Cleaned_datasetB[[#This Row],[Month]], Lookup_Tables!$K$8:$L$19, 2, FALSE)</f>
        <v>January</v>
      </c>
      <c r="U172" s="10" t="str">
        <f>IF(AND(Cleaned_datasetB[[#This Row],[Day_Type]]="Weekday",Cleaned_datasetB[[#This Row],[Is_Holiday]]=FALSE),"Working Day","Non-Working Day")</f>
        <v>Non-Working Day</v>
      </c>
    </row>
    <row r="173" spans="1:21">
      <c r="A173" s="10">
        <v>172</v>
      </c>
      <c r="B173" s="23">
        <v>40551</v>
      </c>
      <c r="C173" s="10">
        <v>1</v>
      </c>
      <c r="D173" s="10">
        <v>0</v>
      </c>
      <c r="E173" s="10">
        <v>1</v>
      </c>
      <c r="F173" s="10">
        <v>10</v>
      </c>
      <c r="G173" s="10" t="b">
        <v>0</v>
      </c>
      <c r="H173" s="10">
        <v>6</v>
      </c>
      <c r="I173" s="10" t="str">
        <f>IF(OR(Cleaned_datasetB[[#This Row],[Day_Code]]=0,Cleaned_datasetB[[#This Row],[Day_Code]]=6),"Weekend","Weekday")</f>
        <v>Weekend</v>
      </c>
      <c r="J173" s="10">
        <v>2</v>
      </c>
      <c r="K173" s="10">
        <v>0.18</v>
      </c>
      <c r="L173" s="51">
        <v>0.19700000000000001</v>
      </c>
      <c r="M173" s="10">
        <v>0.8</v>
      </c>
      <c r="N173" s="10">
        <v>0.16420000000000001</v>
      </c>
      <c r="O173" s="10">
        <v>5</v>
      </c>
      <c r="P173" s="10">
        <v>56</v>
      </c>
      <c r="Q173" s="10">
        <v>61</v>
      </c>
      <c r="R173" s="10" t="str">
        <f>VLOOKUP(Cleaned_datasetB[[#This Row],[Weather_Code]],Lookup_Tables!$E$9:$F$13,2,FALSE)</f>
        <v>Cloudy</v>
      </c>
      <c r="S173" s="10" t="str">
        <f>INDEX(Lookup_Tables!$I$10:$I$16,MATCH(Cleaned_datasetB[[#This Row],[Day_Code]],Lookup_Tables!$H$10:$H$16,0))</f>
        <v>Saturday</v>
      </c>
      <c r="T173" s="10" t="str">
        <f>VLOOKUP(Cleaned_datasetB[[#This Row],[Month]], Lookup_Tables!$K$8:$L$19, 2, FALSE)</f>
        <v>January</v>
      </c>
      <c r="U173" s="10" t="str">
        <f>IF(AND(Cleaned_datasetB[[#This Row],[Day_Type]]="Weekday",Cleaned_datasetB[[#This Row],[Is_Holiday]]=FALSE),"Working Day","Non-Working Day")</f>
        <v>Non-Working Day</v>
      </c>
    </row>
    <row r="174" spans="1:21">
      <c r="A174" s="10">
        <v>173</v>
      </c>
      <c r="B174" s="23">
        <v>40551</v>
      </c>
      <c r="C174" s="10">
        <v>1</v>
      </c>
      <c r="D174" s="10">
        <v>0</v>
      </c>
      <c r="E174" s="10">
        <v>1</v>
      </c>
      <c r="F174" s="10">
        <v>11</v>
      </c>
      <c r="G174" s="10" t="b">
        <v>0</v>
      </c>
      <c r="H174" s="10">
        <v>6</v>
      </c>
      <c r="I174" s="10" t="str">
        <f>IF(OR(Cleaned_datasetB[[#This Row],[Day_Code]]=0,Cleaned_datasetB[[#This Row],[Day_Code]]=6),"Weekend","Weekday")</f>
        <v>Weekend</v>
      </c>
      <c r="J174" s="10">
        <v>2</v>
      </c>
      <c r="K174" s="10">
        <v>0.2</v>
      </c>
      <c r="L174" s="51">
        <v>0.18179999999999999</v>
      </c>
      <c r="M174" s="10">
        <v>0.69</v>
      </c>
      <c r="N174" s="10">
        <v>0.3881</v>
      </c>
      <c r="O174" s="10">
        <v>2</v>
      </c>
      <c r="P174" s="10">
        <v>60</v>
      </c>
      <c r="Q174" s="10">
        <v>62</v>
      </c>
      <c r="R174" s="10" t="str">
        <f>VLOOKUP(Cleaned_datasetB[[#This Row],[Weather_Code]],Lookup_Tables!$E$9:$F$13,2,FALSE)</f>
        <v>Cloudy</v>
      </c>
      <c r="S174" s="10" t="str">
        <f>INDEX(Lookup_Tables!$I$10:$I$16,MATCH(Cleaned_datasetB[[#This Row],[Day_Code]],Lookup_Tables!$H$10:$H$16,0))</f>
        <v>Saturday</v>
      </c>
      <c r="T174" s="10" t="str">
        <f>VLOOKUP(Cleaned_datasetB[[#This Row],[Month]], Lookup_Tables!$K$8:$L$19, 2, FALSE)</f>
        <v>January</v>
      </c>
      <c r="U174" s="10" t="str">
        <f>IF(AND(Cleaned_datasetB[[#This Row],[Day_Type]]="Weekday",Cleaned_datasetB[[#This Row],[Is_Holiday]]=FALSE),"Working Day","Non-Working Day")</f>
        <v>Non-Working Day</v>
      </c>
    </row>
    <row r="175" spans="1:21">
      <c r="A175" s="10">
        <v>174</v>
      </c>
      <c r="B175" s="23">
        <v>40551</v>
      </c>
      <c r="C175" s="10">
        <v>1</v>
      </c>
      <c r="D175" s="10">
        <v>0</v>
      </c>
      <c r="E175" s="10">
        <v>1</v>
      </c>
      <c r="F175" s="10">
        <v>12</v>
      </c>
      <c r="G175" s="10" t="b">
        <v>0</v>
      </c>
      <c r="H175" s="10">
        <v>6</v>
      </c>
      <c r="I175" s="10" t="str">
        <f>IF(OR(Cleaned_datasetB[[#This Row],[Day_Code]]=0,Cleaned_datasetB[[#This Row],[Day_Code]]=6),"Weekend","Weekday")</f>
        <v>Weekend</v>
      </c>
      <c r="J175" s="10">
        <v>2</v>
      </c>
      <c r="K175" s="10">
        <v>0.2</v>
      </c>
      <c r="L175" s="51">
        <v>0.18179999999999999</v>
      </c>
      <c r="M175" s="10">
        <v>0.59</v>
      </c>
      <c r="N175" s="10">
        <v>0.35820000000000002</v>
      </c>
      <c r="O175" s="10">
        <v>8</v>
      </c>
      <c r="P175" s="10">
        <v>90</v>
      </c>
      <c r="Q175" s="10">
        <v>98</v>
      </c>
      <c r="R175" s="10" t="str">
        <f>VLOOKUP(Cleaned_datasetB[[#This Row],[Weather_Code]],Lookup_Tables!$E$9:$F$13,2,FALSE)</f>
        <v>Cloudy</v>
      </c>
      <c r="S175" s="10" t="str">
        <f>INDEX(Lookup_Tables!$I$10:$I$16,MATCH(Cleaned_datasetB[[#This Row],[Day_Code]],Lookup_Tables!$H$10:$H$16,0))</f>
        <v>Saturday</v>
      </c>
      <c r="T175" s="10" t="str">
        <f>VLOOKUP(Cleaned_datasetB[[#This Row],[Month]], Lookup_Tables!$K$8:$L$19, 2, FALSE)</f>
        <v>January</v>
      </c>
      <c r="U175" s="10" t="str">
        <f>IF(AND(Cleaned_datasetB[[#This Row],[Day_Type]]="Weekday",Cleaned_datasetB[[#This Row],[Is_Holiday]]=FALSE),"Working Day","Non-Working Day")</f>
        <v>Non-Working Day</v>
      </c>
    </row>
    <row r="176" spans="1:21">
      <c r="A176" s="10">
        <v>175</v>
      </c>
      <c r="B176" s="23">
        <v>40551</v>
      </c>
      <c r="C176" s="10">
        <v>1</v>
      </c>
      <c r="D176" s="10">
        <v>0</v>
      </c>
      <c r="E176" s="10">
        <v>1</v>
      </c>
      <c r="F176" s="10">
        <v>13</v>
      </c>
      <c r="G176" s="10" t="b">
        <v>0</v>
      </c>
      <c r="H176" s="10">
        <v>6</v>
      </c>
      <c r="I176" s="10" t="str">
        <f>IF(OR(Cleaned_datasetB[[#This Row],[Day_Code]]=0,Cleaned_datasetB[[#This Row],[Day_Code]]=6),"Weekend","Weekday")</f>
        <v>Weekend</v>
      </c>
      <c r="J176" s="10">
        <v>1</v>
      </c>
      <c r="K176" s="10">
        <v>0.2</v>
      </c>
      <c r="L176" s="51">
        <v>0.18179999999999999</v>
      </c>
      <c r="M176" s="10">
        <v>0.44</v>
      </c>
      <c r="N176" s="10">
        <v>0.32840000000000003</v>
      </c>
      <c r="O176" s="10">
        <v>7</v>
      </c>
      <c r="P176" s="10">
        <v>95</v>
      </c>
      <c r="Q176" s="10">
        <v>102</v>
      </c>
      <c r="R176" s="10" t="str">
        <f>VLOOKUP(Cleaned_datasetB[[#This Row],[Weather_Code]],Lookup_Tables!$E$9:$F$13,2,FALSE)</f>
        <v>Clear</v>
      </c>
      <c r="S176" s="10" t="str">
        <f>INDEX(Lookup_Tables!$I$10:$I$16,MATCH(Cleaned_datasetB[[#This Row],[Day_Code]],Lookup_Tables!$H$10:$H$16,0))</f>
        <v>Saturday</v>
      </c>
      <c r="T176" s="10" t="str">
        <f>VLOOKUP(Cleaned_datasetB[[#This Row],[Month]], Lookup_Tables!$K$8:$L$19, 2, FALSE)</f>
        <v>January</v>
      </c>
      <c r="U176" s="10" t="str">
        <f>IF(AND(Cleaned_datasetB[[#This Row],[Day_Type]]="Weekday",Cleaned_datasetB[[#This Row],[Is_Holiday]]=FALSE),"Working Day","Non-Working Day")</f>
        <v>Non-Working Day</v>
      </c>
    </row>
    <row r="177" spans="1:21">
      <c r="A177" s="10">
        <v>176</v>
      </c>
      <c r="B177" s="23">
        <v>40551</v>
      </c>
      <c r="C177" s="10">
        <v>1</v>
      </c>
      <c r="D177" s="10">
        <v>0</v>
      </c>
      <c r="E177" s="10">
        <v>1</v>
      </c>
      <c r="F177" s="10">
        <v>14</v>
      </c>
      <c r="G177" s="10" t="b">
        <v>0</v>
      </c>
      <c r="H177" s="10">
        <v>6</v>
      </c>
      <c r="I177" s="10" t="str">
        <f>IF(OR(Cleaned_datasetB[[#This Row],[Day_Code]]=0,Cleaned_datasetB[[#This Row],[Day_Code]]=6),"Weekend","Weekday")</f>
        <v>Weekend</v>
      </c>
      <c r="J177" s="10">
        <v>1</v>
      </c>
      <c r="K177" s="10">
        <v>0.2</v>
      </c>
      <c r="L177" s="51">
        <v>0.16669999999999999</v>
      </c>
      <c r="M177" s="10">
        <v>0.32</v>
      </c>
      <c r="N177" s="10">
        <v>0.49249999999999999</v>
      </c>
      <c r="O177" s="10">
        <v>12</v>
      </c>
      <c r="P177" s="10">
        <v>83</v>
      </c>
      <c r="Q177" s="10">
        <v>95</v>
      </c>
      <c r="R177" s="10" t="str">
        <f>VLOOKUP(Cleaned_datasetB[[#This Row],[Weather_Code]],Lookup_Tables!$E$9:$F$13,2,FALSE)</f>
        <v>Clear</v>
      </c>
      <c r="S177" s="10" t="str">
        <f>INDEX(Lookup_Tables!$I$10:$I$16,MATCH(Cleaned_datasetB[[#This Row],[Day_Code]],Lookup_Tables!$H$10:$H$16,0))</f>
        <v>Saturday</v>
      </c>
      <c r="T177" s="10" t="str">
        <f>VLOOKUP(Cleaned_datasetB[[#This Row],[Month]], Lookup_Tables!$K$8:$L$19, 2, FALSE)</f>
        <v>January</v>
      </c>
      <c r="U177" s="10" t="str">
        <f>IF(AND(Cleaned_datasetB[[#This Row],[Day_Type]]="Weekday",Cleaned_datasetB[[#This Row],[Is_Holiday]]=FALSE),"Working Day","Non-Working Day")</f>
        <v>Non-Working Day</v>
      </c>
    </row>
    <row r="178" spans="1:21">
      <c r="A178" s="10">
        <v>177</v>
      </c>
      <c r="B178" s="23">
        <v>40551</v>
      </c>
      <c r="C178" s="10">
        <v>1</v>
      </c>
      <c r="D178" s="10">
        <v>0</v>
      </c>
      <c r="E178" s="10">
        <v>1</v>
      </c>
      <c r="F178" s="10">
        <v>15</v>
      </c>
      <c r="G178" s="10" t="b">
        <v>0</v>
      </c>
      <c r="H178" s="10">
        <v>6</v>
      </c>
      <c r="I178" s="10" t="str">
        <f>IF(OR(Cleaned_datasetB[[#This Row],[Day_Code]]=0,Cleaned_datasetB[[#This Row],[Day_Code]]=6),"Weekend","Weekday")</f>
        <v>Weekend</v>
      </c>
      <c r="J178" s="10">
        <v>1</v>
      </c>
      <c r="K178" s="10">
        <v>0.2</v>
      </c>
      <c r="L178" s="51">
        <v>0.16669999999999999</v>
      </c>
      <c r="M178" s="10">
        <v>0.32</v>
      </c>
      <c r="N178" s="10">
        <v>0.44779999999999998</v>
      </c>
      <c r="O178" s="10">
        <v>5</v>
      </c>
      <c r="P178" s="10">
        <v>69</v>
      </c>
      <c r="Q178" s="10">
        <v>74</v>
      </c>
      <c r="R178" s="10" t="str">
        <f>VLOOKUP(Cleaned_datasetB[[#This Row],[Weather_Code]],Lookup_Tables!$E$9:$F$13,2,FALSE)</f>
        <v>Clear</v>
      </c>
      <c r="S178" s="10" t="str">
        <f>INDEX(Lookup_Tables!$I$10:$I$16,MATCH(Cleaned_datasetB[[#This Row],[Day_Code]],Lookup_Tables!$H$10:$H$16,0))</f>
        <v>Saturday</v>
      </c>
      <c r="T178" s="10" t="str">
        <f>VLOOKUP(Cleaned_datasetB[[#This Row],[Month]], Lookup_Tables!$K$8:$L$19, 2, FALSE)</f>
        <v>January</v>
      </c>
      <c r="U178" s="10" t="str">
        <f>IF(AND(Cleaned_datasetB[[#This Row],[Day_Type]]="Weekday",Cleaned_datasetB[[#This Row],[Is_Holiday]]=FALSE),"Working Day","Non-Working Day")</f>
        <v>Non-Working Day</v>
      </c>
    </row>
    <row r="179" spans="1:21">
      <c r="A179" s="10">
        <v>178</v>
      </c>
      <c r="B179" s="23">
        <v>40551</v>
      </c>
      <c r="C179" s="10">
        <v>1</v>
      </c>
      <c r="D179" s="10">
        <v>0</v>
      </c>
      <c r="E179" s="10">
        <v>1</v>
      </c>
      <c r="F179" s="10">
        <v>16</v>
      </c>
      <c r="G179" s="10" t="b">
        <v>0</v>
      </c>
      <c r="H179" s="10">
        <v>6</v>
      </c>
      <c r="I179" s="10" t="str">
        <f>IF(OR(Cleaned_datasetB[[#This Row],[Day_Code]]=0,Cleaned_datasetB[[#This Row],[Day_Code]]=6),"Weekend","Weekday")</f>
        <v>Weekend</v>
      </c>
      <c r="J179" s="10">
        <v>1</v>
      </c>
      <c r="K179" s="10">
        <v>0.18</v>
      </c>
      <c r="L179" s="51">
        <v>0.13639999999999999</v>
      </c>
      <c r="M179" s="10">
        <v>0.28999999999999998</v>
      </c>
      <c r="N179" s="10">
        <v>0.44779999999999998</v>
      </c>
      <c r="O179" s="10">
        <v>8</v>
      </c>
      <c r="P179" s="10">
        <v>68</v>
      </c>
      <c r="Q179" s="10">
        <v>76</v>
      </c>
      <c r="R179" s="10" t="str">
        <f>VLOOKUP(Cleaned_datasetB[[#This Row],[Weather_Code]],Lookup_Tables!$E$9:$F$13,2,FALSE)</f>
        <v>Clear</v>
      </c>
      <c r="S179" s="10" t="str">
        <f>INDEX(Lookup_Tables!$I$10:$I$16,MATCH(Cleaned_datasetB[[#This Row],[Day_Code]],Lookup_Tables!$H$10:$H$16,0))</f>
        <v>Saturday</v>
      </c>
      <c r="T179" s="10" t="str">
        <f>VLOOKUP(Cleaned_datasetB[[#This Row],[Month]], Lookup_Tables!$K$8:$L$19, 2, FALSE)</f>
        <v>January</v>
      </c>
      <c r="U179" s="10" t="str">
        <f>IF(AND(Cleaned_datasetB[[#This Row],[Day_Type]]="Weekday",Cleaned_datasetB[[#This Row],[Is_Holiday]]=FALSE),"Working Day","Non-Working Day")</f>
        <v>Non-Working Day</v>
      </c>
    </row>
    <row r="180" spans="1:21">
      <c r="A180" s="10">
        <v>179</v>
      </c>
      <c r="B180" s="23">
        <v>40551</v>
      </c>
      <c r="C180" s="10">
        <v>1</v>
      </c>
      <c r="D180" s="10">
        <v>0</v>
      </c>
      <c r="E180" s="10">
        <v>1</v>
      </c>
      <c r="F180" s="10">
        <v>17</v>
      </c>
      <c r="G180" s="10" t="b">
        <v>0</v>
      </c>
      <c r="H180" s="10">
        <v>6</v>
      </c>
      <c r="I180" s="10" t="str">
        <f>IF(OR(Cleaned_datasetB[[#This Row],[Day_Code]]=0,Cleaned_datasetB[[#This Row],[Day_Code]]=6),"Weekend","Weekday")</f>
        <v>Weekend</v>
      </c>
      <c r="J180" s="10">
        <v>1</v>
      </c>
      <c r="K180" s="10">
        <v>0.16</v>
      </c>
      <c r="L180" s="51">
        <v>0.1212</v>
      </c>
      <c r="M180" s="10">
        <v>0.37</v>
      </c>
      <c r="N180" s="10">
        <v>0.55220000000000002</v>
      </c>
      <c r="O180" s="10">
        <v>5</v>
      </c>
      <c r="P180" s="10">
        <v>64</v>
      </c>
      <c r="Q180" s="10">
        <v>69</v>
      </c>
      <c r="R180" s="10" t="str">
        <f>VLOOKUP(Cleaned_datasetB[[#This Row],[Weather_Code]],Lookup_Tables!$E$9:$F$13,2,FALSE)</f>
        <v>Clear</v>
      </c>
      <c r="S180" s="10" t="str">
        <f>INDEX(Lookup_Tables!$I$10:$I$16,MATCH(Cleaned_datasetB[[#This Row],[Day_Code]],Lookup_Tables!$H$10:$H$16,0))</f>
        <v>Saturday</v>
      </c>
      <c r="T180" s="10" t="str">
        <f>VLOOKUP(Cleaned_datasetB[[#This Row],[Month]], Lookup_Tables!$K$8:$L$19, 2, FALSE)</f>
        <v>January</v>
      </c>
      <c r="U180" s="10" t="str">
        <f>IF(AND(Cleaned_datasetB[[#This Row],[Day_Type]]="Weekday",Cleaned_datasetB[[#This Row],[Is_Holiday]]=FALSE),"Working Day","Non-Working Day")</f>
        <v>Non-Working Day</v>
      </c>
    </row>
    <row r="181" spans="1:21">
      <c r="A181" s="10">
        <v>180</v>
      </c>
      <c r="B181" s="23">
        <v>40551</v>
      </c>
      <c r="C181" s="10">
        <v>1</v>
      </c>
      <c r="D181" s="10">
        <v>0</v>
      </c>
      <c r="E181" s="10">
        <v>1</v>
      </c>
      <c r="F181" s="10">
        <v>18</v>
      </c>
      <c r="G181" s="10" t="b">
        <v>0</v>
      </c>
      <c r="H181" s="10">
        <v>6</v>
      </c>
      <c r="I181" s="10" t="str">
        <f>IF(OR(Cleaned_datasetB[[#This Row],[Day_Code]]=0,Cleaned_datasetB[[#This Row],[Day_Code]]=6),"Weekend","Weekday")</f>
        <v>Weekend</v>
      </c>
      <c r="J181" s="10">
        <v>1</v>
      </c>
      <c r="K181" s="10">
        <v>0.14000000000000001</v>
      </c>
      <c r="L181" s="51">
        <v>0.1212</v>
      </c>
      <c r="M181" s="10">
        <v>0.39</v>
      </c>
      <c r="N181" s="10">
        <v>0.29849999999999999</v>
      </c>
      <c r="O181" s="10">
        <v>3</v>
      </c>
      <c r="P181" s="10">
        <v>52</v>
      </c>
      <c r="Q181" s="10">
        <v>55</v>
      </c>
      <c r="R181" s="10" t="str">
        <f>VLOOKUP(Cleaned_datasetB[[#This Row],[Weather_Code]],Lookup_Tables!$E$9:$F$13,2,FALSE)</f>
        <v>Clear</v>
      </c>
      <c r="S181" s="10" t="str">
        <f>INDEX(Lookup_Tables!$I$10:$I$16,MATCH(Cleaned_datasetB[[#This Row],[Day_Code]],Lookup_Tables!$H$10:$H$16,0))</f>
        <v>Saturday</v>
      </c>
      <c r="T181" s="10" t="str">
        <f>VLOOKUP(Cleaned_datasetB[[#This Row],[Month]], Lookup_Tables!$K$8:$L$19, 2, FALSE)</f>
        <v>January</v>
      </c>
      <c r="U181" s="10" t="str">
        <f>IF(AND(Cleaned_datasetB[[#This Row],[Day_Type]]="Weekday",Cleaned_datasetB[[#This Row],[Is_Holiday]]=FALSE),"Working Day","Non-Working Day")</f>
        <v>Non-Working Day</v>
      </c>
    </row>
    <row r="182" spans="1:21">
      <c r="A182" s="10">
        <v>181</v>
      </c>
      <c r="B182" s="23">
        <v>40551</v>
      </c>
      <c r="C182" s="10">
        <v>1</v>
      </c>
      <c r="D182" s="10">
        <v>0</v>
      </c>
      <c r="E182" s="10">
        <v>1</v>
      </c>
      <c r="F182" s="10">
        <v>19</v>
      </c>
      <c r="G182" s="10" t="b">
        <v>0</v>
      </c>
      <c r="H182" s="10">
        <v>6</v>
      </c>
      <c r="I182" s="10" t="str">
        <f>IF(OR(Cleaned_datasetB[[#This Row],[Day_Code]]=0,Cleaned_datasetB[[#This Row],[Day_Code]]=6),"Weekend","Weekday")</f>
        <v>Weekend</v>
      </c>
      <c r="J182" s="10">
        <v>1</v>
      </c>
      <c r="K182" s="10">
        <v>0.14000000000000001</v>
      </c>
      <c r="L182" s="51">
        <v>0.1212</v>
      </c>
      <c r="M182" s="10">
        <v>0.36</v>
      </c>
      <c r="N182" s="10">
        <v>0.25369999999999998</v>
      </c>
      <c r="O182" s="10">
        <v>4</v>
      </c>
      <c r="P182" s="10">
        <v>26</v>
      </c>
      <c r="Q182" s="10">
        <v>30</v>
      </c>
      <c r="R182" s="10" t="str">
        <f>VLOOKUP(Cleaned_datasetB[[#This Row],[Weather_Code]],Lookup_Tables!$E$9:$F$13,2,FALSE)</f>
        <v>Clear</v>
      </c>
      <c r="S182" s="10" t="str">
        <f>INDEX(Lookup_Tables!$I$10:$I$16,MATCH(Cleaned_datasetB[[#This Row],[Day_Code]],Lookup_Tables!$H$10:$H$16,0))</f>
        <v>Saturday</v>
      </c>
      <c r="T182" s="10" t="str">
        <f>VLOOKUP(Cleaned_datasetB[[#This Row],[Month]], Lookup_Tables!$K$8:$L$19, 2, FALSE)</f>
        <v>January</v>
      </c>
      <c r="U182" s="10" t="str">
        <f>IF(AND(Cleaned_datasetB[[#This Row],[Day_Type]]="Weekday",Cleaned_datasetB[[#This Row],[Is_Holiday]]=FALSE),"Working Day","Non-Working Day")</f>
        <v>Non-Working Day</v>
      </c>
    </row>
    <row r="183" spans="1:21">
      <c r="A183" s="10">
        <v>182</v>
      </c>
      <c r="B183" s="23">
        <v>40551</v>
      </c>
      <c r="C183" s="10">
        <v>1</v>
      </c>
      <c r="D183" s="10">
        <v>0</v>
      </c>
      <c r="E183" s="10">
        <v>1</v>
      </c>
      <c r="F183" s="10">
        <v>20</v>
      </c>
      <c r="G183" s="10" t="b">
        <v>0</v>
      </c>
      <c r="H183" s="10">
        <v>6</v>
      </c>
      <c r="I183" s="10" t="str">
        <f>IF(OR(Cleaned_datasetB[[#This Row],[Day_Code]]=0,Cleaned_datasetB[[#This Row],[Day_Code]]=6),"Weekend","Weekday")</f>
        <v>Weekend</v>
      </c>
      <c r="J183" s="10">
        <v>1</v>
      </c>
      <c r="K183" s="10">
        <v>0.12</v>
      </c>
      <c r="L183" s="51">
        <v>0.1212</v>
      </c>
      <c r="M183" s="10">
        <v>0.36</v>
      </c>
      <c r="N183" s="10">
        <v>0.25369999999999998</v>
      </c>
      <c r="O183" s="10">
        <v>0</v>
      </c>
      <c r="P183" s="10">
        <v>28</v>
      </c>
      <c r="Q183" s="10">
        <v>28</v>
      </c>
      <c r="R183" s="10" t="str">
        <f>VLOOKUP(Cleaned_datasetB[[#This Row],[Weather_Code]],Lookup_Tables!$E$9:$F$13,2,FALSE)</f>
        <v>Clear</v>
      </c>
      <c r="S183" s="10" t="str">
        <f>INDEX(Lookup_Tables!$I$10:$I$16,MATCH(Cleaned_datasetB[[#This Row],[Day_Code]],Lookup_Tables!$H$10:$H$16,0))</f>
        <v>Saturday</v>
      </c>
      <c r="T183" s="10" t="str">
        <f>VLOOKUP(Cleaned_datasetB[[#This Row],[Month]], Lookup_Tables!$K$8:$L$19, 2, FALSE)</f>
        <v>January</v>
      </c>
      <c r="U183" s="10" t="str">
        <f>IF(AND(Cleaned_datasetB[[#This Row],[Day_Type]]="Weekday",Cleaned_datasetB[[#This Row],[Is_Holiday]]=FALSE),"Working Day","Non-Working Day")</f>
        <v>Non-Working Day</v>
      </c>
    </row>
    <row r="184" spans="1:21">
      <c r="A184" s="10">
        <v>183</v>
      </c>
      <c r="B184" s="23">
        <v>40551</v>
      </c>
      <c r="C184" s="10">
        <v>1</v>
      </c>
      <c r="D184" s="10">
        <v>0</v>
      </c>
      <c r="E184" s="10">
        <v>1</v>
      </c>
      <c r="F184" s="10">
        <v>21</v>
      </c>
      <c r="G184" s="10" t="b">
        <v>0</v>
      </c>
      <c r="H184" s="10">
        <v>6</v>
      </c>
      <c r="I184" s="10" t="str">
        <f>IF(OR(Cleaned_datasetB[[#This Row],[Day_Code]]=0,Cleaned_datasetB[[#This Row],[Day_Code]]=6),"Weekend","Weekday")</f>
        <v>Weekend</v>
      </c>
      <c r="J184" s="10">
        <v>1</v>
      </c>
      <c r="K184" s="10">
        <v>0.12</v>
      </c>
      <c r="L184" s="51">
        <v>0.1061</v>
      </c>
      <c r="M184" s="10">
        <v>0.39</v>
      </c>
      <c r="N184" s="10">
        <v>0.35820000000000002</v>
      </c>
      <c r="O184" s="10">
        <v>2</v>
      </c>
      <c r="P184" s="10">
        <v>35</v>
      </c>
      <c r="Q184" s="10">
        <v>37</v>
      </c>
      <c r="R184" s="10" t="str">
        <f>VLOOKUP(Cleaned_datasetB[[#This Row],[Weather_Code]],Lookup_Tables!$E$9:$F$13,2,FALSE)</f>
        <v>Clear</v>
      </c>
      <c r="S184" s="10" t="str">
        <f>INDEX(Lookup_Tables!$I$10:$I$16,MATCH(Cleaned_datasetB[[#This Row],[Day_Code]],Lookup_Tables!$H$10:$H$16,0))</f>
        <v>Saturday</v>
      </c>
      <c r="T184" s="10" t="str">
        <f>VLOOKUP(Cleaned_datasetB[[#This Row],[Month]], Lookup_Tables!$K$8:$L$19, 2, FALSE)</f>
        <v>January</v>
      </c>
      <c r="U184" s="10" t="str">
        <f>IF(AND(Cleaned_datasetB[[#This Row],[Day_Type]]="Weekday",Cleaned_datasetB[[#This Row],[Is_Holiday]]=FALSE),"Working Day","Non-Working Day")</f>
        <v>Non-Working Day</v>
      </c>
    </row>
    <row r="185" spans="1:21">
      <c r="A185" s="10">
        <v>184</v>
      </c>
      <c r="B185" s="23">
        <v>40551</v>
      </c>
      <c r="C185" s="10">
        <v>1</v>
      </c>
      <c r="D185" s="10">
        <v>0</v>
      </c>
      <c r="E185" s="10">
        <v>1</v>
      </c>
      <c r="F185" s="10">
        <v>22</v>
      </c>
      <c r="G185" s="10" t="b">
        <v>0</v>
      </c>
      <c r="H185" s="10">
        <v>6</v>
      </c>
      <c r="I185" s="10" t="str">
        <f>IF(OR(Cleaned_datasetB[[#This Row],[Day_Code]]=0,Cleaned_datasetB[[#This Row],[Day_Code]]=6),"Weekend","Weekday")</f>
        <v>Weekend</v>
      </c>
      <c r="J185" s="10">
        <v>1</v>
      </c>
      <c r="K185" s="10">
        <v>0.12</v>
      </c>
      <c r="L185" s="51">
        <v>0.1061</v>
      </c>
      <c r="M185" s="10">
        <v>0.36</v>
      </c>
      <c r="N185" s="10">
        <v>0.3881</v>
      </c>
      <c r="O185" s="10">
        <v>1</v>
      </c>
      <c r="P185" s="10">
        <v>33</v>
      </c>
      <c r="Q185" s="10">
        <v>34</v>
      </c>
      <c r="R185" s="10" t="str">
        <f>VLOOKUP(Cleaned_datasetB[[#This Row],[Weather_Code]],Lookup_Tables!$E$9:$F$13,2,FALSE)</f>
        <v>Clear</v>
      </c>
      <c r="S185" s="10" t="str">
        <f>INDEX(Lookup_Tables!$I$10:$I$16,MATCH(Cleaned_datasetB[[#This Row],[Day_Code]],Lookup_Tables!$H$10:$H$16,0))</f>
        <v>Saturday</v>
      </c>
      <c r="T185" s="10" t="str">
        <f>VLOOKUP(Cleaned_datasetB[[#This Row],[Month]], Lookup_Tables!$K$8:$L$19, 2, FALSE)</f>
        <v>January</v>
      </c>
      <c r="U185" s="10" t="str">
        <f>IF(AND(Cleaned_datasetB[[#This Row],[Day_Type]]="Weekday",Cleaned_datasetB[[#This Row],[Is_Holiday]]=FALSE),"Working Day","Non-Working Day")</f>
        <v>Non-Working Day</v>
      </c>
    </row>
    <row r="186" spans="1:21">
      <c r="A186" s="10">
        <v>185</v>
      </c>
      <c r="B186" s="23">
        <v>40551</v>
      </c>
      <c r="C186" s="10">
        <v>1</v>
      </c>
      <c r="D186" s="10">
        <v>0</v>
      </c>
      <c r="E186" s="10">
        <v>1</v>
      </c>
      <c r="F186" s="10">
        <v>23</v>
      </c>
      <c r="G186" s="10" t="b">
        <v>0</v>
      </c>
      <c r="H186" s="10">
        <v>6</v>
      </c>
      <c r="I186" s="10" t="str">
        <f>IF(OR(Cleaned_datasetB[[#This Row],[Day_Code]]=0,Cleaned_datasetB[[#This Row],[Day_Code]]=6),"Weekend","Weekday")</f>
        <v>Weekend</v>
      </c>
      <c r="J186" s="10">
        <v>1</v>
      </c>
      <c r="K186" s="10">
        <v>0.1</v>
      </c>
      <c r="L186" s="51">
        <v>6.0600000000000001E-2</v>
      </c>
      <c r="M186" s="10">
        <v>0.39</v>
      </c>
      <c r="N186" s="10">
        <v>0.44779999999999998</v>
      </c>
      <c r="O186" s="10">
        <v>0</v>
      </c>
      <c r="P186" s="10">
        <v>22</v>
      </c>
      <c r="Q186" s="10">
        <v>22</v>
      </c>
      <c r="R186" s="10" t="str">
        <f>VLOOKUP(Cleaned_datasetB[[#This Row],[Weather_Code]],Lookup_Tables!$E$9:$F$13,2,FALSE)</f>
        <v>Clear</v>
      </c>
      <c r="S186" s="10" t="str">
        <f>INDEX(Lookup_Tables!$I$10:$I$16,MATCH(Cleaned_datasetB[[#This Row],[Day_Code]],Lookup_Tables!$H$10:$H$16,0))</f>
        <v>Saturday</v>
      </c>
      <c r="T186" s="10" t="str">
        <f>VLOOKUP(Cleaned_datasetB[[#This Row],[Month]], Lookup_Tables!$K$8:$L$19, 2, FALSE)</f>
        <v>January</v>
      </c>
      <c r="U186" s="10" t="str">
        <f>IF(AND(Cleaned_datasetB[[#This Row],[Day_Type]]="Weekday",Cleaned_datasetB[[#This Row],[Is_Holiday]]=FALSE),"Working Day","Non-Working Day")</f>
        <v>Non-Working Day</v>
      </c>
    </row>
    <row r="187" spans="1:21">
      <c r="A187" s="10">
        <v>186</v>
      </c>
      <c r="B187" s="23">
        <v>40552</v>
      </c>
      <c r="C187" s="10">
        <v>1</v>
      </c>
      <c r="D187" s="10">
        <v>0</v>
      </c>
      <c r="E187" s="10">
        <v>1</v>
      </c>
      <c r="F187" s="10">
        <v>0</v>
      </c>
      <c r="G187" s="10" t="b">
        <v>0</v>
      </c>
      <c r="H187" s="10">
        <v>0</v>
      </c>
      <c r="I187" s="10" t="str">
        <f>IF(OR(Cleaned_datasetB[[#This Row],[Day_Code]]=0,Cleaned_datasetB[[#This Row],[Day_Code]]=6),"Weekend","Weekday")</f>
        <v>Weekend</v>
      </c>
      <c r="J187" s="10">
        <v>1</v>
      </c>
      <c r="K187" s="10">
        <v>0.1</v>
      </c>
      <c r="L187" s="51">
        <v>7.5800000000000006E-2</v>
      </c>
      <c r="M187" s="10">
        <v>0.42</v>
      </c>
      <c r="N187" s="10">
        <v>0.3881</v>
      </c>
      <c r="O187" s="10">
        <v>1</v>
      </c>
      <c r="P187" s="10">
        <v>24</v>
      </c>
      <c r="Q187" s="10">
        <v>25</v>
      </c>
      <c r="R187" s="10" t="str">
        <f>VLOOKUP(Cleaned_datasetB[[#This Row],[Weather_Code]],Lookup_Tables!$E$9:$F$13,2,FALSE)</f>
        <v>Clear</v>
      </c>
      <c r="S187" s="10" t="str">
        <f>INDEX(Lookup_Tables!$I$10:$I$16,MATCH(Cleaned_datasetB[[#This Row],[Day_Code]],Lookup_Tables!$H$10:$H$16,0))</f>
        <v>Sunday</v>
      </c>
      <c r="T187" s="10" t="str">
        <f>VLOOKUP(Cleaned_datasetB[[#This Row],[Month]], Lookup_Tables!$K$8:$L$19, 2, FALSE)</f>
        <v>January</v>
      </c>
      <c r="U187" s="10" t="str">
        <f>IF(AND(Cleaned_datasetB[[#This Row],[Day_Type]]="Weekday",Cleaned_datasetB[[#This Row],[Is_Holiday]]=FALSE),"Working Day","Non-Working Day")</f>
        <v>Non-Working Day</v>
      </c>
    </row>
    <row r="188" spans="1:21">
      <c r="A188" s="10">
        <v>187</v>
      </c>
      <c r="B188" s="23">
        <v>40552</v>
      </c>
      <c r="C188" s="10">
        <v>1</v>
      </c>
      <c r="D188" s="10">
        <v>0</v>
      </c>
      <c r="E188" s="10">
        <v>1</v>
      </c>
      <c r="F188" s="10">
        <v>1</v>
      </c>
      <c r="G188" s="10" t="b">
        <v>0</v>
      </c>
      <c r="H188" s="10">
        <v>0</v>
      </c>
      <c r="I188" s="10" t="str">
        <f>IF(OR(Cleaned_datasetB[[#This Row],[Day_Code]]=0,Cleaned_datasetB[[#This Row],[Day_Code]]=6),"Weekend","Weekday")</f>
        <v>Weekend</v>
      </c>
      <c r="J188" s="10">
        <v>1</v>
      </c>
      <c r="K188" s="10">
        <v>0.1</v>
      </c>
      <c r="L188" s="51">
        <v>6.0600000000000001E-2</v>
      </c>
      <c r="M188" s="10">
        <v>0.42</v>
      </c>
      <c r="N188" s="10">
        <v>0.4627</v>
      </c>
      <c r="O188" s="10">
        <v>0</v>
      </c>
      <c r="P188" s="10">
        <v>12</v>
      </c>
      <c r="Q188" s="10">
        <v>12</v>
      </c>
      <c r="R188" s="10" t="str">
        <f>VLOOKUP(Cleaned_datasetB[[#This Row],[Weather_Code]],Lookup_Tables!$E$9:$F$13,2,FALSE)</f>
        <v>Clear</v>
      </c>
      <c r="S188" s="10" t="str">
        <f>INDEX(Lookup_Tables!$I$10:$I$16,MATCH(Cleaned_datasetB[[#This Row],[Day_Code]],Lookup_Tables!$H$10:$H$16,0))</f>
        <v>Sunday</v>
      </c>
      <c r="T188" s="10" t="str">
        <f>VLOOKUP(Cleaned_datasetB[[#This Row],[Month]], Lookup_Tables!$K$8:$L$19, 2, FALSE)</f>
        <v>January</v>
      </c>
      <c r="U188" s="10" t="str">
        <f>IF(AND(Cleaned_datasetB[[#This Row],[Day_Type]]="Weekday",Cleaned_datasetB[[#This Row],[Is_Holiday]]=FALSE),"Working Day","Non-Working Day")</f>
        <v>Non-Working Day</v>
      </c>
    </row>
    <row r="189" spans="1:21">
      <c r="A189" s="10">
        <v>188</v>
      </c>
      <c r="B189" s="23">
        <v>40552</v>
      </c>
      <c r="C189" s="10">
        <v>1</v>
      </c>
      <c r="D189" s="10">
        <v>0</v>
      </c>
      <c r="E189" s="10">
        <v>1</v>
      </c>
      <c r="F189" s="10">
        <v>2</v>
      </c>
      <c r="G189" s="10" t="b">
        <v>0</v>
      </c>
      <c r="H189" s="10">
        <v>0</v>
      </c>
      <c r="I189" s="10" t="str">
        <f>IF(OR(Cleaned_datasetB[[#This Row],[Day_Code]]=0,Cleaned_datasetB[[#This Row],[Day_Code]]=6),"Weekend","Weekday")</f>
        <v>Weekend</v>
      </c>
      <c r="J189" s="10">
        <v>1</v>
      </c>
      <c r="K189" s="10">
        <v>0.1</v>
      </c>
      <c r="L189" s="51">
        <v>6.0600000000000001E-2</v>
      </c>
      <c r="M189" s="10">
        <v>0.46</v>
      </c>
      <c r="N189" s="10">
        <v>0.4627</v>
      </c>
      <c r="O189" s="10">
        <v>0</v>
      </c>
      <c r="P189" s="10">
        <v>11</v>
      </c>
      <c r="Q189" s="10">
        <v>11</v>
      </c>
      <c r="R189" s="10" t="str">
        <f>VLOOKUP(Cleaned_datasetB[[#This Row],[Weather_Code]],Lookup_Tables!$E$9:$F$13,2,FALSE)</f>
        <v>Clear</v>
      </c>
      <c r="S189" s="10" t="str">
        <f>INDEX(Lookup_Tables!$I$10:$I$16,MATCH(Cleaned_datasetB[[#This Row],[Day_Code]],Lookup_Tables!$H$10:$H$16,0))</f>
        <v>Sunday</v>
      </c>
      <c r="T189" s="10" t="str">
        <f>VLOOKUP(Cleaned_datasetB[[#This Row],[Month]], Lookup_Tables!$K$8:$L$19, 2, FALSE)</f>
        <v>January</v>
      </c>
      <c r="U189" s="10" t="str">
        <f>IF(AND(Cleaned_datasetB[[#This Row],[Day_Type]]="Weekday",Cleaned_datasetB[[#This Row],[Is_Holiday]]=FALSE),"Working Day","Non-Working Day")</f>
        <v>Non-Working Day</v>
      </c>
    </row>
    <row r="190" spans="1:21">
      <c r="A190" s="10">
        <v>189</v>
      </c>
      <c r="B190" s="23">
        <v>40552</v>
      </c>
      <c r="C190" s="10">
        <v>1</v>
      </c>
      <c r="D190" s="10">
        <v>0</v>
      </c>
      <c r="E190" s="10">
        <v>1</v>
      </c>
      <c r="F190" s="10">
        <v>3</v>
      </c>
      <c r="G190" s="10" t="b">
        <v>0</v>
      </c>
      <c r="H190" s="10">
        <v>0</v>
      </c>
      <c r="I190" s="10" t="str">
        <f>IF(OR(Cleaned_datasetB[[#This Row],[Day_Code]]=0,Cleaned_datasetB[[#This Row],[Day_Code]]=6),"Weekend","Weekday")</f>
        <v>Weekend</v>
      </c>
      <c r="J190" s="10">
        <v>1</v>
      </c>
      <c r="K190" s="10">
        <v>0.1</v>
      </c>
      <c r="L190" s="51">
        <v>7.5800000000000006E-2</v>
      </c>
      <c r="M190" s="10">
        <v>0.46</v>
      </c>
      <c r="N190" s="10">
        <v>0.41789999999999999</v>
      </c>
      <c r="O190" s="10">
        <v>0</v>
      </c>
      <c r="P190" s="10">
        <v>4</v>
      </c>
      <c r="Q190" s="10">
        <v>4</v>
      </c>
      <c r="R190" s="10" t="str">
        <f>VLOOKUP(Cleaned_datasetB[[#This Row],[Weather_Code]],Lookup_Tables!$E$9:$F$13,2,FALSE)</f>
        <v>Clear</v>
      </c>
      <c r="S190" s="10" t="str">
        <f>INDEX(Lookup_Tables!$I$10:$I$16,MATCH(Cleaned_datasetB[[#This Row],[Day_Code]],Lookup_Tables!$H$10:$H$16,0))</f>
        <v>Sunday</v>
      </c>
      <c r="T190" s="10" t="str">
        <f>VLOOKUP(Cleaned_datasetB[[#This Row],[Month]], Lookup_Tables!$K$8:$L$19, 2, FALSE)</f>
        <v>January</v>
      </c>
      <c r="U190" s="10" t="str">
        <f>IF(AND(Cleaned_datasetB[[#This Row],[Day_Type]]="Weekday",Cleaned_datasetB[[#This Row],[Is_Holiday]]=FALSE),"Working Day","Non-Working Day")</f>
        <v>Non-Working Day</v>
      </c>
    </row>
    <row r="191" spans="1:21">
      <c r="A191" s="10">
        <v>190</v>
      </c>
      <c r="B191" s="23">
        <v>40552</v>
      </c>
      <c r="C191" s="10">
        <v>1</v>
      </c>
      <c r="D191" s="10">
        <v>0</v>
      </c>
      <c r="E191" s="10">
        <v>1</v>
      </c>
      <c r="F191" s="10">
        <v>4</v>
      </c>
      <c r="G191" s="10" t="b">
        <v>0</v>
      </c>
      <c r="H191" s="10">
        <v>0</v>
      </c>
      <c r="I191" s="10" t="str">
        <f>IF(OR(Cleaned_datasetB[[#This Row],[Day_Code]]=0,Cleaned_datasetB[[#This Row],[Day_Code]]=6),"Weekend","Weekday")</f>
        <v>Weekend</v>
      </c>
      <c r="J191" s="10">
        <v>1</v>
      </c>
      <c r="K191" s="10">
        <v>0.08</v>
      </c>
      <c r="L191" s="51">
        <v>9.0899999999999995E-2</v>
      </c>
      <c r="M191" s="10">
        <v>0.53</v>
      </c>
      <c r="N191" s="10">
        <v>0.19400000000000001</v>
      </c>
      <c r="O191" s="10">
        <v>0</v>
      </c>
      <c r="P191" s="10">
        <v>1</v>
      </c>
      <c r="Q191" s="10">
        <v>1</v>
      </c>
      <c r="R191" s="10" t="str">
        <f>VLOOKUP(Cleaned_datasetB[[#This Row],[Weather_Code]],Lookup_Tables!$E$9:$F$13,2,FALSE)</f>
        <v>Clear</v>
      </c>
      <c r="S191" s="10" t="str">
        <f>INDEX(Lookup_Tables!$I$10:$I$16,MATCH(Cleaned_datasetB[[#This Row],[Day_Code]],Lookup_Tables!$H$10:$H$16,0))</f>
        <v>Sunday</v>
      </c>
      <c r="T191" s="10" t="str">
        <f>VLOOKUP(Cleaned_datasetB[[#This Row],[Month]], Lookup_Tables!$K$8:$L$19, 2, FALSE)</f>
        <v>January</v>
      </c>
      <c r="U191" s="10" t="str">
        <f>IF(AND(Cleaned_datasetB[[#This Row],[Day_Type]]="Weekday",Cleaned_datasetB[[#This Row],[Is_Holiday]]=FALSE),"Working Day","Non-Working Day")</f>
        <v>Non-Working Day</v>
      </c>
    </row>
    <row r="192" spans="1:21">
      <c r="A192" s="10">
        <v>191</v>
      </c>
      <c r="B192" s="23">
        <v>40552</v>
      </c>
      <c r="C192" s="10">
        <v>1</v>
      </c>
      <c r="D192" s="10">
        <v>0</v>
      </c>
      <c r="E192" s="10">
        <v>1</v>
      </c>
      <c r="F192" s="10">
        <v>5</v>
      </c>
      <c r="G192" s="10" t="b">
        <v>0</v>
      </c>
      <c r="H192" s="10">
        <v>0</v>
      </c>
      <c r="I192" s="10" t="str">
        <f>IF(OR(Cleaned_datasetB[[#This Row],[Day_Code]]=0,Cleaned_datasetB[[#This Row],[Day_Code]]=6),"Weekend","Weekday")</f>
        <v>Weekend</v>
      </c>
      <c r="J192" s="10">
        <v>1</v>
      </c>
      <c r="K192" s="10">
        <v>0.08</v>
      </c>
      <c r="L192" s="51">
        <v>9.0899999999999995E-2</v>
      </c>
      <c r="M192" s="10">
        <v>0.53</v>
      </c>
      <c r="N192" s="10">
        <v>0.19400000000000001</v>
      </c>
      <c r="O192" s="10">
        <v>0</v>
      </c>
      <c r="P192" s="10">
        <v>1</v>
      </c>
      <c r="Q192" s="10">
        <v>1</v>
      </c>
      <c r="R192" s="10" t="str">
        <f>VLOOKUP(Cleaned_datasetB[[#This Row],[Weather_Code]],Lookup_Tables!$E$9:$F$13,2,FALSE)</f>
        <v>Clear</v>
      </c>
      <c r="S192" s="10" t="str">
        <f>INDEX(Lookup_Tables!$I$10:$I$16,MATCH(Cleaned_datasetB[[#This Row],[Day_Code]],Lookup_Tables!$H$10:$H$16,0))</f>
        <v>Sunday</v>
      </c>
      <c r="T192" s="10" t="str">
        <f>VLOOKUP(Cleaned_datasetB[[#This Row],[Month]], Lookup_Tables!$K$8:$L$19, 2, FALSE)</f>
        <v>January</v>
      </c>
      <c r="U192" s="10" t="str">
        <f>IF(AND(Cleaned_datasetB[[#This Row],[Day_Type]]="Weekday",Cleaned_datasetB[[#This Row],[Is_Holiday]]=FALSE),"Working Day","Non-Working Day")</f>
        <v>Non-Working Day</v>
      </c>
    </row>
    <row r="193" spans="1:21">
      <c r="A193" s="10">
        <v>192</v>
      </c>
      <c r="B193" s="23">
        <v>40552</v>
      </c>
      <c r="C193" s="10">
        <v>1</v>
      </c>
      <c r="D193" s="10">
        <v>0</v>
      </c>
      <c r="E193" s="10">
        <v>1</v>
      </c>
      <c r="F193" s="10">
        <v>6</v>
      </c>
      <c r="G193" s="10" t="b">
        <v>0</v>
      </c>
      <c r="H193" s="10">
        <v>0</v>
      </c>
      <c r="I193" s="10" t="str">
        <f>IF(OR(Cleaned_datasetB[[#This Row],[Day_Code]]=0,Cleaned_datasetB[[#This Row],[Day_Code]]=6),"Weekend","Weekday")</f>
        <v>Weekend</v>
      </c>
      <c r="J193" s="10">
        <v>1</v>
      </c>
      <c r="K193" s="10">
        <v>0.1</v>
      </c>
      <c r="L193" s="51">
        <v>9.0899999999999995E-2</v>
      </c>
      <c r="M193" s="10">
        <v>0.49</v>
      </c>
      <c r="N193" s="10">
        <v>0.28360000000000002</v>
      </c>
      <c r="O193" s="10">
        <v>0</v>
      </c>
      <c r="P193" s="10">
        <v>1</v>
      </c>
      <c r="Q193" s="10">
        <v>1</v>
      </c>
      <c r="R193" s="10" t="str">
        <f>VLOOKUP(Cleaned_datasetB[[#This Row],[Weather_Code]],Lookup_Tables!$E$9:$F$13,2,FALSE)</f>
        <v>Clear</v>
      </c>
      <c r="S193" s="10" t="str">
        <f>INDEX(Lookup_Tables!$I$10:$I$16,MATCH(Cleaned_datasetB[[#This Row],[Day_Code]],Lookup_Tables!$H$10:$H$16,0))</f>
        <v>Sunday</v>
      </c>
      <c r="T193" s="10" t="str">
        <f>VLOOKUP(Cleaned_datasetB[[#This Row],[Month]], Lookup_Tables!$K$8:$L$19, 2, FALSE)</f>
        <v>January</v>
      </c>
      <c r="U193" s="10" t="str">
        <f>IF(AND(Cleaned_datasetB[[#This Row],[Day_Type]]="Weekday",Cleaned_datasetB[[#This Row],[Is_Holiday]]=FALSE),"Working Day","Non-Working Day")</f>
        <v>Non-Working Day</v>
      </c>
    </row>
    <row r="194" spans="1:21">
      <c r="A194" s="10">
        <v>193</v>
      </c>
      <c r="B194" s="23">
        <v>40552</v>
      </c>
      <c r="C194" s="10">
        <v>1</v>
      </c>
      <c r="D194" s="10">
        <v>0</v>
      </c>
      <c r="E194" s="10">
        <v>1</v>
      </c>
      <c r="F194" s="10">
        <v>7</v>
      </c>
      <c r="G194" s="10" t="b">
        <v>0</v>
      </c>
      <c r="H194" s="10">
        <v>0</v>
      </c>
      <c r="I194" s="10" t="str">
        <f>IF(OR(Cleaned_datasetB[[#This Row],[Day_Code]]=0,Cleaned_datasetB[[#This Row],[Day_Code]]=6),"Weekend","Weekday")</f>
        <v>Weekend</v>
      </c>
      <c r="J194" s="10">
        <v>1</v>
      </c>
      <c r="K194" s="10">
        <v>0.08</v>
      </c>
      <c r="L194" s="51">
        <v>9.0899999999999995E-2</v>
      </c>
      <c r="M194" s="10">
        <v>0.53</v>
      </c>
      <c r="N194" s="10">
        <v>0.19400000000000001</v>
      </c>
      <c r="O194" s="10">
        <v>1</v>
      </c>
      <c r="P194" s="10">
        <v>5</v>
      </c>
      <c r="Q194" s="10">
        <v>6</v>
      </c>
      <c r="R194" s="10" t="str">
        <f>VLOOKUP(Cleaned_datasetB[[#This Row],[Weather_Code]],Lookup_Tables!$E$9:$F$13,2,FALSE)</f>
        <v>Clear</v>
      </c>
      <c r="S194" s="10" t="str">
        <f>INDEX(Lookup_Tables!$I$10:$I$16,MATCH(Cleaned_datasetB[[#This Row],[Day_Code]],Lookup_Tables!$H$10:$H$16,0))</f>
        <v>Sunday</v>
      </c>
      <c r="T194" s="10" t="str">
        <f>VLOOKUP(Cleaned_datasetB[[#This Row],[Month]], Lookup_Tables!$K$8:$L$19, 2, FALSE)</f>
        <v>January</v>
      </c>
      <c r="U194" s="10" t="str">
        <f>IF(AND(Cleaned_datasetB[[#This Row],[Day_Type]]="Weekday",Cleaned_datasetB[[#This Row],[Is_Holiday]]=FALSE),"Working Day","Non-Working Day")</f>
        <v>Non-Working Day</v>
      </c>
    </row>
    <row r="195" spans="1:21">
      <c r="A195" s="10">
        <v>194</v>
      </c>
      <c r="B195" s="23">
        <v>40552</v>
      </c>
      <c r="C195" s="10">
        <v>1</v>
      </c>
      <c r="D195" s="10">
        <v>0</v>
      </c>
      <c r="E195" s="10">
        <v>1</v>
      </c>
      <c r="F195" s="10">
        <v>8</v>
      </c>
      <c r="G195" s="10" t="b">
        <v>0</v>
      </c>
      <c r="H195" s="10">
        <v>0</v>
      </c>
      <c r="I195" s="10" t="str">
        <f>IF(OR(Cleaned_datasetB[[#This Row],[Day_Code]]=0,Cleaned_datasetB[[#This Row],[Day_Code]]=6),"Weekend","Weekday")</f>
        <v>Weekend</v>
      </c>
      <c r="J195" s="10">
        <v>1</v>
      </c>
      <c r="K195" s="10">
        <v>0.1</v>
      </c>
      <c r="L195" s="51">
        <v>9.0899999999999995E-2</v>
      </c>
      <c r="M195" s="10">
        <v>0.49</v>
      </c>
      <c r="N195" s="10">
        <v>0.28360000000000002</v>
      </c>
      <c r="O195" s="10">
        <v>0</v>
      </c>
      <c r="P195" s="10">
        <v>10</v>
      </c>
      <c r="Q195" s="10">
        <v>10</v>
      </c>
      <c r="R195" s="10" t="str">
        <f>VLOOKUP(Cleaned_datasetB[[#This Row],[Weather_Code]],Lookup_Tables!$E$9:$F$13,2,FALSE)</f>
        <v>Clear</v>
      </c>
      <c r="S195" s="10" t="str">
        <f>INDEX(Lookup_Tables!$I$10:$I$16,MATCH(Cleaned_datasetB[[#This Row],[Day_Code]],Lookup_Tables!$H$10:$H$16,0))</f>
        <v>Sunday</v>
      </c>
      <c r="T195" s="10" t="str">
        <f>VLOOKUP(Cleaned_datasetB[[#This Row],[Month]], Lookup_Tables!$K$8:$L$19, 2, FALSE)</f>
        <v>January</v>
      </c>
      <c r="U195" s="10" t="str">
        <f>IF(AND(Cleaned_datasetB[[#This Row],[Day_Type]]="Weekday",Cleaned_datasetB[[#This Row],[Is_Holiday]]=FALSE),"Working Day","Non-Working Day")</f>
        <v>Non-Working Day</v>
      </c>
    </row>
    <row r="196" spans="1:21">
      <c r="A196" s="10">
        <v>195</v>
      </c>
      <c r="B196" s="23">
        <v>40552</v>
      </c>
      <c r="C196" s="10">
        <v>1</v>
      </c>
      <c r="D196" s="10">
        <v>0</v>
      </c>
      <c r="E196" s="10">
        <v>1</v>
      </c>
      <c r="F196" s="10">
        <v>9</v>
      </c>
      <c r="G196" s="10" t="b">
        <v>0</v>
      </c>
      <c r="H196" s="10">
        <v>0</v>
      </c>
      <c r="I196" s="10" t="str">
        <f>IF(OR(Cleaned_datasetB[[#This Row],[Day_Code]]=0,Cleaned_datasetB[[#This Row],[Day_Code]]=6),"Weekend","Weekday")</f>
        <v>Weekend</v>
      </c>
      <c r="J196" s="10">
        <v>1</v>
      </c>
      <c r="K196" s="10">
        <v>0.12</v>
      </c>
      <c r="L196" s="51">
        <v>7.5800000000000006E-2</v>
      </c>
      <c r="M196" s="10">
        <v>0.46</v>
      </c>
      <c r="N196" s="10">
        <v>0.52239999999999998</v>
      </c>
      <c r="O196" s="10">
        <v>0</v>
      </c>
      <c r="P196" s="10">
        <v>19</v>
      </c>
      <c r="Q196" s="10">
        <v>19</v>
      </c>
      <c r="R196" s="10" t="str">
        <f>VLOOKUP(Cleaned_datasetB[[#This Row],[Weather_Code]],Lookup_Tables!$E$9:$F$13,2,FALSE)</f>
        <v>Clear</v>
      </c>
      <c r="S196" s="10" t="str">
        <f>INDEX(Lookup_Tables!$I$10:$I$16,MATCH(Cleaned_datasetB[[#This Row],[Day_Code]],Lookup_Tables!$H$10:$H$16,0))</f>
        <v>Sunday</v>
      </c>
      <c r="T196" s="10" t="str">
        <f>VLOOKUP(Cleaned_datasetB[[#This Row],[Month]], Lookup_Tables!$K$8:$L$19, 2, FALSE)</f>
        <v>January</v>
      </c>
      <c r="U196" s="10" t="str">
        <f>IF(AND(Cleaned_datasetB[[#This Row],[Day_Type]]="Weekday",Cleaned_datasetB[[#This Row],[Is_Holiday]]=FALSE),"Working Day","Non-Working Day")</f>
        <v>Non-Working Day</v>
      </c>
    </row>
    <row r="197" spans="1:21">
      <c r="A197" s="10">
        <v>196</v>
      </c>
      <c r="B197" s="23">
        <v>40552</v>
      </c>
      <c r="C197" s="10">
        <v>1</v>
      </c>
      <c r="D197" s="10">
        <v>0</v>
      </c>
      <c r="E197" s="10">
        <v>1</v>
      </c>
      <c r="F197" s="10">
        <v>10</v>
      </c>
      <c r="G197" s="10" t="b">
        <v>0</v>
      </c>
      <c r="H197" s="10">
        <v>0</v>
      </c>
      <c r="I197" s="10" t="str">
        <f>IF(OR(Cleaned_datasetB[[#This Row],[Day_Code]]=0,Cleaned_datasetB[[#This Row],[Day_Code]]=6),"Weekend","Weekday")</f>
        <v>Weekend</v>
      </c>
      <c r="J197" s="10">
        <v>1</v>
      </c>
      <c r="K197" s="10">
        <v>0.14000000000000001</v>
      </c>
      <c r="L197" s="51">
        <v>0.1061</v>
      </c>
      <c r="M197" s="10">
        <v>0.43</v>
      </c>
      <c r="N197" s="10">
        <v>0.3881</v>
      </c>
      <c r="O197" s="10">
        <v>0</v>
      </c>
      <c r="P197" s="10">
        <v>49</v>
      </c>
      <c r="Q197" s="10">
        <v>49</v>
      </c>
      <c r="R197" s="10" t="str">
        <f>VLOOKUP(Cleaned_datasetB[[#This Row],[Weather_Code]],Lookup_Tables!$E$9:$F$13,2,FALSE)</f>
        <v>Clear</v>
      </c>
      <c r="S197" s="10" t="str">
        <f>INDEX(Lookup_Tables!$I$10:$I$16,MATCH(Cleaned_datasetB[[#This Row],[Day_Code]],Lookup_Tables!$H$10:$H$16,0))</f>
        <v>Sunday</v>
      </c>
      <c r="T197" s="10" t="str">
        <f>VLOOKUP(Cleaned_datasetB[[#This Row],[Month]], Lookup_Tables!$K$8:$L$19, 2, FALSE)</f>
        <v>January</v>
      </c>
      <c r="U197" s="10" t="str">
        <f>IF(AND(Cleaned_datasetB[[#This Row],[Day_Type]]="Weekday",Cleaned_datasetB[[#This Row],[Is_Holiday]]=FALSE),"Working Day","Non-Working Day")</f>
        <v>Non-Working Day</v>
      </c>
    </row>
    <row r="198" spans="1:21">
      <c r="A198" s="10">
        <v>197</v>
      </c>
      <c r="B198" s="23">
        <v>40552</v>
      </c>
      <c r="C198" s="10">
        <v>1</v>
      </c>
      <c r="D198" s="10">
        <v>0</v>
      </c>
      <c r="E198" s="10">
        <v>1</v>
      </c>
      <c r="F198" s="10">
        <v>11</v>
      </c>
      <c r="G198" s="10" t="b">
        <v>0</v>
      </c>
      <c r="H198" s="10">
        <v>0</v>
      </c>
      <c r="I198" s="10" t="str">
        <f>IF(OR(Cleaned_datasetB[[#This Row],[Day_Code]]=0,Cleaned_datasetB[[#This Row],[Day_Code]]=6),"Weekend","Weekday")</f>
        <v>Weekend</v>
      </c>
      <c r="J198" s="10">
        <v>1</v>
      </c>
      <c r="K198" s="10">
        <v>0.16</v>
      </c>
      <c r="L198" s="51">
        <v>0.1212</v>
      </c>
      <c r="M198" s="10">
        <v>0.4</v>
      </c>
      <c r="N198" s="10">
        <v>0.52239999999999998</v>
      </c>
      <c r="O198" s="10">
        <v>2</v>
      </c>
      <c r="P198" s="10">
        <v>47</v>
      </c>
      <c r="Q198" s="10">
        <v>49</v>
      </c>
      <c r="R198" s="10" t="str">
        <f>VLOOKUP(Cleaned_datasetB[[#This Row],[Weather_Code]],Lookup_Tables!$E$9:$F$13,2,FALSE)</f>
        <v>Clear</v>
      </c>
      <c r="S198" s="10" t="str">
        <f>INDEX(Lookup_Tables!$I$10:$I$16,MATCH(Cleaned_datasetB[[#This Row],[Day_Code]],Lookup_Tables!$H$10:$H$16,0))</f>
        <v>Sunday</v>
      </c>
      <c r="T198" s="10" t="str">
        <f>VLOOKUP(Cleaned_datasetB[[#This Row],[Month]], Lookup_Tables!$K$8:$L$19, 2, FALSE)</f>
        <v>January</v>
      </c>
      <c r="U198" s="10" t="str">
        <f>IF(AND(Cleaned_datasetB[[#This Row],[Day_Type]]="Weekday",Cleaned_datasetB[[#This Row],[Is_Holiday]]=FALSE),"Working Day","Non-Working Day")</f>
        <v>Non-Working Day</v>
      </c>
    </row>
    <row r="199" spans="1:21">
      <c r="A199" s="10">
        <v>198</v>
      </c>
      <c r="B199" s="23">
        <v>40552</v>
      </c>
      <c r="C199" s="10">
        <v>1</v>
      </c>
      <c r="D199" s="10">
        <v>0</v>
      </c>
      <c r="E199" s="10">
        <v>1</v>
      </c>
      <c r="F199" s="10">
        <v>12</v>
      </c>
      <c r="G199" s="10" t="b">
        <v>0</v>
      </c>
      <c r="H199" s="10">
        <v>0</v>
      </c>
      <c r="I199" s="10" t="str">
        <f>IF(OR(Cleaned_datasetB[[#This Row],[Day_Code]]=0,Cleaned_datasetB[[#This Row],[Day_Code]]=6),"Weekend","Weekday")</f>
        <v>Weekend</v>
      </c>
      <c r="J199" s="10">
        <v>1</v>
      </c>
      <c r="K199" s="10">
        <v>0.18</v>
      </c>
      <c r="L199" s="51">
        <v>0.13639999999999999</v>
      </c>
      <c r="M199" s="10">
        <v>0.37</v>
      </c>
      <c r="N199" s="10">
        <v>0.44779999999999998</v>
      </c>
      <c r="O199" s="10">
        <v>4</v>
      </c>
      <c r="P199" s="10">
        <v>79</v>
      </c>
      <c r="Q199" s="10">
        <v>83</v>
      </c>
      <c r="R199" s="10" t="str">
        <f>VLOOKUP(Cleaned_datasetB[[#This Row],[Weather_Code]],Lookup_Tables!$E$9:$F$13,2,FALSE)</f>
        <v>Clear</v>
      </c>
      <c r="S199" s="10" t="str">
        <f>INDEX(Lookup_Tables!$I$10:$I$16,MATCH(Cleaned_datasetB[[#This Row],[Day_Code]],Lookup_Tables!$H$10:$H$16,0))</f>
        <v>Sunday</v>
      </c>
      <c r="T199" s="10" t="str">
        <f>VLOOKUP(Cleaned_datasetB[[#This Row],[Month]], Lookup_Tables!$K$8:$L$19, 2, FALSE)</f>
        <v>January</v>
      </c>
      <c r="U199" s="10" t="str">
        <f>IF(AND(Cleaned_datasetB[[#This Row],[Day_Type]]="Weekday",Cleaned_datasetB[[#This Row],[Is_Holiday]]=FALSE),"Working Day","Non-Working Day")</f>
        <v>Non-Working Day</v>
      </c>
    </row>
    <row r="200" spans="1:21">
      <c r="A200" s="10">
        <v>199</v>
      </c>
      <c r="B200" s="23">
        <v>40552</v>
      </c>
      <c r="C200" s="10">
        <v>1</v>
      </c>
      <c r="D200" s="10">
        <v>0</v>
      </c>
      <c r="E200" s="10">
        <v>1</v>
      </c>
      <c r="F200" s="10">
        <v>13</v>
      </c>
      <c r="G200" s="10" t="b">
        <v>0</v>
      </c>
      <c r="H200" s="10">
        <v>0</v>
      </c>
      <c r="I200" s="10" t="str">
        <f>IF(OR(Cleaned_datasetB[[#This Row],[Day_Code]]=0,Cleaned_datasetB[[#This Row],[Day_Code]]=6),"Weekend","Weekday")</f>
        <v>Weekend</v>
      </c>
      <c r="J200" s="10">
        <v>1</v>
      </c>
      <c r="K200" s="10">
        <v>0.2</v>
      </c>
      <c r="L200" s="51">
        <v>0.16669999999999999</v>
      </c>
      <c r="M200" s="10">
        <v>0.34</v>
      </c>
      <c r="N200" s="10">
        <v>0.44779999999999998</v>
      </c>
      <c r="O200" s="10">
        <v>6</v>
      </c>
      <c r="P200" s="10">
        <v>69</v>
      </c>
      <c r="Q200" s="10">
        <v>75</v>
      </c>
      <c r="R200" s="10" t="str">
        <f>VLOOKUP(Cleaned_datasetB[[#This Row],[Weather_Code]],Lookup_Tables!$E$9:$F$13,2,FALSE)</f>
        <v>Clear</v>
      </c>
      <c r="S200" s="10" t="str">
        <f>INDEX(Lookup_Tables!$I$10:$I$16,MATCH(Cleaned_datasetB[[#This Row],[Day_Code]],Lookup_Tables!$H$10:$H$16,0))</f>
        <v>Sunday</v>
      </c>
      <c r="T200" s="10" t="str">
        <f>VLOOKUP(Cleaned_datasetB[[#This Row],[Month]], Lookup_Tables!$K$8:$L$19, 2, FALSE)</f>
        <v>January</v>
      </c>
      <c r="U200" s="10" t="str">
        <f>IF(AND(Cleaned_datasetB[[#This Row],[Day_Type]]="Weekday",Cleaned_datasetB[[#This Row],[Is_Holiday]]=FALSE),"Working Day","Non-Working Day")</f>
        <v>Non-Working Day</v>
      </c>
    </row>
    <row r="201" spans="1:21">
      <c r="A201" s="10">
        <v>200</v>
      </c>
      <c r="B201" s="23">
        <v>40552</v>
      </c>
      <c r="C201" s="10">
        <v>1</v>
      </c>
      <c r="D201" s="10">
        <v>0</v>
      </c>
      <c r="E201" s="10">
        <v>1</v>
      </c>
      <c r="F201" s="10">
        <v>14</v>
      </c>
      <c r="G201" s="10" t="b">
        <v>0</v>
      </c>
      <c r="H201" s="10">
        <v>0</v>
      </c>
      <c r="I201" s="10" t="str">
        <f>IF(OR(Cleaned_datasetB[[#This Row],[Day_Code]]=0,Cleaned_datasetB[[#This Row],[Day_Code]]=6),"Weekend","Weekday")</f>
        <v>Weekend</v>
      </c>
      <c r="J201" s="10">
        <v>1</v>
      </c>
      <c r="K201" s="10">
        <v>0.22</v>
      </c>
      <c r="L201" s="51">
        <v>0.18179999999999999</v>
      </c>
      <c r="M201" s="10">
        <v>0.32</v>
      </c>
      <c r="N201" s="10">
        <v>0.4627</v>
      </c>
      <c r="O201" s="10">
        <v>8</v>
      </c>
      <c r="P201" s="10">
        <v>64</v>
      </c>
      <c r="Q201" s="10">
        <v>72</v>
      </c>
      <c r="R201" s="10" t="str">
        <f>VLOOKUP(Cleaned_datasetB[[#This Row],[Weather_Code]],Lookup_Tables!$E$9:$F$13,2,FALSE)</f>
        <v>Clear</v>
      </c>
      <c r="S201" s="10" t="str">
        <f>INDEX(Lookup_Tables!$I$10:$I$16,MATCH(Cleaned_datasetB[[#This Row],[Day_Code]],Lookup_Tables!$H$10:$H$16,0))</f>
        <v>Sunday</v>
      </c>
      <c r="T201" s="10" t="str">
        <f>VLOOKUP(Cleaned_datasetB[[#This Row],[Month]], Lookup_Tables!$K$8:$L$19, 2, FALSE)</f>
        <v>January</v>
      </c>
      <c r="U201" s="10" t="str">
        <f>IF(AND(Cleaned_datasetB[[#This Row],[Day_Type]]="Weekday",Cleaned_datasetB[[#This Row],[Is_Holiday]]=FALSE),"Working Day","Non-Working Day")</f>
        <v>Non-Working Day</v>
      </c>
    </row>
    <row r="202" spans="1:21">
      <c r="A202" s="10">
        <v>201</v>
      </c>
      <c r="B202" s="23">
        <v>40552</v>
      </c>
      <c r="C202" s="10">
        <v>1</v>
      </c>
      <c r="D202" s="10">
        <v>0</v>
      </c>
      <c r="E202" s="10">
        <v>1</v>
      </c>
      <c r="F202" s="10">
        <v>15</v>
      </c>
      <c r="G202" s="10" t="b">
        <v>0</v>
      </c>
      <c r="H202" s="10">
        <v>0</v>
      </c>
      <c r="I202" s="10" t="str">
        <f>IF(OR(Cleaned_datasetB[[#This Row],[Day_Code]]=0,Cleaned_datasetB[[#This Row],[Day_Code]]=6),"Weekend","Weekday")</f>
        <v>Weekend</v>
      </c>
      <c r="J202" s="10">
        <v>1</v>
      </c>
      <c r="K202" s="10">
        <v>0.22</v>
      </c>
      <c r="L202" s="51">
        <v>0.19700000000000001</v>
      </c>
      <c r="M202" s="10">
        <v>0.35</v>
      </c>
      <c r="N202" s="10">
        <v>0.35820000000000002</v>
      </c>
      <c r="O202" s="10">
        <v>5</v>
      </c>
      <c r="P202" s="10">
        <v>77</v>
      </c>
      <c r="Q202" s="10">
        <v>82</v>
      </c>
      <c r="R202" s="10" t="str">
        <f>VLOOKUP(Cleaned_datasetB[[#This Row],[Weather_Code]],Lookup_Tables!$E$9:$F$13,2,FALSE)</f>
        <v>Clear</v>
      </c>
      <c r="S202" s="10" t="str">
        <f>INDEX(Lookup_Tables!$I$10:$I$16,MATCH(Cleaned_datasetB[[#This Row],[Day_Code]],Lookup_Tables!$H$10:$H$16,0))</f>
        <v>Sunday</v>
      </c>
      <c r="T202" s="10" t="str">
        <f>VLOOKUP(Cleaned_datasetB[[#This Row],[Month]], Lookup_Tables!$K$8:$L$19, 2, FALSE)</f>
        <v>January</v>
      </c>
      <c r="U202" s="10" t="str">
        <f>IF(AND(Cleaned_datasetB[[#This Row],[Day_Type]]="Weekday",Cleaned_datasetB[[#This Row],[Is_Holiday]]=FALSE),"Working Day","Non-Working Day")</f>
        <v>Non-Working Day</v>
      </c>
    </row>
    <row r="203" spans="1:21">
      <c r="A203" s="10">
        <v>202</v>
      </c>
      <c r="B203" s="23">
        <v>40552</v>
      </c>
      <c r="C203" s="10">
        <v>1</v>
      </c>
      <c r="D203" s="10">
        <v>0</v>
      </c>
      <c r="E203" s="10">
        <v>1</v>
      </c>
      <c r="F203" s="10">
        <v>16</v>
      </c>
      <c r="G203" s="10" t="b">
        <v>0</v>
      </c>
      <c r="H203" s="10">
        <v>0</v>
      </c>
      <c r="I203" s="10" t="str">
        <f>IF(OR(Cleaned_datasetB[[#This Row],[Day_Code]]=0,Cleaned_datasetB[[#This Row],[Day_Code]]=6),"Weekend","Weekday")</f>
        <v>Weekend</v>
      </c>
      <c r="J203" s="10">
        <v>1</v>
      </c>
      <c r="K203" s="10">
        <v>0.2</v>
      </c>
      <c r="L203" s="51">
        <v>0.16669999999999999</v>
      </c>
      <c r="M203" s="10">
        <v>0.34</v>
      </c>
      <c r="N203" s="10">
        <v>0.44779999999999998</v>
      </c>
      <c r="O203" s="10">
        <v>13</v>
      </c>
      <c r="P203" s="10">
        <v>79</v>
      </c>
      <c r="Q203" s="10">
        <v>92</v>
      </c>
      <c r="R203" s="10" t="str">
        <f>VLOOKUP(Cleaned_datasetB[[#This Row],[Weather_Code]],Lookup_Tables!$E$9:$F$13,2,FALSE)</f>
        <v>Clear</v>
      </c>
      <c r="S203" s="10" t="str">
        <f>INDEX(Lookup_Tables!$I$10:$I$16,MATCH(Cleaned_datasetB[[#This Row],[Day_Code]],Lookup_Tables!$H$10:$H$16,0))</f>
        <v>Sunday</v>
      </c>
      <c r="T203" s="10" t="str">
        <f>VLOOKUP(Cleaned_datasetB[[#This Row],[Month]], Lookup_Tables!$K$8:$L$19, 2, FALSE)</f>
        <v>January</v>
      </c>
      <c r="U203" s="10" t="str">
        <f>IF(AND(Cleaned_datasetB[[#This Row],[Day_Type]]="Weekday",Cleaned_datasetB[[#This Row],[Is_Holiday]]=FALSE),"Working Day","Non-Working Day")</f>
        <v>Non-Working Day</v>
      </c>
    </row>
    <row r="204" spans="1:21">
      <c r="A204" s="10">
        <v>203</v>
      </c>
      <c r="B204" s="23">
        <v>40552</v>
      </c>
      <c r="C204" s="10">
        <v>1</v>
      </c>
      <c r="D204" s="10">
        <v>0</v>
      </c>
      <c r="E204" s="10">
        <v>1</v>
      </c>
      <c r="F204" s="10">
        <v>17</v>
      </c>
      <c r="G204" s="10" t="b">
        <v>0</v>
      </c>
      <c r="H204" s="10">
        <v>0</v>
      </c>
      <c r="I204" s="10" t="str">
        <f>IF(OR(Cleaned_datasetB[[#This Row],[Day_Code]]=0,Cleaned_datasetB[[#This Row],[Day_Code]]=6),"Weekend","Weekday")</f>
        <v>Weekend</v>
      </c>
      <c r="J204" s="10">
        <v>1</v>
      </c>
      <c r="K204" s="10">
        <v>0.18</v>
      </c>
      <c r="L204" s="51">
        <v>0.1515</v>
      </c>
      <c r="M204" s="10">
        <v>0.37</v>
      </c>
      <c r="N204" s="10">
        <v>0.3881</v>
      </c>
      <c r="O204" s="10">
        <v>3</v>
      </c>
      <c r="P204" s="10">
        <v>59</v>
      </c>
      <c r="Q204" s="10">
        <v>62</v>
      </c>
      <c r="R204" s="10" t="str">
        <f>VLOOKUP(Cleaned_datasetB[[#This Row],[Weather_Code]],Lookup_Tables!$E$9:$F$13,2,FALSE)</f>
        <v>Clear</v>
      </c>
      <c r="S204" s="10" t="str">
        <f>INDEX(Lookup_Tables!$I$10:$I$16,MATCH(Cleaned_datasetB[[#This Row],[Day_Code]],Lookup_Tables!$H$10:$H$16,0))</f>
        <v>Sunday</v>
      </c>
      <c r="T204" s="10" t="str">
        <f>VLOOKUP(Cleaned_datasetB[[#This Row],[Month]], Lookup_Tables!$K$8:$L$19, 2, FALSE)</f>
        <v>January</v>
      </c>
      <c r="U204" s="10" t="str">
        <f>IF(AND(Cleaned_datasetB[[#This Row],[Day_Type]]="Weekday",Cleaned_datasetB[[#This Row],[Is_Holiday]]=FALSE),"Working Day","Non-Working Day")</f>
        <v>Non-Working Day</v>
      </c>
    </row>
    <row r="205" spans="1:21">
      <c r="A205" s="10">
        <v>204</v>
      </c>
      <c r="B205" s="23">
        <v>40552</v>
      </c>
      <c r="C205" s="10">
        <v>1</v>
      </c>
      <c r="D205" s="10">
        <v>0</v>
      </c>
      <c r="E205" s="10">
        <v>1</v>
      </c>
      <c r="F205" s="10">
        <v>18</v>
      </c>
      <c r="G205" s="10" t="b">
        <v>0</v>
      </c>
      <c r="H205" s="10">
        <v>0</v>
      </c>
      <c r="I205" s="10" t="str">
        <f>IF(OR(Cleaned_datasetB[[#This Row],[Day_Code]]=0,Cleaned_datasetB[[#This Row],[Day_Code]]=6),"Weekend","Weekday")</f>
        <v>Weekend</v>
      </c>
      <c r="J205" s="10">
        <v>1</v>
      </c>
      <c r="K205" s="10">
        <v>0.16</v>
      </c>
      <c r="L205" s="51">
        <v>0.13639999999999999</v>
      </c>
      <c r="M205" s="10">
        <v>0.4</v>
      </c>
      <c r="N205" s="10">
        <v>0.32840000000000003</v>
      </c>
      <c r="O205" s="10">
        <v>4</v>
      </c>
      <c r="P205" s="10">
        <v>44</v>
      </c>
      <c r="Q205" s="10">
        <v>48</v>
      </c>
      <c r="R205" s="10" t="str">
        <f>VLOOKUP(Cleaned_datasetB[[#This Row],[Weather_Code]],Lookup_Tables!$E$9:$F$13,2,FALSE)</f>
        <v>Clear</v>
      </c>
      <c r="S205" s="10" t="str">
        <f>INDEX(Lookup_Tables!$I$10:$I$16,MATCH(Cleaned_datasetB[[#This Row],[Day_Code]],Lookup_Tables!$H$10:$H$16,0))</f>
        <v>Sunday</v>
      </c>
      <c r="T205" s="10" t="str">
        <f>VLOOKUP(Cleaned_datasetB[[#This Row],[Month]], Lookup_Tables!$K$8:$L$19, 2, FALSE)</f>
        <v>January</v>
      </c>
      <c r="U205" s="10" t="str">
        <f>IF(AND(Cleaned_datasetB[[#This Row],[Day_Type]]="Weekday",Cleaned_datasetB[[#This Row],[Is_Holiday]]=FALSE),"Working Day","Non-Working Day")</f>
        <v>Non-Working Day</v>
      </c>
    </row>
    <row r="206" spans="1:21">
      <c r="A206" s="10">
        <v>205</v>
      </c>
      <c r="B206" s="23">
        <v>40552</v>
      </c>
      <c r="C206" s="10">
        <v>1</v>
      </c>
      <c r="D206" s="10">
        <v>0</v>
      </c>
      <c r="E206" s="10">
        <v>1</v>
      </c>
      <c r="F206" s="10">
        <v>19</v>
      </c>
      <c r="G206" s="10" t="b">
        <v>0</v>
      </c>
      <c r="H206" s="10">
        <v>0</v>
      </c>
      <c r="I206" s="10" t="str">
        <f>IF(OR(Cleaned_datasetB[[#This Row],[Day_Code]]=0,Cleaned_datasetB[[#This Row],[Day_Code]]=6),"Weekend","Weekday")</f>
        <v>Weekend</v>
      </c>
      <c r="J206" s="10">
        <v>1</v>
      </c>
      <c r="K206" s="10">
        <v>0.16</v>
      </c>
      <c r="L206" s="51">
        <v>0.13639999999999999</v>
      </c>
      <c r="M206" s="10">
        <v>0.43</v>
      </c>
      <c r="N206" s="10">
        <v>0.32840000000000003</v>
      </c>
      <c r="O206" s="10">
        <v>1</v>
      </c>
      <c r="P206" s="10">
        <v>40</v>
      </c>
      <c r="Q206" s="10">
        <v>41</v>
      </c>
      <c r="R206" s="10" t="str">
        <f>VLOOKUP(Cleaned_datasetB[[#This Row],[Weather_Code]],Lookup_Tables!$E$9:$F$13,2,FALSE)</f>
        <v>Clear</v>
      </c>
      <c r="S206" s="10" t="str">
        <f>INDEX(Lookup_Tables!$I$10:$I$16,MATCH(Cleaned_datasetB[[#This Row],[Day_Code]],Lookup_Tables!$H$10:$H$16,0))</f>
        <v>Sunday</v>
      </c>
      <c r="T206" s="10" t="str">
        <f>VLOOKUP(Cleaned_datasetB[[#This Row],[Month]], Lookup_Tables!$K$8:$L$19, 2, FALSE)</f>
        <v>January</v>
      </c>
      <c r="U206" s="10" t="str">
        <f>IF(AND(Cleaned_datasetB[[#This Row],[Day_Type]]="Weekday",Cleaned_datasetB[[#This Row],[Is_Holiday]]=FALSE),"Working Day","Non-Working Day")</f>
        <v>Non-Working Day</v>
      </c>
    </row>
    <row r="207" spans="1:21">
      <c r="A207" s="10">
        <v>206</v>
      </c>
      <c r="B207" s="23">
        <v>40552</v>
      </c>
      <c r="C207" s="10">
        <v>1</v>
      </c>
      <c r="D207" s="10">
        <v>0</v>
      </c>
      <c r="E207" s="10">
        <v>1</v>
      </c>
      <c r="F207" s="10">
        <v>20</v>
      </c>
      <c r="G207" s="10" t="b">
        <v>0</v>
      </c>
      <c r="H207" s="10">
        <v>0</v>
      </c>
      <c r="I207" s="10" t="str">
        <f>IF(OR(Cleaned_datasetB[[#This Row],[Day_Code]]=0,Cleaned_datasetB[[#This Row],[Day_Code]]=6),"Weekend","Weekday")</f>
        <v>Weekend</v>
      </c>
      <c r="J207" s="10">
        <v>1</v>
      </c>
      <c r="K207" s="10">
        <v>0.14000000000000001</v>
      </c>
      <c r="L207" s="51">
        <v>0.1212</v>
      </c>
      <c r="M207" s="10">
        <v>0.46</v>
      </c>
      <c r="N207" s="10">
        <v>0.25369999999999998</v>
      </c>
      <c r="O207" s="10">
        <v>0</v>
      </c>
      <c r="P207" s="10">
        <v>38</v>
      </c>
      <c r="Q207" s="10">
        <v>38</v>
      </c>
      <c r="R207" s="10" t="str">
        <f>VLOOKUP(Cleaned_datasetB[[#This Row],[Weather_Code]],Lookup_Tables!$E$9:$F$13,2,FALSE)</f>
        <v>Clear</v>
      </c>
      <c r="S207" s="10" t="str">
        <f>INDEX(Lookup_Tables!$I$10:$I$16,MATCH(Cleaned_datasetB[[#This Row],[Day_Code]],Lookup_Tables!$H$10:$H$16,0))</f>
        <v>Sunday</v>
      </c>
      <c r="T207" s="10" t="str">
        <f>VLOOKUP(Cleaned_datasetB[[#This Row],[Month]], Lookup_Tables!$K$8:$L$19, 2, FALSE)</f>
        <v>January</v>
      </c>
      <c r="U207" s="10" t="str">
        <f>IF(AND(Cleaned_datasetB[[#This Row],[Day_Type]]="Weekday",Cleaned_datasetB[[#This Row],[Is_Holiday]]=FALSE),"Working Day","Non-Working Day")</f>
        <v>Non-Working Day</v>
      </c>
    </row>
    <row r="208" spans="1:21">
      <c r="A208" s="10">
        <v>207</v>
      </c>
      <c r="B208" s="23">
        <v>40552</v>
      </c>
      <c r="C208" s="10">
        <v>1</v>
      </c>
      <c r="D208" s="10">
        <v>0</v>
      </c>
      <c r="E208" s="10">
        <v>1</v>
      </c>
      <c r="F208" s="10">
        <v>21</v>
      </c>
      <c r="G208" s="10" t="b">
        <v>0</v>
      </c>
      <c r="H208" s="10">
        <v>0</v>
      </c>
      <c r="I208" s="10" t="str">
        <f>IF(OR(Cleaned_datasetB[[#This Row],[Day_Code]]=0,Cleaned_datasetB[[#This Row],[Day_Code]]=6),"Weekend","Weekday")</f>
        <v>Weekend</v>
      </c>
      <c r="J208" s="10">
        <v>1</v>
      </c>
      <c r="K208" s="10">
        <v>0.14000000000000001</v>
      </c>
      <c r="L208" s="51">
        <v>0.1061</v>
      </c>
      <c r="M208" s="10">
        <v>0.46</v>
      </c>
      <c r="N208" s="10">
        <v>0.41789999999999999</v>
      </c>
      <c r="O208" s="10">
        <v>1</v>
      </c>
      <c r="P208" s="10">
        <v>19</v>
      </c>
      <c r="Q208" s="10">
        <v>20</v>
      </c>
      <c r="R208" s="10" t="str">
        <f>VLOOKUP(Cleaned_datasetB[[#This Row],[Weather_Code]],Lookup_Tables!$E$9:$F$13,2,FALSE)</f>
        <v>Clear</v>
      </c>
      <c r="S208" s="10" t="str">
        <f>INDEX(Lookup_Tables!$I$10:$I$16,MATCH(Cleaned_datasetB[[#This Row],[Day_Code]],Lookup_Tables!$H$10:$H$16,0))</f>
        <v>Sunday</v>
      </c>
      <c r="T208" s="10" t="str">
        <f>VLOOKUP(Cleaned_datasetB[[#This Row],[Month]], Lookup_Tables!$K$8:$L$19, 2, FALSE)</f>
        <v>January</v>
      </c>
      <c r="U208" s="10" t="str">
        <f>IF(AND(Cleaned_datasetB[[#This Row],[Day_Type]]="Weekday",Cleaned_datasetB[[#This Row],[Is_Holiday]]=FALSE),"Working Day","Non-Working Day")</f>
        <v>Non-Working Day</v>
      </c>
    </row>
    <row r="209" spans="1:21">
      <c r="A209" s="10">
        <v>208</v>
      </c>
      <c r="B209" s="23">
        <v>40552</v>
      </c>
      <c r="C209" s="10">
        <v>1</v>
      </c>
      <c r="D209" s="10">
        <v>0</v>
      </c>
      <c r="E209" s="10">
        <v>1</v>
      </c>
      <c r="F209" s="10">
        <v>22</v>
      </c>
      <c r="G209" s="10" t="b">
        <v>0</v>
      </c>
      <c r="H209" s="10">
        <v>0</v>
      </c>
      <c r="I209" s="10" t="str">
        <f>IF(OR(Cleaned_datasetB[[#This Row],[Day_Code]]=0,Cleaned_datasetB[[#This Row],[Day_Code]]=6),"Weekend","Weekday")</f>
        <v>Weekend</v>
      </c>
      <c r="J209" s="10">
        <v>1</v>
      </c>
      <c r="K209" s="10">
        <v>0.14000000000000001</v>
      </c>
      <c r="L209" s="51">
        <v>0.1212</v>
      </c>
      <c r="M209" s="10">
        <v>0.46</v>
      </c>
      <c r="N209" s="10">
        <v>0.29849999999999999</v>
      </c>
      <c r="O209" s="10">
        <v>5</v>
      </c>
      <c r="P209" s="10">
        <v>10</v>
      </c>
      <c r="Q209" s="10">
        <v>15</v>
      </c>
      <c r="R209" s="10" t="str">
        <f>VLOOKUP(Cleaned_datasetB[[#This Row],[Weather_Code]],Lookup_Tables!$E$9:$F$13,2,FALSE)</f>
        <v>Clear</v>
      </c>
      <c r="S209" s="10" t="str">
        <f>INDEX(Lookup_Tables!$I$10:$I$16,MATCH(Cleaned_datasetB[[#This Row],[Day_Code]],Lookup_Tables!$H$10:$H$16,0))</f>
        <v>Sunday</v>
      </c>
      <c r="T209" s="10" t="str">
        <f>VLOOKUP(Cleaned_datasetB[[#This Row],[Month]], Lookup_Tables!$K$8:$L$19, 2, FALSE)</f>
        <v>January</v>
      </c>
      <c r="U209" s="10" t="str">
        <f>IF(AND(Cleaned_datasetB[[#This Row],[Day_Type]]="Weekday",Cleaned_datasetB[[#This Row],[Is_Holiday]]=FALSE),"Working Day","Non-Working Day")</f>
        <v>Non-Working Day</v>
      </c>
    </row>
    <row r="210" spans="1:21">
      <c r="A210" s="10">
        <v>209</v>
      </c>
      <c r="B210" s="23">
        <v>40552</v>
      </c>
      <c r="C210" s="10">
        <v>1</v>
      </c>
      <c r="D210" s="10">
        <v>0</v>
      </c>
      <c r="E210" s="10">
        <v>1</v>
      </c>
      <c r="F210" s="10">
        <v>23</v>
      </c>
      <c r="G210" s="10" t="b">
        <v>0</v>
      </c>
      <c r="H210" s="10">
        <v>0</v>
      </c>
      <c r="I210" s="10" t="str">
        <f>IF(OR(Cleaned_datasetB[[#This Row],[Day_Code]]=0,Cleaned_datasetB[[#This Row],[Day_Code]]=6),"Weekend","Weekday")</f>
        <v>Weekend</v>
      </c>
      <c r="J210" s="10">
        <v>1</v>
      </c>
      <c r="K210" s="10">
        <v>0.12</v>
      </c>
      <c r="L210" s="51">
        <v>0.13639999999999999</v>
      </c>
      <c r="M210" s="10">
        <v>0.5</v>
      </c>
      <c r="N210" s="10">
        <v>0.19400000000000001</v>
      </c>
      <c r="O210" s="10">
        <v>0</v>
      </c>
      <c r="P210" s="10">
        <v>6</v>
      </c>
      <c r="Q210" s="10">
        <v>6</v>
      </c>
      <c r="R210" s="10" t="str">
        <f>VLOOKUP(Cleaned_datasetB[[#This Row],[Weather_Code]],Lookup_Tables!$E$9:$F$13,2,FALSE)</f>
        <v>Clear</v>
      </c>
      <c r="S210" s="10" t="str">
        <f>INDEX(Lookup_Tables!$I$10:$I$16,MATCH(Cleaned_datasetB[[#This Row],[Day_Code]],Lookup_Tables!$H$10:$H$16,0))</f>
        <v>Sunday</v>
      </c>
      <c r="T210" s="10" t="str">
        <f>VLOOKUP(Cleaned_datasetB[[#This Row],[Month]], Lookup_Tables!$K$8:$L$19, 2, FALSE)</f>
        <v>January</v>
      </c>
      <c r="U210" s="10" t="str">
        <f>IF(AND(Cleaned_datasetB[[#This Row],[Day_Type]]="Weekday",Cleaned_datasetB[[#This Row],[Is_Holiday]]=FALSE),"Working Day","Non-Working Day")</f>
        <v>Non-Working Day</v>
      </c>
    </row>
    <row r="211" spans="1:21">
      <c r="A211" s="10">
        <v>210</v>
      </c>
      <c r="B211" s="23">
        <v>40553</v>
      </c>
      <c r="C211" s="10">
        <v>1</v>
      </c>
      <c r="D211" s="10">
        <v>0</v>
      </c>
      <c r="E211" s="10">
        <v>1</v>
      </c>
      <c r="F211" s="10">
        <v>0</v>
      </c>
      <c r="G211" s="10" t="b">
        <v>0</v>
      </c>
      <c r="H211" s="10">
        <v>1</v>
      </c>
      <c r="I211" s="10" t="str">
        <f>IF(OR(Cleaned_datasetB[[#This Row],[Day_Code]]=0,Cleaned_datasetB[[#This Row],[Day_Code]]=6),"Weekend","Weekday")</f>
        <v>Weekday</v>
      </c>
      <c r="J211" s="10">
        <v>1</v>
      </c>
      <c r="K211" s="10">
        <v>0.12</v>
      </c>
      <c r="L211" s="51">
        <v>0.1212</v>
      </c>
      <c r="M211" s="10">
        <v>0.5</v>
      </c>
      <c r="N211" s="10">
        <v>0.28360000000000002</v>
      </c>
      <c r="O211" s="10">
        <v>2</v>
      </c>
      <c r="P211" s="10">
        <v>3</v>
      </c>
      <c r="Q211" s="10">
        <v>5</v>
      </c>
      <c r="R211" s="10" t="str">
        <f>VLOOKUP(Cleaned_datasetB[[#This Row],[Weather_Code]],Lookup_Tables!$E$9:$F$13,2,FALSE)</f>
        <v>Clear</v>
      </c>
      <c r="S211" s="10" t="str">
        <f>INDEX(Lookup_Tables!$I$10:$I$16,MATCH(Cleaned_datasetB[[#This Row],[Day_Code]],Lookup_Tables!$H$10:$H$16,0))</f>
        <v>Monday</v>
      </c>
      <c r="T211" s="10" t="str">
        <f>VLOOKUP(Cleaned_datasetB[[#This Row],[Month]], Lookup_Tables!$K$8:$L$19, 2, FALSE)</f>
        <v>January</v>
      </c>
      <c r="U211" s="10" t="str">
        <f>IF(AND(Cleaned_datasetB[[#This Row],[Day_Type]]="Weekday",Cleaned_datasetB[[#This Row],[Is_Holiday]]=FALSE),"Working Day","Non-Working Day")</f>
        <v>Working Day</v>
      </c>
    </row>
    <row r="212" spans="1:21">
      <c r="A212" s="10">
        <v>211</v>
      </c>
      <c r="B212" s="23">
        <v>40553</v>
      </c>
      <c r="C212" s="10">
        <v>1</v>
      </c>
      <c r="D212" s="10">
        <v>0</v>
      </c>
      <c r="E212" s="10">
        <v>1</v>
      </c>
      <c r="F212" s="10">
        <v>1</v>
      </c>
      <c r="G212" s="10" t="b">
        <v>0</v>
      </c>
      <c r="H212" s="10">
        <v>1</v>
      </c>
      <c r="I212" s="10" t="str">
        <f>IF(OR(Cleaned_datasetB[[#This Row],[Day_Code]]=0,Cleaned_datasetB[[#This Row],[Day_Code]]=6),"Weekend","Weekday")</f>
        <v>Weekday</v>
      </c>
      <c r="J212" s="10">
        <v>1</v>
      </c>
      <c r="K212" s="10">
        <v>0.12</v>
      </c>
      <c r="L212" s="51">
        <v>0.1212</v>
      </c>
      <c r="M212" s="10">
        <v>0.5</v>
      </c>
      <c r="N212" s="10">
        <v>0.28360000000000002</v>
      </c>
      <c r="O212" s="10">
        <v>1</v>
      </c>
      <c r="P212" s="10">
        <v>0</v>
      </c>
      <c r="Q212" s="10">
        <v>1</v>
      </c>
      <c r="R212" s="10" t="str">
        <f>VLOOKUP(Cleaned_datasetB[[#This Row],[Weather_Code]],Lookup_Tables!$E$9:$F$13,2,FALSE)</f>
        <v>Clear</v>
      </c>
      <c r="S212" s="10" t="str">
        <f>INDEX(Lookup_Tables!$I$10:$I$16,MATCH(Cleaned_datasetB[[#This Row],[Day_Code]],Lookup_Tables!$H$10:$H$16,0))</f>
        <v>Monday</v>
      </c>
      <c r="T212" s="10" t="str">
        <f>VLOOKUP(Cleaned_datasetB[[#This Row],[Month]], Lookup_Tables!$K$8:$L$19, 2, FALSE)</f>
        <v>January</v>
      </c>
      <c r="U212" s="10" t="str">
        <f>IF(AND(Cleaned_datasetB[[#This Row],[Day_Type]]="Weekday",Cleaned_datasetB[[#This Row],[Is_Holiday]]=FALSE),"Working Day","Non-Working Day")</f>
        <v>Working Day</v>
      </c>
    </row>
    <row r="213" spans="1:21">
      <c r="A213" s="10">
        <v>212</v>
      </c>
      <c r="B213" s="23">
        <v>40553</v>
      </c>
      <c r="C213" s="10">
        <v>1</v>
      </c>
      <c r="D213" s="10">
        <v>0</v>
      </c>
      <c r="E213" s="10">
        <v>1</v>
      </c>
      <c r="F213" s="10">
        <v>2</v>
      </c>
      <c r="G213" s="10" t="b">
        <v>0</v>
      </c>
      <c r="H213" s="10">
        <v>1</v>
      </c>
      <c r="I213" s="10" t="str">
        <f>IF(OR(Cleaned_datasetB[[#This Row],[Day_Code]]=0,Cleaned_datasetB[[#This Row],[Day_Code]]=6),"Weekend","Weekday")</f>
        <v>Weekday</v>
      </c>
      <c r="J213" s="10">
        <v>1</v>
      </c>
      <c r="K213" s="10">
        <v>0.12</v>
      </c>
      <c r="L213" s="51">
        <v>0.1212</v>
      </c>
      <c r="M213" s="10">
        <v>0.5</v>
      </c>
      <c r="N213" s="10">
        <v>0.22389999999999999</v>
      </c>
      <c r="O213" s="10">
        <v>0</v>
      </c>
      <c r="P213" s="10">
        <v>3</v>
      </c>
      <c r="Q213" s="10">
        <v>3</v>
      </c>
      <c r="R213" s="10" t="str">
        <f>VLOOKUP(Cleaned_datasetB[[#This Row],[Weather_Code]],Lookup_Tables!$E$9:$F$13,2,FALSE)</f>
        <v>Clear</v>
      </c>
      <c r="S213" s="10" t="str">
        <f>INDEX(Lookup_Tables!$I$10:$I$16,MATCH(Cleaned_datasetB[[#This Row],[Day_Code]],Lookup_Tables!$H$10:$H$16,0))</f>
        <v>Monday</v>
      </c>
      <c r="T213" s="10" t="str">
        <f>VLOOKUP(Cleaned_datasetB[[#This Row],[Month]], Lookup_Tables!$K$8:$L$19, 2, FALSE)</f>
        <v>January</v>
      </c>
      <c r="U213" s="10" t="str">
        <f>IF(AND(Cleaned_datasetB[[#This Row],[Day_Type]]="Weekday",Cleaned_datasetB[[#This Row],[Is_Holiday]]=FALSE),"Working Day","Non-Working Day")</f>
        <v>Working Day</v>
      </c>
    </row>
    <row r="214" spans="1:21">
      <c r="A214" s="10">
        <v>213</v>
      </c>
      <c r="B214" s="23">
        <v>40553</v>
      </c>
      <c r="C214" s="10">
        <v>1</v>
      </c>
      <c r="D214" s="10">
        <v>0</v>
      </c>
      <c r="E214" s="10">
        <v>1</v>
      </c>
      <c r="F214" s="10">
        <v>3</v>
      </c>
      <c r="G214" s="10" t="b">
        <v>0</v>
      </c>
      <c r="H214" s="10">
        <v>1</v>
      </c>
      <c r="I214" s="10" t="str">
        <f>IF(OR(Cleaned_datasetB[[#This Row],[Day_Code]]=0,Cleaned_datasetB[[#This Row],[Day_Code]]=6),"Weekend","Weekday")</f>
        <v>Weekday</v>
      </c>
      <c r="J214" s="10">
        <v>1</v>
      </c>
      <c r="K214" s="10">
        <v>0.12</v>
      </c>
      <c r="L214" s="51">
        <v>0.1212</v>
      </c>
      <c r="M214" s="10">
        <v>0.5</v>
      </c>
      <c r="N214" s="10">
        <v>0.22389999999999999</v>
      </c>
      <c r="O214" s="10">
        <v>0</v>
      </c>
      <c r="P214" s="10">
        <v>1</v>
      </c>
      <c r="Q214" s="10">
        <v>1</v>
      </c>
      <c r="R214" s="10" t="str">
        <f>VLOOKUP(Cleaned_datasetB[[#This Row],[Weather_Code]],Lookup_Tables!$E$9:$F$13,2,FALSE)</f>
        <v>Clear</v>
      </c>
      <c r="S214" s="10" t="str">
        <f>INDEX(Lookup_Tables!$I$10:$I$16,MATCH(Cleaned_datasetB[[#This Row],[Day_Code]],Lookup_Tables!$H$10:$H$16,0))</f>
        <v>Monday</v>
      </c>
      <c r="T214" s="10" t="str">
        <f>VLOOKUP(Cleaned_datasetB[[#This Row],[Month]], Lookup_Tables!$K$8:$L$19, 2, FALSE)</f>
        <v>January</v>
      </c>
      <c r="U214" s="10" t="str">
        <f>IF(AND(Cleaned_datasetB[[#This Row],[Day_Type]]="Weekday",Cleaned_datasetB[[#This Row],[Is_Holiday]]=FALSE),"Working Day","Non-Working Day")</f>
        <v>Working Day</v>
      </c>
    </row>
    <row r="215" spans="1:21">
      <c r="A215" s="10">
        <v>214</v>
      </c>
      <c r="B215" s="23">
        <v>40553</v>
      </c>
      <c r="C215" s="10">
        <v>1</v>
      </c>
      <c r="D215" s="10">
        <v>0</v>
      </c>
      <c r="E215" s="10">
        <v>1</v>
      </c>
      <c r="F215" s="10">
        <v>4</v>
      </c>
      <c r="G215" s="10" t="b">
        <v>0</v>
      </c>
      <c r="H215" s="10">
        <v>1</v>
      </c>
      <c r="I215" s="10" t="str">
        <f>IF(OR(Cleaned_datasetB[[#This Row],[Day_Code]]=0,Cleaned_datasetB[[#This Row],[Day_Code]]=6),"Weekend","Weekday")</f>
        <v>Weekday</v>
      </c>
      <c r="J215" s="10">
        <v>1</v>
      </c>
      <c r="K215" s="10">
        <v>0.1</v>
      </c>
      <c r="L215" s="51">
        <v>0.1212</v>
      </c>
      <c r="M215" s="10">
        <v>0.54</v>
      </c>
      <c r="N215" s="10">
        <v>0.1343</v>
      </c>
      <c r="O215" s="10">
        <v>1</v>
      </c>
      <c r="P215" s="10">
        <v>2</v>
      </c>
      <c r="Q215" s="10">
        <v>3</v>
      </c>
      <c r="R215" s="10" t="str">
        <f>VLOOKUP(Cleaned_datasetB[[#This Row],[Weather_Code]],Lookup_Tables!$E$9:$F$13,2,FALSE)</f>
        <v>Clear</v>
      </c>
      <c r="S215" s="10" t="str">
        <f>INDEX(Lookup_Tables!$I$10:$I$16,MATCH(Cleaned_datasetB[[#This Row],[Day_Code]],Lookup_Tables!$H$10:$H$16,0))</f>
        <v>Monday</v>
      </c>
      <c r="T215" s="10" t="str">
        <f>VLOOKUP(Cleaned_datasetB[[#This Row],[Month]], Lookup_Tables!$K$8:$L$19, 2, FALSE)</f>
        <v>January</v>
      </c>
      <c r="U215" s="10" t="str">
        <f>IF(AND(Cleaned_datasetB[[#This Row],[Day_Type]]="Weekday",Cleaned_datasetB[[#This Row],[Is_Holiday]]=FALSE),"Working Day","Non-Working Day")</f>
        <v>Working Day</v>
      </c>
    </row>
    <row r="216" spans="1:21">
      <c r="A216" s="10">
        <v>215</v>
      </c>
      <c r="B216" s="23">
        <v>40553</v>
      </c>
      <c r="C216" s="10">
        <v>1</v>
      </c>
      <c r="D216" s="10">
        <v>0</v>
      </c>
      <c r="E216" s="10">
        <v>1</v>
      </c>
      <c r="F216" s="10">
        <v>5</v>
      </c>
      <c r="G216" s="10" t="b">
        <v>0</v>
      </c>
      <c r="H216" s="10">
        <v>1</v>
      </c>
      <c r="I216" s="10" t="str">
        <f>IF(OR(Cleaned_datasetB[[#This Row],[Day_Code]]=0,Cleaned_datasetB[[#This Row],[Day_Code]]=6),"Weekend","Weekday")</f>
        <v>Weekday</v>
      </c>
      <c r="J216" s="10">
        <v>1</v>
      </c>
      <c r="K216" s="10">
        <v>0.1</v>
      </c>
      <c r="L216" s="51">
        <v>0.1061</v>
      </c>
      <c r="M216" s="10">
        <v>0.54</v>
      </c>
      <c r="N216" s="10">
        <v>0.25369999999999998</v>
      </c>
      <c r="O216" s="10">
        <v>0</v>
      </c>
      <c r="P216" s="10">
        <v>3</v>
      </c>
      <c r="Q216" s="10">
        <v>3</v>
      </c>
      <c r="R216" s="10" t="str">
        <f>VLOOKUP(Cleaned_datasetB[[#This Row],[Weather_Code]],Lookup_Tables!$E$9:$F$13,2,FALSE)</f>
        <v>Clear</v>
      </c>
      <c r="S216" s="10" t="str">
        <f>INDEX(Lookup_Tables!$I$10:$I$16,MATCH(Cleaned_datasetB[[#This Row],[Day_Code]],Lookup_Tables!$H$10:$H$16,0))</f>
        <v>Monday</v>
      </c>
      <c r="T216" s="10" t="str">
        <f>VLOOKUP(Cleaned_datasetB[[#This Row],[Month]], Lookup_Tables!$K$8:$L$19, 2, FALSE)</f>
        <v>January</v>
      </c>
      <c r="U216" s="10" t="str">
        <f>IF(AND(Cleaned_datasetB[[#This Row],[Day_Type]]="Weekday",Cleaned_datasetB[[#This Row],[Is_Holiday]]=FALSE),"Working Day","Non-Working Day")</f>
        <v>Working Day</v>
      </c>
    </row>
    <row r="217" spans="1:21">
      <c r="A217" s="10">
        <v>216</v>
      </c>
      <c r="B217" s="23">
        <v>40553</v>
      </c>
      <c r="C217" s="10">
        <v>1</v>
      </c>
      <c r="D217" s="10">
        <v>0</v>
      </c>
      <c r="E217" s="10">
        <v>1</v>
      </c>
      <c r="F217" s="10">
        <v>6</v>
      </c>
      <c r="G217" s="10" t="b">
        <v>0</v>
      </c>
      <c r="H217" s="10">
        <v>1</v>
      </c>
      <c r="I217" s="10" t="str">
        <f>IF(OR(Cleaned_datasetB[[#This Row],[Day_Code]]=0,Cleaned_datasetB[[#This Row],[Day_Code]]=6),"Weekend","Weekday")</f>
        <v>Weekday</v>
      </c>
      <c r="J217" s="10">
        <v>1</v>
      </c>
      <c r="K217" s="10">
        <v>0.12</v>
      </c>
      <c r="L217" s="51">
        <v>0.1212</v>
      </c>
      <c r="M217" s="10">
        <v>0.5</v>
      </c>
      <c r="N217" s="10">
        <v>0.28360000000000002</v>
      </c>
      <c r="O217" s="10">
        <v>0</v>
      </c>
      <c r="P217" s="10">
        <v>31</v>
      </c>
      <c r="Q217" s="10">
        <v>31</v>
      </c>
      <c r="R217" s="10" t="str">
        <f>VLOOKUP(Cleaned_datasetB[[#This Row],[Weather_Code]],Lookup_Tables!$E$9:$F$13,2,FALSE)</f>
        <v>Clear</v>
      </c>
      <c r="S217" s="10" t="str">
        <f>INDEX(Lookup_Tables!$I$10:$I$16,MATCH(Cleaned_datasetB[[#This Row],[Day_Code]],Lookup_Tables!$H$10:$H$16,0))</f>
        <v>Monday</v>
      </c>
      <c r="T217" s="10" t="str">
        <f>VLOOKUP(Cleaned_datasetB[[#This Row],[Month]], Lookup_Tables!$K$8:$L$19, 2, FALSE)</f>
        <v>January</v>
      </c>
      <c r="U217" s="10" t="str">
        <f>IF(AND(Cleaned_datasetB[[#This Row],[Day_Type]]="Weekday",Cleaned_datasetB[[#This Row],[Is_Holiday]]=FALSE),"Working Day","Non-Working Day")</f>
        <v>Working Day</v>
      </c>
    </row>
    <row r="218" spans="1:21">
      <c r="A218" s="10">
        <v>217</v>
      </c>
      <c r="B218" s="23">
        <v>40553</v>
      </c>
      <c r="C218" s="10">
        <v>1</v>
      </c>
      <c r="D218" s="10">
        <v>0</v>
      </c>
      <c r="E218" s="10">
        <v>1</v>
      </c>
      <c r="F218" s="10">
        <v>7</v>
      </c>
      <c r="G218" s="10" t="b">
        <v>0</v>
      </c>
      <c r="H218" s="10">
        <v>1</v>
      </c>
      <c r="I218" s="10" t="str">
        <f>IF(OR(Cleaned_datasetB[[#This Row],[Day_Code]]=0,Cleaned_datasetB[[#This Row],[Day_Code]]=6),"Weekend","Weekday")</f>
        <v>Weekday</v>
      </c>
      <c r="J218" s="10">
        <v>1</v>
      </c>
      <c r="K218" s="10">
        <v>0.12</v>
      </c>
      <c r="L218" s="51">
        <v>0.1212</v>
      </c>
      <c r="M218" s="10">
        <v>0.5</v>
      </c>
      <c r="N218" s="10">
        <v>0.22389999999999999</v>
      </c>
      <c r="O218" s="10">
        <v>2</v>
      </c>
      <c r="P218" s="10">
        <v>75</v>
      </c>
      <c r="Q218" s="10">
        <v>77</v>
      </c>
      <c r="R218" s="10" t="str">
        <f>VLOOKUP(Cleaned_datasetB[[#This Row],[Weather_Code]],Lookup_Tables!$E$9:$F$13,2,FALSE)</f>
        <v>Clear</v>
      </c>
      <c r="S218" s="10" t="str">
        <f>INDEX(Lookup_Tables!$I$10:$I$16,MATCH(Cleaned_datasetB[[#This Row],[Day_Code]],Lookup_Tables!$H$10:$H$16,0))</f>
        <v>Monday</v>
      </c>
      <c r="T218" s="10" t="str">
        <f>VLOOKUP(Cleaned_datasetB[[#This Row],[Month]], Lookup_Tables!$K$8:$L$19, 2, FALSE)</f>
        <v>January</v>
      </c>
      <c r="U218" s="10" t="str">
        <f>IF(AND(Cleaned_datasetB[[#This Row],[Day_Type]]="Weekday",Cleaned_datasetB[[#This Row],[Is_Holiday]]=FALSE),"Working Day","Non-Working Day")</f>
        <v>Working Day</v>
      </c>
    </row>
    <row r="219" spans="1:21">
      <c r="A219" s="10">
        <v>218</v>
      </c>
      <c r="B219" s="23">
        <v>40553</v>
      </c>
      <c r="C219" s="10">
        <v>1</v>
      </c>
      <c r="D219" s="10">
        <v>0</v>
      </c>
      <c r="E219" s="10">
        <v>1</v>
      </c>
      <c r="F219" s="10">
        <v>8</v>
      </c>
      <c r="G219" s="10" t="b">
        <v>0</v>
      </c>
      <c r="H219" s="10">
        <v>1</v>
      </c>
      <c r="I219" s="10" t="str">
        <f>IF(OR(Cleaned_datasetB[[#This Row],[Day_Code]]=0,Cleaned_datasetB[[#This Row],[Day_Code]]=6),"Weekend","Weekday")</f>
        <v>Weekday</v>
      </c>
      <c r="J219" s="10">
        <v>2</v>
      </c>
      <c r="K219" s="10">
        <v>0.12</v>
      </c>
      <c r="L219" s="51">
        <v>0.1212</v>
      </c>
      <c r="M219" s="10">
        <v>0.5</v>
      </c>
      <c r="N219" s="10">
        <v>0.28360000000000002</v>
      </c>
      <c r="O219" s="10">
        <v>4</v>
      </c>
      <c r="P219" s="10">
        <v>184</v>
      </c>
      <c r="Q219" s="10">
        <v>188</v>
      </c>
      <c r="R219" s="10" t="str">
        <f>VLOOKUP(Cleaned_datasetB[[#This Row],[Weather_Code]],Lookup_Tables!$E$9:$F$13,2,FALSE)</f>
        <v>Cloudy</v>
      </c>
      <c r="S219" s="10" t="str">
        <f>INDEX(Lookup_Tables!$I$10:$I$16,MATCH(Cleaned_datasetB[[#This Row],[Day_Code]],Lookup_Tables!$H$10:$H$16,0))</f>
        <v>Monday</v>
      </c>
      <c r="T219" s="10" t="str">
        <f>VLOOKUP(Cleaned_datasetB[[#This Row],[Month]], Lookup_Tables!$K$8:$L$19, 2, FALSE)</f>
        <v>January</v>
      </c>
      <c r="U219" s="10" t="str">
        <f>IF(AND(Cleaned_datasetB[[#This Row],[Day_Type]]="Weekday",Cleaned_datasetB[[#This Row],[Is_Holiday]]=FALSE),"Working Day","Non-Working Day")</f>
        <v>Working Day</v>
      </c>
    </row>
    <row r="220" spans="1:21">
      <c r="A220" s="10">
        <v>219</v>
      </c>
      <c r="B220" s="23">
        <v>40553</v>
      </c>
      <c r="C220" s="10">
        <v>1</v>
      </c>
      <c r="D220" s="10">
        <v>0</v>
      </c>
      <c r="E220" s="10">
        <v>1</v>
      </c>
      <c r="F220" s="10">
        <v>9</v>
      </c>
      <c r="G220" s="10" t="b">
        <v>0</v>
      </c>
      <c r="H220" s="10">
        <v>1</v>
      </c>
      <c r="I220" s="10" t="str">
        <f>IF(OR(Cleaned_datasetB[[#This Row],[Day_Code]]=0,Cleaned_datasetB[[#This Row],[Day_Code]]=6),"Weekend","Weekday")</f>
        <v>Weekday</v>
      </c>
      <c r="J220" s="10">
        <v>2</v>
      </c>
      <c r="K220" s="10">
        <v>0.14000000000000001</v>
      </c>
      <c r="L220" s="51">
        <v>0.1212</v>
      </c>
      <c r="M220" s="10">
        <v>0.5</v>
      </c>
      <c r="N220" s="10">
        <v>0.25369999999999998</v>
      </c>
      <c r="O220" s="10">
        <v>2</v>
      </c>
      <c r="P220" s="10">
        <v>92</v>
      </c>
      <c r="Q220" s="10">
        <v>94</v>
      </c>
      <c r="R220" s="10" t="str">
        <f>VLOOKUP(Cleaned_datasetB[[#This Row],[Weather_Code]],Lookup_Tables!$E$9:$F$13,2,FALSE)</f>
        <v>Cloudy</v>
      </c>
      <c r="S220" s="10" t="str">
        <f>INDEX(Lookup_Tables!$I$10:$I$16,MATCH(Cleaned_datasetB[[#This Row],[Day_Code]],Lookup_Tables!$H$10:$H$16,0))</f>
        <v>Monday</v>
      </c>
      <c r="T220" s="10" t="str">
        <f>VLOOKUP(Cleaned_datasetB[[#This Row],[Month]], Lookup_Tables!$K$8:$L$19, 2, FALSE)</f>
        <v>January</v>
      </c>
      <c r="U220" s="10" t="str">
        <f>IF(AND(Cleaned_datasetB[[#This Row],[Day_Type]]="Weekday",Cleaned_datasetB[[#This Row],[Is_Holiday]]=FALSE),"Working Day","Non-Working Day")</f>
        <v>Working Day</v>
      </c>
    </row>
    <row r="221" spans="1:21">
      <c r="A221" s="10">
        <v>220</v>
      </c>
      <c r="B221" s="23">
        <v>40553</v>
      </c>
      <c r="C221" s="10">
        <v>1</v>
      </c>
      <c r="D221" s="10">
        <v>0</v>
      </c>
      <c r="E221" s="10">
        <v>1</v>
      </c>
      <c r="F221" s="10">
        <v>10</v>
      </c>
      <c r="G221" s="10" t="b">
        <v>0</v>
      </c>
      <c r="H221" s="10">
        <v>1</v>
      </c>
      <c r="I221" s="10" t="str">
        <f>IF(OR(Cleaned_datasetB[[#This Row],[Day_Code]]=0,Cleaned_datasetB[[#This Row],[Day_Code]]=6),"Weekend","Weekday")</f>
        <v>Weekday</v>
      </c>
      <c r="J221" s="10">
        <v>2</v>
      </c>
      <c r="K221" s="10">
        <v>0.14000000000000001</v>
      </c>
      <c r="L221" s="51">
        <v>0.1212</v>
      </c>
      <c r="M221" s="10">
        <v>0.5</v>
      </c>
      <c r="N221" s="10">
        <v>0.29849999999999999</v>
      </c>
      <c r="O221" s="10">
        <v>0</v>
      </c>
      <c r="P221" s="10">
        <v>31</v>
      </c>
      <c r="Q221" s="10">
        <v>31</v>
      </c>
      <c r="R221" s="10" t="str">
        <f>VLOOKUP(Cleaned_datasetB[[#This Row],[Weather_Code]],Lookup_Tables!$E$9:$F$13,2,FALSE)</f>
        <v>Cloudy</v>
      </c>
      <c r="S221" s="10" t="str">
        <f>INDEX(Lookup_Tables!$I$10:$I$16,MATCH(Cleaned_datasetB[[#This Row],[Day_Code]],Lookup_Tables!$H$10:$H$16,0))</f>
        <v>Monday</v>
      </c>
      <c r="T221" s="10" t="str">
        <f>VLOOKUP(Cleaned_datasetB[[#This Row],[Month]], Lookup_Tables!$K$8:$L$19, 2, FALSE)</f>
        <v>January</v>
      </c>
      <c r="U221" s="10" t="str">
        <f>IF(AND(Cleaned_datasetB[[#This Row],[Day_Type]]="Weekday",Cleaned_datasetB[[#This Row],[Is_Holiday]]=FALSE),"Working Day","Non-Working Day")</f>
        <v>Working Day</v>
      </c>
    </row>
    <row r="222" spans="1:21">
      <c r="A222" s="10">
        <v>221</v>
      </c>
      <c r="B222" s="23">
        <v>40553</v>
      </c>
      <c r="C222" s="10">
        <v>1</v>
      </c>
      <c r="D222" s="10">
        <v>0</v>
      </c>
      <c r="E222" s="10">
        <v>1</v>
      </c>
      <c r="F222" s="10">
        <v>11</v>
      </c>
      <c r="G222" s="10" t="b">
        <v>0</v>
      </c>
      <c r="H222" s="10">
        <v>1</v>
      </c>
      <c r="I222" s="10" t="str">
        <f>IF(OR(Cleaned_datasetB[[#This Row],[Day_Code]]=0,Cleaned_datasetB[[#This Row],[Day_Code]]=6),"Weekend","Weekday")</f>
        <v>Weekday</v>
      </c>
      <c r="J222" s="10">
        <v>2</v>
      </c>
      <c r="K222" s="10">
        <v>0.16</v>
      </c>
      <c r="L222" s="51">
        <v>0.13639999999999999</v>
      </c>
      <c r="M222" s="10">
        <v>0.47</v>
      </c>
      <c r="N222" s="10">
        <v>0.28360000000000002</v>
      </c>
      <c r="O222" s="10">
        <v>2</v>
      </c>
      <c r="P222" s="10">
        <v>28</v>
      </c>
      <c r="Q222" s="10">
        <v>30</v>
      </c>
      <c r="R222" s="10" t="str">
        <f>VLOOKUP(Cleaned_datasetB[[#This Row],[Weather_Code]],Lookup_Tables!$E$9:$F$13,2,FALSE)</f>
        <v>Cloudy</v>
      </c>
      <c r="S222" s="10" t="str">
        <f>INDEX(Lookup_Tables!$I$10:$I$16,MATCH(Cleaned_datasetB[[#This Row],[Day_Code]],Lookup_Tables!$H$10:$H$16,0))</f>
        <v>Monday</v>
      </c>
      <c r="T222" s="10" t="str">
        <f>VLOOKUP(Cleaned_datasetB[[#This Row],[Month]], Lookup_Tables!$K$8:$L$19, 2, FALSE)</f>
        <v>January</v>
      </c>
      <c r="U222" s="10" t="str">
        <f>IF(AND(Cleaned_datasetB[[#This Row],[Day_Type]]="Weekday",Cleaned_datasetB[[#This Row],[Is_Holiday]]=FALSE),"Working Day","Non-Working Day")</f>
        <v>Working Day</v>
      </c>
    </row>
    <row r="223" spans="1:21">
      <c r="A223" s="10">
        <v>222</v>
      </c>
      <c r="B223" s="23">
        <v>40553</v>
      </c>
      <c r="C223" s="10">
        <v>1</v>
      </c>
      <c r="D223" s="10">
        <v>0</v>
      </c>
      <c r="E223" s="10">
        <v>1</v>
      </c>
      <c r="F223" s="10">
        <v>12</v>
      </c>
      <c r="G223" s="10" t="b">
        <v>0</v>
      </c>
      <c r="H223" s="10">
        <v>1</v>
      </c>
      <c r="I223" s="10" t="str">
        <f>IF(OR(Cleaned_datasetB[[#This Row],[Day_Code]]=0,Cleaned_datasetB[[#This Row],[Day_Code]]=6),"Weekend","Weekday")</f>
        <v>Weekday</v>
      </c>
      <c r="J223" s="10">
        <v>2</v>
      </c>
      <c r="K223" s="10">
        <v>0.2</v>
      </c>
      <c r="L223" s="51">
        <v>0.18179999999999999</v>
      </c>
      <c r="M223" s="10">
        <v>0.4</v>
      </c>
      <c r="N223" s="10">
        <v>0.28360000000000002</v>
      </c>
      <c r="O223" s="10">
        <v>5</v>
      </c>
      <c r="P223" s="10">
        <v>47</v>
      </c>
      <c r="Q223" s="10">
        <v>52</v>
      </c>
      <c r="R223" s="10" t="str">
        <f>VLOOKUP(Cleaned_datasetB[[#This Row],[Weather_Code]],Lookup_Tables!$E$9:$F$13,2,FALSE)</f>
        <v>Cloudy</v>
      </c>
      <c r="S223" s="10" t="str">
        <f>INDEX(Lookup_Tables!$I$10:$I$16,MATCH(Cleaned_datasetB[[#This Row],[Day_Code]],Lookup_Tables!$H$10:$H$16,0))</f>
        <v>Monday</v>
      </c>
      <c r="T223" s="10" t="str">
        <f>VLOOKUP(Cleaned_datasetB[[#This Row],[Month]], Lookup_Tables!$K$8:$L$19, 2, FALSE)</f>
        <v>January</v>
      </c>
      <c r="U223" s="10" t="str">
        <f>IF(AND(Cleaned_datasetB[[#This Row],[Day_Type]]="Weekday",Cleaned_datasetB[[#This Row],[Is_Holiday]]=FALSE),"Working Day","Non-Working Day")</f>
        <v>Working Day</v>
      </c>
    </row>
    <row r="224" spans="1:21">
      <c r="A224" s="10">
        <v>223</v>
      </c>
      <c r="B224" s="23">
        <v>40553</v>
      </c>
      <c r="C224" s="10">
        <v>1</v>
      </c>
      <c r="D224" s="10">
        <v>0</v>
      </c>
      <c r="E224" s="10">
        <v>1</v>
      </c>
      <c r="F224" s="10">
        <v>13</v>
      </c>
      <c r="G224" s="10" t="b">
        <v>0</v>
      </c>
      <c r="H224" s="10">
        <v>1</v>
      </c>
      <c r="I224" s="10" t="str">
        <f>IF(OR(Cleaned_datasetB[[#This Row],[Day_Code]]=0,Cleaned_datasetB[[#This Row],[Day_Code]]=6),"Weekend","Weekday")</f>
        <v>Weekday</v>
      </c>
      <c r="J224" s="10">
        <v>2</v>
      </c>
      <c r="K224" s="10">
        <v>0.2</v>
      </c>
      <c r="L224" s="51">
        <v>0.18179999999999999</v>
      </c>
      <c r="M224" s="10">
        <v>0.4</v>
      </c>
      <c r="N224" s="10">
        <v>0.28360000000000002</v>
      </c>
      <c r="O224" s="10">
        <v>4</v>
      </c>
      <c r="P224" s="10">
        <v>50</v>
      </c>
      <c r="Q224" s="10">
        <v>54</v>
      </c>
      <c r="R224" s="10" t="str">
        <f>VLOOKUP(Cleaned_datasetB[[#This Row],[Weather_Code]],Lookup_Tables!$E$9:$F$13,2,FALSE)</f>
        <v>Cloudy</v>
      </c>
      <c r="S224" s="10" t="str">
        <f>INDEX(Lookup_Tables!$I$10:$I$16,MATCH(Cleaned_datasetB[[#This Row],[Day_Code]],Lookup_Tables!$H$10:$H$16,0))</f>
        <v>Monday</v>
      </c>
      <c r="T224" s="10" t="str">
        <f>VLOOKUP(Cleaned_datasetB[[#This Row],[Month]], Lookup_Tables!$K$8:$L$19, 2, FALSE)</f>
        <v>January</v>
      </c>
      <c r="U224" s="10" t="str">
        <f>IF(AND(Cleaned_datasetB[[#This Row],[Day_Type]]="Weekday",Cleaned_datasetB[[#This Row],[Is_Holiday]]=FALSE),"Working Day","Non-Working Day")</f>
        <v>Working Day</v>
      </c>
    </row>
    <row r="225" spans="1:21">
      <c r="A225" s="10">
        <v>224</v>
      </c>
      <c r="B225" s="23">
        <v>40553</v>
      </c>
      <c r="C225" s="10">
        <v>1</v>
      </c>
      <c r="D225" s="10">
        <v>0</v>
      </c>
      <c r="E225" s="10">
        <v>1</v>
      </c>
      <c r="F225" s="10">
        <v>14</v>
      </c>
      <c r="G225" s="10" t="b">
        <v>0</v>
      </c>
      <c r="H225" s="10">
        <v>1</v>
      </c>
      <c r="I225" s="10" t="str">
        <f>IF(OR(Cleaned_datasetB[[#This Row],[Day_Code]]=0,Cleaned_datasetB[[#This Row],[Day_Code]]=6),"Weekend","Weekday")</f>
        <v>Weekday</v>
      </c>
      <c r="J225" s="10">
        <v>2</v>
      </c>
      <c r="K225" s="10">
        <v>0.2</v>
      </c>
      <c r="L225" s="51">
        <v>0.19700000000000001</v>
      </c>
      <c r="M225" s="10">
        <v>0.4</v>
      </c>
      <c r="N225" s="10">
        <v>0.22389999999999999</v>
      </c>
      <c r="O225" s="10">
        <v>0</v>
      </c>
      <c r="P225" s="10">
        <v>47</v>
      </c>
      <c r="Q225" s="10">
        <v>47</v>
      </c>
      <c r="R225" s="10" t="str">
        <f>VLOOKUP(Cleaned_datasetB[[#This Row],[Weather_Code]],Lookup_Tables!$E$9:$F$13,2,FALSE)</f>
        <v>Cloudy</v>
      </c>
      <c r="S225" s="10" t="str">
        <f>INDEX(Lookup_Tables!$I$10:$I$16,MATCH(Cleaned_datasetB[[#This Row],[Day_Code]],Lookup_Tables!$H$10:$H$16,0))</f>
        <v>Monday</v>
      </c>
      <c r="T225" s="10" t="str">
        <f>VLOOKUP(Cleaned_datasetB[[#This Row],[Month]], Lookup_Tables!$K$8:$L$19, 2, FALSE)</f>
        <v>January</v>
      </c>
      <c r="U225" s="10" t="str">
        <f>IF(AND(Cleaned_datasetB[[#This Row],[Day_Type]]="Weekday",Cleaned_datasetB[[#This Row],[Is_Holiday]]=FALSE),"Working Day","Non-Working Day")</f>
        <v>Working Day</v>
      </c>
    </row>
    <row r="226" spans="1:21">
      <c r="A226" s="10">
        <v>225</v>
      </c>
      <c r="B226" s="23">
        <v>40553</v>
      </c>
      <c r="C226" s="10">
        <v>1</v>
      </c>
      <c r="D226" s="10">
        <v>0</v>
      </c>
      <c r="E226" s="10">
        <v>1</v>
      </c>
      <c r="F226" s="10">
        <v>15</v>
      </c>
      <c r="G226" s="10" t="b">
        <v>0</v>
      </c>
      <c r="H226" s="10">
        <v>1</v>
      </c>
      <c r="I226" s="10" t="str">
        <f>IF(OR(Cleaned_datasetB[[#This Row],[Day_Code]]=0,Cleaned_datasetB[[#This Row],[Day_Code]]=6),"Weekend","Weekday")</f>
        <v>Weekday</v>
      </c>
      <c r="J226" s="10">
        <v>2</v>
      </c>
      <c r="K226" s="10">
        <v>0.2</v>
      </c>
      <c r="L226" s="51">
        <v>0.19700000000000001</v>
      </c>
      <c r="M226" s="10">
        <v>0.4</v>
      </c>
      <c r="N226" s="10">
        <v>0.22389999999999999</v>
      </c>
      <c r="O226" s="10">
        <v>2</v>
      </c>
      <c r="P226" s="10">
        <v>43</v>
      </c>
      <c r="Q226" s="10">
        <v>45</v>
      </c>
      <c r="R226" s="10" t="str">
        <f>VLOOKUP(Cleaned_datasetB[[#This Row],[Weather_Code]],Lookup_Tables!$E$9:$F$13,2,FALSE)</f>
        <v>Cloudy</v>
      </c>
      <c r="S226" s="10" t="str">
        <f>INDEX(Lookup_Tables!$I$10:$I$16,MATCH(Cleaned_datasetB[[#This Row],[Day_Code]],Lookup_Tables!$H$10:$H$16,0))</f>
        <v>Monday</v>
      </c>
      <c r="T226" s="10" t="str">
        <f>VLOOKUP(Cleaned_datasetB[[#This Row],[Month]], Lookup_Tables!$K$8:$L$19, 2, FALSE)</f>
        <v>January</v>
      </c>
      <c r="U226" s="10" t="str">
        <f>IF(AND(Cleaned_datasetB[[#This Row],[Day_Type]]="Weekday",Cleaned_datasetB[[#This Row],[Is_Holiday]]=FALSE),"Working Day","Non-Working Day")</f>
        <v>Working Day</v>
      </c>
    </row>
    <row r="227" spans="1:21">
      <c r="A227" s="10">
        <v>226</v>
      </c>
      <c r="B227" s="23">
        <v>40553</v>
      </c>
      <c r="C227" s="10">
        <v>1</v>
      </c>
      <c r="D227" s="10">
        <v>0</v>
      </c>
      <c r="E227" s="10">
        <v>1</v>
      </c>
      <c r="F227" s="10">
        <v>16</v>
      </c>
      <c r="G227" s="10" t="b">
        <v>0</v>
      </c>
      <c r="H227" s="10">
        <v>1</v>
      </c>
      <c r="I227" s="10" t="str">
        <f>IF(OR(Cleaned_datasetB[[#This Row],[Day_Code]]=0,Cleaned_datasetB[[#This Row],[Day_Code]]=6),"Weekend","Weekday")</f>
        <v>Weekday</v>
      </c>
      <c r="J227" s="10">
        <v>1</v>
      </c>
      <c r="K227" s="10">
        <v>0.2</v>
      </c>
      <c r="L227" s="51">
        <v>0.21210000000000001</v>
      </c>
      <c r="M227" s="10">
        <v>0.4</v>
      </c>
      <c r="N227" s="10">
        <v>0.1343</v>
      </c>
      <c r="O227" s="10">
        <v>4</v>
      </c>
      <c r="P227" s="10">
        <v>70</v>
      </c>
      <c r="Q227" s="10">
        <v>74</v>
      </c>
      <c r="R227" s="10" t="str">
        <f>VLOOKUP(Cleaned_datasetB[[#This Row],[Weather_Code]],Lookup_Tables!$E$9:$F$13,2,FALSE)</f>
        <v>Clear</v>
      </c>
      <c r="S227" s="10" t="str">
        <f>INDEX(Lookup_Tables!$I$10:$I$16,MATCH(Cleaned_datasetB[[#This Row],[Day_Code]],Lookup_Tables!$H$10:$H$16,0))</f>
        <v>Monday</v>
      </c>
      <c r="T227" s="10" t="str">
        <f>VLOOKUP(Cleaned_datasetB[[#This Row],[Month]], Lookup_Tables!$K$8:$L$19, 2, FALSE)</f>
        <v>January</v>
      </c>
      <c r="U227" s="10" t="str">
        <f>IF(AND(Cleaned_datasetB[[#This Row],[Day_Type]]="Weekday",Cleaned_datasetB[[#This Row],[Is_Holiday]]=FALSE),"Working Day","Non-Working Day")</f>
        <v>Working Day</v>
      </c>
    </row>
    <row r="228" spans="1:21">
      <c r="A228" s="10">
        <v>227</v>
      </c>
      <c r="B228" s="23">
        <v>40553</v>
      </c>
      <c r="C228" s="10">
        <v>1</v>
      </c>
      <c r="D228" s="10">
        <v>0</v>
      </c>
      <c r="E228" s="10">
        <v>1</v>
      </c>
      <c r="F228" s="10">
        <v>17</v>
      </c>
      <c r="G228" s="10" t="b">
        <v>0</v>
      </c>
      <c r="H228" s="10">
        <v>1</v>
      </c>
      <c r="I228" s="10" t="str">
        <f>IF(OR(Cleaned_datasetB[[#This Row],[Day_Code]]=0,Cleaned_datasetB[[#This Row],[Day_Code]]=6),"Weekend","Weekday")</f>
        <v>Weekday</v>
      </c>
      <c r="J228" s="10">
        <v>1</v>
      </c>
      <c r="K228" s="10">
        <v>0.2</v>
      </c>
      <c r="L228" s="51">
        <v>0.2273</v>
      </c>
      <c r="M228" s="10">
        <v>0.4</v>
      </c>
      <c r="N228" s="10">
        <v>0.1045</v>
      </c>
      <c r="O228" s="10">
        <v>4</v>
      </c>
      <c r="P228" s="10">
        <v>174</v>
      </c>
      <c r="Q228" s="10">
        <v>178</v>
      </c>
      <c r="R228" s="10" t="str">
        <f>VLOOKUP(Cleaned_datasetB[[#This Row],[Weather_Code]],Lookup_Tables!$E$9:$F$13,2,FALSE)</f>
        <v>Clear</v>
      </c>
      <c r="S228" s="10" t="str">
        <f>INDEX(Lookup_Tables!$I$10:$I$16,MATCH(Cleaned_datasetB[[#This Row],[Day_Code]],Lookup_Tables!$H$10:$H$16,0))</f>
        <v>Monday</v>
      </c>
      <c r="T228" s="10" t="str">
        <f>VLOOKUP(Cleaned_datasetB[[#This Row],[Month]], Lookup_Tables!$K$8:$L$19, 2, FALSE)</f>
        <v>January</v>
      </c>
      <c r="U228" s="10" t="str">
        <f>IF(AND(Cleaned_datasetB[[#This Row],[Day_Type]]="Weekday",Cleaned_datasetB[[#This Row],[Is_Holiday]]=FALSE),"Working Day","Non-Working Day")</f>
        <v>Working Day</v>
      </c>
    </row>
    <row r="229" spans="1:21">
      <c r="A229" s="10">
        <v>228</v>
      </c>
      <c r="B229" s="23">
        <v>40553</v>
      </c>
      <c r="C229" s="10">
        <v>1</v>
      </c>
      <c r="D229" s="10">
        <v>0</v>
      </c>
      <c r="E229" s="10">
        <v>1</v>
      </c>
      <c r="F229" s="10">
        <v>18</v>
      </c>
      <c r="G229" s="10" t="b">
        <v>0</v>
      </c>
      <c r="H229" s="10">
        <v>1</v>
      </c>
      <c r="I229" s="10" t="str">
        <f>IF(OR(Cleaned_datasetB[[#This Row],[Day_Code]]=0,Cleaned_datasetB[[#This Row],[Day_Code]]=6),"Weekend","Weekday")</f>
        <v>Weekday</v>
      </c>
      <c r="J229" s="10">
        <v>1</v>
      </c>
      <c r="K229" s="10">
        <v>0.2</v>
      </c>
      <c r="L229" s="51">
        <v>0.19700000000000001</v>
      </c>
      <c r="M229" s="10">
        <v>0.4</v>
      </c>
      <c r="N229" s="10">
        <v>0.22389999999999999</v>
      </c>
      <c r="O229" s="10">
        <v>1</v>
      </c>
      <c r="P229" s="10">
        <v>154</v>
      </c>
      <c r="Q229" s="10">
        <v>155</v>
      </c>
      <c r="R229" s="10" t="str">
        <f>VLOOKUP(Cleaned_datasetB[[#This Row],[Weather_Code]],Lookup_Tables!$E$9:$F$13,2,FALSE)</f>
        <v>Clear</v>
      </c>
      <c r="S229" s="10" t="str">
        <f>INDEX(Lookup_Tables!$I$10:$I$16,MATCH(Cleaned_datasetB[[#This Row],[Day_Code]],Lookup_Tables!$H$10:$H$16,0))</f>
        <v>Monday</v>
      </c>
      <c r="T229" s="10" t="str">
        <f>VLOOKUP(Cleaned_datasetB[[#This Row],[Month]], Lookup_Tables!$K$8:$L$19, 2, FALSE)</f>
        <v>January</v>
      </c>
      <c r="U229" s="10" t="str">
        <f>IF(AND(Cleaned_datasetB[[#This Row],[Day_Type]]="Weekday",Cleaned_datasetB[[#This Row],[Is_Holiday]]=FALSE),"Working Day","Non-Working Day")</f>
        <v>Working Day</v>
      </c>
    </row>
    <row r="230" spans="1:21">
      <c r="A230" s="10">
        <v>229</v>
      </c>
      <c r="B230" s="23">
        <v>40553</v>
      </c>
      <c r="C230" s="10">
        <v>1</v>
      </c>
      <c r="D230" s="10">
        <v>0</v>
      </c>
      <c r="E230" s="10">
        <v>1</v>
      </c>
      <c r="F230" s="10">
        <v>19</v>
      </c>
      <c r="G230" s="10" t="b">
        <v>0</v>
      </c>
      <c r="H230" s="10">
        <v>1</v>
      </c>
      <c r="I230" s="10" t="str">
        <f>IF(OR(Cleaned_datasetB[[#This Row],[Day_Code]]=0,Cleaned_datasetB[[#This Row],[Day_Code]]=6),"Weekend","Weekday")</f>
        <v>Weekday</v>
      </c>
      <c r="J230" s="10">
        <v>1</v>
      </c>
      <c r="K230" s="10">
        <v>0.16</v>
      </c>
      <c r="L230" s="51">
        <v>0.16669999999999999</v>
      </c>
      <c r="M230" s="10">
        <v>0.47</v>
      </c>
      <c r="N230" s="10">
        <v>0.16420000000000001</v>
      </c>
      <c r="O230" s="10">
        <v>3</v>
      </c>
      <c r="P230" s="10">
        <v>92</v>
      </c>
      <c r="Q230" s="10">
        <v>95</v>
      </c>
      <c r="R230" s="10" t="str">
        <f>VLOOKUP(Cleaned_datasetB[[#This Row],[Weather_Code]],Lookup_Tables!$E$9:$F$13,2,FALSE)</f>
        <v>Clear</v>
      </c>
      <c r="S230" s="10" t="str">
        <f>INDEX(Lookup_Tables!$I$10:$I$16,MATCH(Cleaned_datasetB[[#This Row],[Day_Code]],Lookup_Tables!$H$10:$H$16,0))</f>
        <v>Monday</v>
      </c>
      <c r="T230" s="10" t="str">
        <f>VLOOKUP(Cleaned_datasetB[[#This Row],[Month]], Lookup_Tables!$K$8:$L$19, 2, FALSE)</f>
        <v>January</v>
      </c>
      <c r="U230" s="10" t="str">
        <f>IF(AND(Cleaned_datasetB[[#This Row],[Day_Type]]="Weekday",Cleaned_datasetB[[#This Row],[Is_Holiday]]=FALSE),"Working Day","Non-Working Day")</f>
        <v>Working Day</v>
      </c>
    </row>
    <row r="231" spans="1:21">
      <c r="A231" s="10">
        <v>230</v>
      </c>
      <c r="B231" s="23">
        <v>40553</v>
      </c>
      <c r="C231" s="10">
        <v>1</v>
      </c>
      <c r="D231" s="10">
        <v>0</v>
      </c>
      <c r="E231" s="10">
        <v>1</v>
      </c>
      <c r="F231" s="10">
        <v>20</v>
      </c>
      <c r="G231" s="10" t="b">
        <v>0</v>
      </c>
      <c r="H231" s="10">
        <v>1</v>
      </c>
      <c r="I231" s="10" t="str">
        <f>IF(OR(Cleaned_datasetB[[#This Row],[Day_Code]]=0,Cleaned_datasetB[[#This Row],[Day_Code]]=6),"Weekend","Weekday")</f>
        <v>Weekday</v>
      </c>
      <c r="J231" s="10">
        <v>1</v>
      </c>
      <c r="K231" s="10">
        <v>0.16</v>
      </c>
      <c r="L231" s="51">
        <v>0.16669999999999999</v>
      </c>
      <c r="M231" s="10">
        <v>0.5</v>
      </c>
      <c r="N231" s="10">
        <v>0.16420000000000001</v>
      </c>
      <c r="O231" s="10">
        <v>1</v>
      </c>
      <c r="P231" s="10">
        <v>73</v>
      </c>
      <c r="Q231" s="10">
        <v>74</v>
      </c>
      <c r="R231" s="10" t="str">
        <f>VLOOKUP(Cleaned_datasetB[[#This Row],[Weather_Code]],Lookup_Tables!$E$9:$F$13,2,FALSE)</f>
        <v>Clear</v>
      </c>
      <c r="S231" s="10" t="str">
        <f>INDEX(Lookup_Tables!$I$10:$I$16,MATCH(Cleaned_datasetB[[#This Row],[Day_Code]],Lookup_Tables!$H$10:$H$16,0))</f>
        <v>Monday</v>
      </c>
      <c r="T231" s="10" t="str">
        <f>VLOOKUP(Cleaned_datasetB[[#This Row],[Month]], Lookup_Tables!$K$8:$L$19, 2, FALSE)</f>
        <v>January</v>
      </c>
      <c r="U231" s="10" t="str">
        <f>IF(AND(Cleaned_datasetB[[#This Row],[Day_Type]]="Weekday",Cleaned_datasetB[[#This Row],[Is_Holiday]]=FALSE),"Working Day","Non-Working Day")</f>
        <v>Working Day</v>
      </c>
    </row>
    <row r="232" spans="1:21">
      <c r="A232" s="10">
        <v>231</v>
      </c>
      <c r="B232" s="23">
        <v>40553</v>
      </c>
      <c r="C232" s="10">
        <v>1</v>
      </c>
      <c r="D232" s="10">
        <v>0</v>
      </c>
      <c r="E232" s="10">
        <v>1</v>
      </c>
      <c r="F232" s="10">
        <v>21</v>
      </c>
      <c r="G232" s="10" t="b">
        <v>0</v>
      </c>
      <c r="H232" s="10">
        <v>1</v>
      </c>
      <c r="I232" s="10" t="str">
        <f>IF(OR(Cleaned_datasetB[[#This Row],[Day_Code]]=0,Cleaned_datasetB[[#This Row],[Day_Code]]=6),"Weekend","Weekday")</f>
        <v>Weekday</v>
      </c>
      <c r="J232" s="10">
        <v>1</v>
      </c>
      <c r="K232" s="10">
        <v>0.14000000000000001</v>
      </c>
      <c r="L232" s="51">
        <v>0.13639999999999999</v>
      </c>
      <c r="M232" s="10">
        <v>0.59</v>
      </c>
      <c r="N232" s="10">
        <v>0.19400000000000001</v>
      </c>
      <c r="O232" s="10">
        <v>1</v>
      </c>
      <c r="P232" s="10">
        <v>37</v>
      </c>
      <c r="Q232" s="10">
        <v>38</v>
      </c>
      <c r="R232" s="10" t="str">
        <f>VLOOKUP(Cleaned_datasetB[[#This Row],[Weather_Code]],Lookup_Tables!$E$9:$F$13,2,FALSE)</f>
        <v>Clear</v>
      </c>
      <c r="S232" s="10" t="str">
        <f>INDEX(Lookup_Tables!$I$10:$I$16,MATCH(Cleaned_datasetB[[#This Row],[Day_Code]],Lookup_Tables!$H$10:$H$16,0))</f>
        <v>Monday</v>
      </c>
      <c r="T232" s="10" t="str">
        <f>VLOOKUP(Cleaned_datasetB[[#This Row],[Month]], Lookup_Tables!$K$8:$L$19, 2, FALSE)</f>
        <v>January</v>
      </c>
      <c r="U232" s="10" t="str">
        <f>IF(AND(Cleaned_datasetB[[#This Row],[Day_Type]]="Weekday",Cleaned_datasetB[[#This Row],[Is_Holiday]]=FALSE),"Working Day","Non-Working Day")</f>
        <v>Working Day</v>
      </c>
    </row>
    <row r="233" spans="1:21">
      <c r="A233" s="10">
        <v>232</v>
      </c>
      <c r="B233" s="23">
        <v>40553</v>
      </c>
      <c r="C233" s="10">
        <v>1</v>
      </c>
      <c r="D233" s="10">
        <v>0</v>
      </c>
      <c r="E233" s="10">
        <v>1</v>
      </c>
      <c r="F233" s="10">
        <v>22</v>
      </c>
      <c r="G233" s="10" t="b">
        <v>0</v>
      </c>
      <c r="H233" s="10">
        <v>1</v>
      </c>
      <c r="I233" s="10" t="str">
        <f>IF(OR(Cleaned_datasetB[[#This Row],[Day_Code]]=0,Cleaned_datasetB[[#This Row],[Day_Code]]=6),"Weekend","Weekday")</f>
        <v>Weekday</v>
      </c>
      <c r="J233" s="10">
        <v>1</v>
      </c>
      <c r="K233" s="10">
        <v>0.14000000000000001</v>
      </c>
      <c r="L233" s="51">
        <v>0.1515</v>
      </c>
      <c r="M233" s="10">
        <v>0.59</v>
      </c>
      <c r="N233" s="10">
        <v>0.16420000000000001</v>
      </c>
      <c r="O233" s="10">
        <v>2</v>
      </c>
      <c r="P233" s="10">
        <v>22</v>
      </c>
      <c r="Q233" s="10">
        <v>24</v>
      </c>
      <c r="R233" s="10" t="str">
        <f>VLOOKUP(Cleaned_datasetB[[#This Row],[Weather_Code]],Lookup_Tables!$E$9:$F$13,2,FALSE)</f>
        <v>Clear</v>
      </c>
      <c r="S233" s="10" t="str">
        <f>INDEX(Lookup_Tables!$I$10:$I$16,MATCH(Cleaned_datasetB[[#This Row],[Day_Code]],Lookup_Tables!$H$10:$H$16,0))</f>
        <v>Monday</v>
      </c>
      <c r="T233" s="10" t="str">
        <f>VLOOKUP(Cleaned_datasetB[[#This Row],[Month]], Lookup_Tables!$K$8:$L$19, 2, FALSE)</f>
        <v>January</v>
      </c>
      <c r="U233" s="10" t="str">
        <f>IF(AND(Cleaned_datasetB[[#This Row],[Day_Type]]="Weekday",Cleaned_datasetB[[#This Row],[Is_Holiday]]=FALSE),"Working Day","Non-Working Day")</f>
        <v>Working Day</v>
      </c>
    </row>
    <row r="234" spans="1:21">
      <c r="A234" s="10">
        <v>233</v>
      </c>
      <c r="B234" s="23">
        <v>40553</v>
      </c>
      <c r="C234" s="10">
        <v>1</v>
      </c>
      <c r="D234" s="10">
        <v>0</v>
      </c>
      <c r="E234" s="10">
        <v>1</v>
      </c>
      <c r="F234" s="10">
        <v>23</v>
      </c>
      <c r="G234" s="10" t="b">
        <v>0</v>
      </c>
      <c r="H234" s="10">
        <v>1</v>
      </c>
      <c r="I234" s="10" t="str">
        <f>IF(OR(Cleaned_datasetB[[#This Row],[Day_Code]]=0,Cleaned_datasetB[[#This Row],[Day_Code]]=6),"Weekend","Weekday")</f>
        <v>Weekday</v>
      </c>
      <c r="J234" s="10">
        <v>1</v>
      </c>
      <c r="K234" s="10">
        <v>0.14000000000000001</v>
      </c>
      <c r="L234" s="51">
        <v>0.1515</v>
      </c>
      <c r="M234" s="10">
        <v>0.59</v>
      </c>
      <c r="N234" s="10">
        <v>0.16420000000000001</v>
      </c>
      <c r="O234" s="10">
        <v>0</v>
      </c>
      <c r="P234" s="10">
        <v>18</v>
      </c>
      <c r="Q234" s="10">
        <v>18</v>
      </c>
      <c r="R234" s="10" t="str">
        <f>VLOOKUP(Cleaned_datasetB[[#This Row],[Weather_Code]],Lookup_Tables!$E$9:$F$13,2,FALSE)</f>
        <v>Clear</v>
      </c>
      <c r="S234" s="10" t="str">
        <f>INDEX(Lookup_Tables!$I$10:$I$16,MATCH(Cleaned_datasetB[[#This Row],[Day_Code]],Lookup_Tables!$H$10:$H$16,0))</f>
        <v>Monday</v>
      </c>
      <c r="T234" s="10" t="str">
        <f>VLOOKUP(Cleaned_datasetB[[#This Row],[Month]], Lookup_Tables!$K$8:$L$19, 2, FALSE)</f>
        <v>January</v>
      </c>
      <c r="U234" s="10" t="str">
        <f>IF(AND(Cleaned_datasetB[[#This Row],[Day_Type]]="Weekday",Cleaned_datasetB[[#This Row],[Is_Holiday]]=FALSE),"Working Day","Non-Working Day")</f>
        <v>Working Day</v>
      </c>
    </row>
    <row r="235" spans="1:21">
      <c r="A235" s="10">
        <v>234</v>
      </c>
      <c r="B235" s="23">
        <v>40554</v>
      </c>
      <c r="C235" s="10">
        <v>1</v>
      </c>
      <c r="D235" s="10">
        <v>0</v>
      </c>
      <c r="E235" s="10">
        <v>1</v>
      </c>
      <c r="F235" s="10">
        <v>0</v>
      </c>
      <c r="G235" s="10" t="b">
        <v>0</v>
      </c>
      <c r="H235" s="10">
        <v>2</v>
      </c>
      <c r="I235" s="10" t="str">
        <f>IF(OR(Cleaned_datasetB[[#This Row],[Day_Code]]=0,Cleaned_datasetB[[#This Row],[Day_Code]]=6),"Weekend","Weekday")</f>
        <v>Weekday</v>
      </c>
      <c r="J235" s="10">
        <v>1</v>
      </c>
      <c r="K235" s="10">
        <v>0.14000000000000001</v>
      </c>
      <c r="L235" s="51">
        <v>0.16669999999999999</v>
      </c>
      <c r="M235" s="10">
        <v>0.59</v>
      </c>
      <c r="N235" s="10">
        <v>0.1045</v>
      </c>
      <c r="O235" s="10">
        <v>2</v>
      </c>
      <c r="P235" s="10">
        <v>10</v>
      </c>
      <c r="Q235" s="10">
        <v>12</v>
      </c>
      <c r="R235" s="10" t="str">
        <f>VLOOKUP(Cleaned_datasetB[[#This Row],[Weather_Code]],Lookup_Tables!$E$9:$F$13,2,FALSE)</f>
        <v>Clear</v>
      </c>
      <c r="S235" s="10" t="str">
        <f>INDEX(Lookup_Tables!$I$10:$I$16,MATCH(Cleaned_datasetB[[#This Row],[Day_Code]],Lookup_Tables!$H$10:$H$16,0))</f>
        <v>Tuesday</v>
      </c>
      <c r="T235" s="10" t="str">
        <f>VLOOKUP(Cleaned_datasetB[[#This Row],[Month]], Lookup_Tables!$K$8:$L$19, 2, FALSE)</f>
        <v>January</v>
      </c>
      <c r="U235" s="10" t="str">
        <f>IF(AND(Cleaned_datasetB[[#This Row],[Day_Type]]="Weekday",Cleaned_datasetB[[#This Row],[Is_Holiday]]=FALSE),"Working Day","Non-Working Day")</f>
        <v>Working Day</v>
      </c>
    </row>
    <row r="236" spans="1:21">
      <c r="A236" s="10">
        <v>235</v>
      </c>
      <c r="B236" s="23">
        <v>40554</v>
      </c>
      <c r="C236" s="10">
        <v>1</v>
      </c>
      <c r="D236" s="10">
        <v>0</v>
      </c>
      <c r="E236" s="10">
        <v>1</v>
      </c>
      <c r="F236" s="10">
        <v>1</v>
      </c>
      <c r="G236" s="10" t="b">
        <v>0</v>
      </c>
      <c r="H236" s="10">
        <v>2</v>
      </c>
      <c r="I236" s="10" t="str">
        <f>IF(OR(Cleaned_datasetB[[#This Row],[Day_Code]]=0,Cleaned_datasetB[[#This Row],[Day_Code]]=6),"Weekend","Weekday")</f>
        <v>Weekday</v>
      </c>
      <c r="J236" s="10">
        <v>1</v>
      </c>
      <c r="K236" s="10">
        <v>0.14000000000000001</v>
      </c>
      <c r="L236" s="51">
        <v>0.1515</v>
      </c>
      <c r="M236" s="10">
        <v>0.59</v>
      </c>
      <c r="N236" s="10">
        <v>0.16420000000000001</v>
      </c>
      <c r="O236" s="10">
        <v>0</v>
      </c>
      <c r="P236" s="10">
        <v>3</v>
      </c>
      <c r="Q236" s="10">
        <v>3</v>
      </c>
      <c r="R236" s="10" t="str">
        <f>VLOOKUP(Cleaned_datasetB[[#This Row],[Weather_Code]],Lookup_Tables!$E$9:$F$13,2,FALSE)</f>
        <v>Clear</v>
      </c>
      <c r="S236" s="10" t="str">
        <f>INDEX(Lookup_Tables!$I$10:$I$16,MATCH(Cleaned_datasetB[[#This Row],[Day_Code]],Lookup_Tables!$H$10:$H$16,0))</f>
        <v>Tuesday</v>
      </c>
      <c r="T236" s="10" t="str">
        <f>VLOOKUP(Cleaned_datasetB[[#This Row],[Month]], Lookup_Tables!$K$8:$L$19, 2, FALSE)</f>
        <v>January</v>
      </c>
      <c r="U236" s="10" t="str">
        <f>IF(AND(Cleaned_datasetB[[#This Row],[Day_Type]]="Weekday",Cleaned_datasetB[[#This Row],[Is_Holiday]]=FALSE),"Working Day","Non-Working Day")</f>
        <v>Working Day</v>
      </c>
    </row>
    <row r="237" spans="1:21">
      <c r="A237" s="10">
        <v>236</v>
      </c>
      <c r="B237" s="23">
        <v>40554</v>
      </c>
      <c r="C237" s="10">
        <v>1</v>
      </c>
      <c r="D237" s="10">
        <v>0</v>
      </c>
      <c r="E237" s="10">
        <v>1</v>
      </c>
      <c r="F237" s="10">
        <v>2</v>
      </c>
      <c r="G237" s="10" t="b">
        <v>0</v>
      </c>
      <c r="H237" s="10">
        <v>2</v>
      </c>
      <c r="I237" s="10" t="str">
        <f>IF(OR(Cleaned_datasetB[[#This Row],[Day_Code]]=0,Cleaned_datasetB[[#This Row],[Day_Code]]=6),"Weekend","Weekday")</f>
        <v>Weekday</v>
      </c>
      <c r="J237" s="10">
        <v>2</v>
      </c>
      <c r="K237" s="10">
        <v>0.16</v>
      </c>
      <c r="L237" s="51">
        <v>0.1515</v>
      </c>
      <c r="M237" s="10">
        <v>0.55000000000000004</v>
      </c>
      <c r="N237" s="10">
        <v>0.19400000000000001</v>
      </c>
      <c r="O237" s="10">
        <v>0</v>
      </c>
      <c r="P237" s="10">
        <v>3</v>
      </c>
      <c r="Q237" s="10">
        <v>3</v>
      </c>
      <c r="R237" s="10" t="str">
        <f>VLOOKUP(Cleaned_datasetB[[#This Row],[Weather_Code]],Lookup_Tables!$E$9:$F$13,2,FALSE)</f>
        <v>Cloudy</v>
      </c>
      <c r="S237" s="10" t="str">
        <f>INDEX(Lookup_Tables!$I$10:$I$16,MATCH(Cleaned_datasetB[[#This Row],[Day_Code]],Lookup_Tables!$H$10:$H$16,0))</f>
        <v>Tuesday</v>
      </c>
      <c r="T237" s="10" t="str">
        <f>VLOOKUP(Cleaned_datasetB[[#This Row],[Month]], Lookup_Tables!$K$8:$L$19, 2, FALSE)</f>
        <v>January</v>
      </c>
      <c r="U237" s="10" t="str">
        <f>IF(AND(Cleaned_datasetB[[#This Row],[Day_Type]]="Weekday",Cleaned_datasetB[[#This Row],[Is_Holiday]]=FALSE),"Working Day","Non-Working Day")</f>
        <v>Working Day</v>
      </c>
    </row>
    <row r="238" spans="1:21">
      <c r="A238" s="10">
        <v>237</v>
      </c>
      <c r="B238" s="23">
        <v>40554</v>
      </c>
      <c r="C238" s="10">
        <v>1</v>
      </c>
      <c r="D238" s="10">
        <v>0</v>
      </c>
      <c r="E238" s="10">
        <v>1</v>
      </c>
      <c r="F238" s="10">
        <v>5</v>
      </c>
      <c r="G238" s="10" t="b">
        <v>0</v>
      </c>
      <c r="H238" s="10">
        <v>2</v>
      </c>
      <c r="I238" s="10" t="str">
        <f>IF(OR(Cleaned_datasetB[[#This Row],[Day_Code]]=0,Cleaned_datasetB[[#This Row],[Day_Code]]=6),"Weekend","Weekday")</f>
        <v>Weekday</v>
      </c>
      <c r="J238" s="10">
        <v>2</v>
      </c>
      <c r="K238" s="10">
        <v>0.16</v>
      </c>
      <c r="L238" s="51">
        <v>0.18179999999999999</v>
      </c>
      <c r="M238" s="10">
        <v>0.55000000000000004</v>
      </c>
      <c r="N238" s="10">
        <v>0.1343</v>
      </c>
      <c r="O238" s="10">
        <v>0</v>
      </c>
      <c r="P238" s="10">
        <v>6</v>
      </c>
      <c r="Q238" s="10">
        <v>6</v>
      </c>
      <c r="R238" s="10" t="str">
        <f>VLOOKUP(Cleaned_datasetB[[#This Row],[Weather_Code]],Lookup_Tables!$E$9:$F$13,2,FALSE)</f>
        <v>Cloudy</v>
      </c>
      <c r="S238" s="10" t="str">
        <f>INDEX(Lookup_Tables!$I$10:$I$16,MATCH(Cleaned_datasetB[[#This Row],[Day_Code]],Lookup_Tables!$H$10:$H$16,0))</f>
        <v>Tuesday</v>
      </c>
      <c r="T238" s="10" t="str">
        <f>VLOOKUP(Cleaned_datasetB[[#This Row],[Month]], Lookup_Tables!$K$8:$L$19, 2, FALSE)</f>
        <v>January</v>
      </c>
      <c r="U238" s="10" t="str">
        <f>IF(AND(Cleaned_datasetB[[#This Row],[Day_Type]]="Weekday",Cleaned_datasetB[[#This Row],[Is_Holiday]]=FALSE),"Working Day","Non-Working Day")</f>
        <v>Working Day</v>
      </c>
    </row>
    <row r="239" spans="1:21">
      <c r="A239" s="10">
        <v>238</v>
      </c>
      <c r="B239" s="23">
        <v>40554</v>
      </c>
      <c r="C239" s="10">
        <v>1</v>
      </c>
      <c r="D239" s="10">
        <v>0</v>
      </c>
      <c r="E239" s="10">
        <v>1</v>
      </c>
      <c r="F239" s="10">
        <v>6</v>
      </c>
      <c r="G239" s="10" t="b">
        <v>0</v>
      </c>
      <c r="H239" s="10">
        <v>2</v>
      </c>
      <c r="I239" s="10" t="str">
        <f>IF(OR(Cleaned_datasetB[[#This Row],[Day_Code]]=0,Cleaned_datasetB[[#This Row],[Day_Code]]=6),"Weekend","Weekday")</f>
        <v>Weekday</v>
      </c>
      <c r="J239" s="10">
        <v>2</v>
      </c>
      <c r="K239" s="10">
        <v>0.16</v>
      </c>
      <c r="L239" s="51">
        <v>0.18179999999999999</v>
      </c>
      <c r="M239" s="10">
        <v>0.55000000000000004</v>
      </c>
      <c r="N239" s="10">
        <v>0.1343</v>
      </c>
      <c r="O239" s="10">
        <v>0</v>
      </c>
      <c r="P239" s="10">
        <v>27</v>
      </c>
      <c r="Q239" s="10">
        <v>27</v>
      </c>
      <c r="R239" s="10" t="str">
        <f>VLOOKUP(Cleaned_datasetB[[#This Row],[Weather_Code]],Lookup_Tables!$E$9:$F$13,2,FALSE)</f>
        <v>Cloudy</v>
      </c>
      <c r="S239" s="10" t="str">
        <f>INDEX(Lookup_Tables!$I$10:$I$16,MATCH(Cleaned_datasetB[[#This Row],[Day_Code]],Lookup_Tables!$H$10:$H$16,0))</f>
        <v>Tuesday</v>
      </c>
      <c r="T239" s="10" t="str">
        <f>VLOOKUP(Cleaned_datasetB[[#This Row],[Month]], Lookup_Tables!$K$8:$L$19, 2, FALSE)</f>
        <v>January</v>
      </c>
      <c r="U239" s="10" t="str">
        <f>IF(AND(Cleaned_datasetB[[#This Row],[Day_Type]]="Weekday",Cleaned_datasetB[[#This Row],[Is_Holiday]]=FALSE),"Working Day","Non-Working Day")</f>
        <v>Working Day</v>
      </c>
    </row>
    <row r="240" spans="1:21">
      <c r="A240" s="10">
        <v>239</v>
      </c>
      <c r="B240" s="23">
        <v>40554</v>
      </c>
      <c r="C240" s="10">
        <v>1</v>
      </c>
      <c r="D240" s="10">
        <v>0</v>
      </c>
      <c r="E240" s="10">
        <v>1</v>
      </c>
      <c r="F240" s="10">
        <v>7</v>
      </c>
      <c r="G240" s="10" t="b">
        <v>0</v>
      </c>
      <c r="H240" s="10">
        <v>2</v>
      </c>
      <c r="I240" s="10" t="str">
        <f>IF(OR(Cleaned_datasetB[[#This Row],[Day_Code]]=0,Cleaned_datasetB[[#This Row],[Day_Code]]=6),"Weekend","Weekday")</f>
        <v>Weekday</v>
      </c>
      <c r="J240" s="10">
        <v>2</v>
      </c>
      <c r="K240" s="10">
        <v>0.16</v>
      </c>
      <c r="L240" s="51">
        <v>0.2273</v>
      </c>
      <c r="M240" s="10">
        <v>0.55000000000000004</v>
      </c>
      <c r="N240" s="10">
        <v>0</v>
      </c>
      <c r="O240" s="10">
        <v>2</v>
      </c>
      <c r="P240" s="10">
        <v>97</v>
      </c>
      <c r="Q240" s="10">
        <v>99</v>
      </c>
      <c r="R240" s="10" t="str">
        <f>VLOOKUP(Cleaned_datasetB[[#This Row],[Weather_Code]],Lookup_Tables!$E$9:$F$13,2,FALSE)</f>
        <v>Cloudy</v>
      </c>
      <c r="S240" s="10" t="str">
        <f>INDEX(Lookup_Tables!$I$10:$I$16,MATCH(Cleaned_datasetB[[#This Row],[Day_Code]],Lookup_Tables!$H$10:$H$16,0))</f>
        <v>Tuesday</v>
      </c>
      <c r="T240" s="10" t="str">
        <f>VLOOKUP(Cleaned_datasetB[[#This Row],[Month]], Lookup_Tables!$K$8:$L$19, 2, FALSE)</f>
        <v>January</v>
      </c>
      <c r="U240" s="10" t="str">
        <f>IF(AND(Cleaned_datasetB[[#This Row],[Day_Type]]="Weekday",Cleaned_datasetB[[#This Row],[Is_Holiday]]=FALSE),"Working Day","Non-Working Day")</f>
        <v>Working Day</v>
      </c>
    </row>
    <row r="241" spans="1:21">
      <c r="A241" s="10">
        <v>240</v>
      </c>
      <c r="B241" s="23">
        <v>40554</v>
      </c>
      <c r="C241" s="10">
        <v>1</v>
      </c>
      <c r="D241" s="10">
        <v>0</v>
      </c>
      <c r="E241" s="10">
        <v>1</v>
      </c>
      <c r="F241" s="10">
        <v>8</v>
      </c>
      <c r="G241" s="10" t="b">
        <v>0</v>
      </c>
      <c r="H241" s="10">
        <v>2</v>
      </c>
      <c r="I241" s="10" t="str">
        <f>IF(OR(Cleaned_datasetB[[#This Row],[Day_Code]]=0,Cleaned_datasetB[[#This Row],[Day_Code]]=6),"Weekend","Weekday")</f>
        <v>Weekday</v>
      </c>
      <c r="J241" s="10">
        <v>2</v>
      </c>
      <c r="K241" s="10">
        <v>0.18</v>
      </c>
      <c r="L241" s="51">
        <v>0.21210000000000001</v>
      </c>
      <c r="M241" s="10">
        <v>0.51</v>
      </c>
      <c r="N241" s="10">
        <v>8.9599999999999999E-2</v>
      </c>
      <c r="O241" s="10">
        <v>3</v>
      </c>
      <c r="P241" s="10">
        <v>214</v>
      </c>
      <c r="Q241" s="10">
        <v>217</v>
      </c>
      <c r="R241" s="10" t="str">
        <f>VLOOKUP(Cleaned_datasetB[[#This Row],[Weather_Code]],Lookup_Tables!$E$9:$F$13,2,FALSE)</f>
        <v>Cloudy</v>
      </c>
      <c r="S241" s="10" t="str">
        <f>INDEX(Lookup_Tables!$I$10:$I$16,MATCH(Cleaned_datasetB[[#This Row],[Day_Code]],Lookup_Tables!$H$10:$H$16,0))</f>
        <v>Tuesday</v>
      </c>
      <c r="T241" s="10" t="str">
        <f>VLOOKUP(Cleaned_datasetB[[#This Row],[Month]], Lookup_Tables!$K$8:$L$19, 2, FALSE)</f>
        <v>January</v>
      </c>
      <c r="U241" s="10" t="str">
        <f>IF(AND(Cleaned_datasetB[[#This Row],[Day_Type]]="Weekday",Cleaned_datasetB[[#This Row],[Is_Holiday]]=FALSE),"Working Day","Non-Working Day")</f>
        <v>Working Day</v>
      </c>
    </row>
    <row r="242" spans="1:21">
      <c r="A242" s="10">
        <v>241</v>
      </c>
      <c r="B242" s="23">
        <v>40554</v>
      </c>
      <c r="C242" s="10">
        <v>1</v>
      </c>
      <c r="D242" s="10">
        <v>0</v>
      </c>
      <c r="E242" s="10">
        <v>1</v>
      </c>
      <c r="F242" s="10">
        <v>9</v>
      </c>
      <c r="G242" s="10" t="b">
        <v>0</v>
      </c>
      <c r="H242" s="10">
        <v>2</v>
      </c>
      <c r="I242" s="10" t="str">
        <f>IF(OR(Cleaned_datasetB[[#This Row],[Day_Code]]=0,Cleaned_datasetB[[#This Row],[Day_Code]]=6),"Weekend","Weekday")</f>
        <v>Weekday</v>
      </c>
      <c r="J242" s="10">
        <v>2</v>
      </c>
      <c r="K242" s="10">
        <v>0.18</v>
      </c>
      <c r="L242" s="51">
        <v>0.19700000000000001</v>
      </c>
      <c r="M242" s="10">
        <v>0.51</v>
      </c>
      <c r="N242" s="10">
        <v>0.16420000000000001</v>
      </c>
      <c r="O242" s="10">
        <v>3</v>
      </c>
      <c r="P242" s="10">
        <v>127</v>
      </c>
      <c r="Q242" s="10">
        <v>130</v>
      </c>
      <c r="R242" s="10" t="str">
        <f>VLOOKUP(Cleaned_datasetB[[#This Row],[Weather_Code]],Lookup_Tables!$E$9:$F$13,2,FALSE)</f>
        <v>Cloudy</v>
      </c>
      <c r="S242" s="10" t="str">
        <f>INDEX(Lookup_Tables!$I$10:$I$16,MATCH(Cleaned_datasetB[[#This Row],[Day_Code]],Lookup_Tables!$H$10:$H$16,0))</f>
        <v>Tuesday</v>
      </c>
      <c r="T242" s="10" t="str">
        <f>VLOOKUP(Cleaned_datasetB[[#This Row],[Month]], Lookup_Tables!$K$8:$L$19, 2, FALSE)</f>
        <v>January</v>
      </c>
      <c r="U242" s="10" t="str">
        <f>IF(AND(Cleaned_datasetB[[#This Row],[Day_Type]]="Weekday",Cleaned_datasetB[[#This Row],[Is_Holiday]]=FALSE),"Working Day","Non-Working Day")</f>
        <v>Working Day</v>
      </c>
    </row>
    <row r="243" spans="1:21">
      <c r="A243" s="10">
        <v>242</v>
      </c>
      <c r="B243" s="23">
        <v>40554</v>
      </c>
      <c r="C243" s="10">
        <v>1</v>
      </c>
      <c r="D243" s="10">
        <v>0</v>
      </c>
      <c r="E243" s="10">
        <v>1</v>
      </c>
      <c r="F243" s="10">
        <v>10</v>
      </c>
      <c r="G243" s="10" t="b">
        <v>0</v>
      </c>
      <c r="H243" s="10">
        <v>2</v>
      </c>
      <c r="I243" s="10" t="str">
        <f>IF(OR(Cleaned_datasetB[[#This Row],[Day_Code]]=0,Cleaned_datasetB[[#This Row],[Day_Code]]=6),"Weekend","Weekday")</f>
        <v>Weekday</v>
      </c>
      <c r="J243" s="10">
        <v>2</v>
      </c>
      <c r="K243" s="10">
        <v>0.2</v>
      </c>
      <c r="L243" s="51">
        <v>0.21210000000000001</v>
      </c>
      <c r="M243" s="10">
        <v>0.51</v>
      </c>
      <c r="N243" s="10">
        <v>0.16420000000000001</v>
      </c>
      <c r="O243" s="10">
        <v>3</v>
      </c>
      <c r="P243" s="10">
        <v>51</v>
      </c>
      <c r="Q243" s="10">
        <v>54</v>
      </c>
      <c r="R243" s="10" t="str">
        <f>VLOOKUP(Cleaned_datasetB[[#This Row],[Weather_Code]],Lookup_Tables!$E$9:$F$13,2,FALSE)</f>
        <v>Cloudy</v>
      </c>
      <c r="S243" s="10" t="str">
        <f>INDEX(Lookup_Tables!$I$10:$I$16,MATCH(Cleaned_datasetB[[#This Row],[Day_Code]],Lookup_Tables!$H$10:$H$16,0))</f>
        <v>Tuesday</v>
      </c>
      <c r="T243" s="10" t="str">
        <f>VLOOKUP(Cleaned_datasetB[[#This Row],[Month]], Lookup_Tables!$K$8:$L$19, 2, FALSE)</f>
        <v>January</v>
      </c>
      <c r="U243" s="10" t="str">
        <f>IF(AND(Cleaned_datasetB[[#This Row],[Day_Type]]="Weekday",Cleaned_datasetB[[#This Row],[Is_Holiday]]=FALSE),"Working Day","Non-Working Day")</f>
        <v>Working Day</v>
      </c>
    </row>
    <row r="244" spans="1:21">
      <c r="A244" s="10">
        <v>243</v>
      </c>
      <c r="B244" s="23">
        <v>40554</v>
      </c>
      <c r="C244" s="10">
        <v>1</v>
      </c>
      <c r="D244" s="10">
        <v>0</v>
      </c>
      <c r="E244" s="10">
        <v>1</v>
      </c>
      <c r="F244" s="10">
        <v>11</v>
      </c>
      <c r="G244" s="10" t="b">
        <v>0</v>
      </c>
      <c r="H244" s="10">
        <v>2</v>
      </c>
      <c r="I244" s="10" t="str">
        <f>IF(OR(Cleaned_datasetB[[#This Row],[Day_Code]]=0,Cleaned_datasetB[[#This Row],[Day_Code]]=6),"Weekend","Weekday")</f>
        <v>Weekday</v>
      </c>
      <c r="J244" s="10">
        <v>2</v>
      </c>
      <c r="K244" s="10">
        <v>0.2</v>
      </c>
      <c r="L244" s="51">
        <v>0.21210000000000001</v>
      </c>
      <c r="M244" s="10">
        <v>0.47</v>
      </c>
      <c r="N244" s="10">
        <v>0.1343</v>
      </c>
      <c r="O244" s="10">
        <v>4</v>
      </c>
      <c r="P244" s="10">
        <v>31</v>
      </c>
      <c r="Q244" s="10">
        <v>35</v>
      </c>
      <c r="R244" s="10" t="str">
        <f>VLOOKUP(Cleaned_datasetB[[#This Row],[Weather_Code]],Lookup_Tables!$E$9:$F$13,2,FALSE)</f>
        <v>Cloudy</v>
      </c>
      <c r="S244" s="10" t="str">
        <f>INDEX(Lookup_Tables!$I$10:$I$16,MATCH(Cleaned_datasetB[[#This Row],[Day_Code]],Lookup_Tables!$H$10:$H$16,0))</f>
        <v>Tuesday</v>
      </c>
      <c r="T244" s="10" t="str">
        <f>VLOOKUP(Cleaned_datasetB[[#This Row],[Month]], Lookup_Tables!$K$8:$L$19, 2, FALSE)</f>
        <v>January</v>
      </c>
      <c r="U244" s="10" t="str">
        <f>IF(AND(Cleaned_datasetB[[#This Row],[Day_Type]]="Weekday",Cleaned_datasetB[[#This Row],[Is_Holiday]]=FALSE),"Working Day","Non-Working Day")</f>
        <v>Working Day</v>
      </c>
    </row>
    <row r="245" spans="1:21">
      <c r="A245" s="10">
        <v>244</v>
      </c>
      <c r="B245" s="23">
        <v>40554</v>
      </c>
      <c r="C245" s="10">
        <v>1</v>
      </c>
      <c r="D245" s="10">
        <v>0</v>
      </c>
      <c r="E245" s="10">
        <v>1</v>
      </c>
      <c r="F245" s="10">
        <v>12</v>
      </c>
      <c r="G245" s="10" t="b">
        <v>0</v>
      </c>
      <c r="H245" s="10">
        <v>2</v>
      </c>
      <c r="I245" s="10" t="str">
        <f>IF(OR(Cleaned_datasetB[[#This Row],[Day_Code]]=0,Cleaned_datasetB[[#This Row],[Day_Code]]=6),"Weekend","Weekday")</f>
        <v>Weekday</v>
      </c>
      <c r="J245" s="10">
        <v>2</v>
      </c>
      <c r="K245" s="10">
        <v>0.2</v>
      </c>
      <c r="L245" s="51">
        <v>0.2273</v>
      </c>
      <c r="M245" s="10">
        <v>0.51</v>
      </c>
      <c r="N245" s="10">
        <v>0.1045</v>
      </c>
      <c r="O245" s="10">
        <v>2</v>
      </c>
      <c r="P245" s="10">
        <v>55</v>
      </c>
      <c r="Q245" s="10">
        <v>57</v>
      </c>
      <c r="R245" s="10" t="str">
        <f>VLOOKUP(Cleaned_datasetB[[#This Row],[Weather_Code]],Lookup_Tables!$E$9:$F$13,2,FALSE)</f>
        <v>Cloudy</v>
      </c>
      <c r="S245" s="10" t="str">
        <f>INDEX(Lookup_Tables!$I$10:$I$16,MATCH(Cleaned_datasetB[[#This Row],[Day_Code]],Lookup_Tables!$H$10:$H$16,0))</f>
        <v>Tuesday</v>
      </c>
      <c r="T245" s="10" t="str">
        <f>VLOOKUP(Cleaned_datasetB[[#This Row],[Month]], Lookup_Tables!$K$8:$L$19, 2, FALSE)</f>
        <v>January</v>
      </c>
      <c r="U245" s="10" t="str">
        <f>IF(AND(Cleaned_datasetB[[#This Row],[Day_Type]]="Weekday",Cleaned_datasetB[[#This Row],[Is_Holiday]]=FALSE),"Working Day","Non-Working Day")</f>
        <v>Working Day</v>
      </c>
    </row>
    <row r="246" spans="1:21">
      <c r="A246" s="10">
        <v>245</v>
      </c>
      <c r="B246" s="23">
        <v>40554</v>
      </c>
      <c r="C246" s="10">
        <v>1</v>
      </c>
      <c r="D246" s="10">
        <v>0</v>
      </c>
      <c r="E246" s="10">
        <v>1</v>
      </c>
      <c r="F246" s="10">
        <v>13</v>
      </c>
      <c r="G246" s="10" t="b">
        <v>0</v>
      </c>
      <c r="H246" s="10">
        <v>2</v>
      </c>
      <c r="I246" s="10" t="str">
        <f>IF(OR(Cleaned_datasetB[[#This Row],[Day_Code]]=0,Cleaned_datasetB[[#This Row],[Day_Code]]=6),"Weekend","Weekday")</f>
        <v>Weekday</v>
      </c>
      <c r="J246" s="10">
        <v>2</v>
      </c>
      <c r="K246" s="10">
        <v>0.2</v>
      </c>
      <c r="L246" s="51">
        <v>0.2273</v>
      </c>
      <c r="M246" s="10">
        <v>0.59</v>
      </c>
      <c r="N246" s="10">
        <v>8.9599999999999999E-2</v>
      </c>
      <c r="O246" s="10">
        <v>6</v>
      </c>
      <c r="P246" s="10">
        <v>46</v>
      </c>
      <c r="Q246" s="10">
        <v>52</v>
      </c>
      <c r="R246" s="10" t="str">
        <f>VLOOKUP(Cleaned_datasetB[[#This Row],[Weather_Code]],Lookup_Tables!$E$9:$F$13,2,FALSE)</f>
        <v>Cloudy</v>
      </c>
      <c r="S246" s="10" t="str">
        <f>INDEX(Lookup_Tables!$I$10:$I$16,MATCH(Cleaned_datasetB[[#This Row],[Day_Code]],Lookup_Tables!$H$10:$H$16,0))</f>
        <v>Tuesday</v>
      </c>
      <c r="T246" s="10" t="str">
        <f>VLOOKUP(Cleaned_datasetB[[#This Row],[Month]], Lookup_Tables!$K$8:$L$19, 2, FALSE)</f>
        <v>January</v>
      </c>
      <c r="U246" s="10" t="str">
        <f>IF(AND(Cleaned_datasetB[[#This Row],[Day_Type]]="Weekday",Cleaned_datasetB[[#This Row],[Is_Holiday]]=FALSE),"Working Day","Non-Working Day")</f>
        <v>Working Day</v>
      </c>
    </row>
    <row r="247" spans="1:21">
      <c r="A247" s="10">
        <v>246</v>
      </c>
      <c r="B247" s="23">
        <v>40554</v>
      </c>
      <c r="C247" s="10">
        <v>1</v>
      </c>
      <c r="D247" s="10">
        <v>0</v>
      </c>
      <c r="E247" s="10">
        <v>1</v>
      </c>
      <c r="F247" s="10">
        <v>14</v>
      </c>
      <c r="G247" s="10" t="b">
        <v>0</v>
      </c>
      <c r="H247" s="10">
        <v>2</v>
      </c>
      <c r="I247" s="10" t="str">
        <f>IF(OR(Cleaned_datasetB[[#This Row],[Day_Code]]=0,Cleaned_datasetB[[#This Row],[Day_Code]]=6),"Weekend","Weekday")</f>
        <v>Weekday</v>
      </c>
      <c r="J247" s="10">
        <v>2</v>
      </c>
      <c r="K247" s="10">
        <v>0.2</v>
      </c>
      <c r="L247" s="51">
        <v>0.2273</v>
      </c>
      <c r="M247" s="10">
        <v>0.59</v>
      </c>
      <c r="N247" s="10">
        <v>8.9599999999999999E-2</v>
      </c>
      <c r="O247" s="10">
        <v>3</v>
      </c>
      <c r="P247" s="10">
        <v>60</v>
      </c>
      <c r="Q247" s="10">
        <v>63</v>
      </c>
      <c r="R247" s="10" t="str">
        <f>VLOOKUP(Cleaned_datasetB[[#This Row],[Weather_Code]],Lookup_Tables!$E$9:$F$13,2,FALSE)</f>
        <v>Cloudy</v>
      </c>
      <c r="S247" s="10" t="str">
        <f>INDEX(Lookup_Tables!$I$10:$I$16,MATCH(Cleaned_datasetB[[#This Row],[Day_Code]],Lookup_Tables!$H$10:$H$16,0))</f>
        <v>Tuesday</v>
      </c>
      <c r="T247" s="10" t="str">
        <f>VLOOKUP(Cleaned_datasetB[[#This Row],[Month]], Lookup_Tables!$K$8:$L$19, 2, FALSE)</f>
        <v>January</v>
      </c>
      <c r="U247" s="10" t="str">
        <f>IF(AND(Cleaned_datasetB[[#This Row],[Day_Type]]="Weekday",Cleaned_datasetB[[#This Row],[Is_Holiday]]=FALSE),"Working Day","Non-Working Day")</f>
        <v>Working Day</v>
      </c>
    </row>
    <row r="248" spans="1:21">
      <c r="A248" s="10">
        <v>247</v>
      </c>
      <c r="B248" s="23">
        <v>40554</v>
      </c>
      <c r="C248" s="10">
        <v>1</v>
      </c>
      <c r="D248" s="10">
        <v>0</v>
      </c>
      <c r="E248" s="10">
        <v>1</v>
      </c>
      <c r="F248" s="10">
        <v>15</v>
      </c>
      <c r="G248" s="10" t="b">
        <v>0</v>
      </c>
      <c r="H248" s="10">
        <v>2</v>
      </c>
      <c r="I248" s="10" t="str">
        <f>IF(OR(Cleaned_datasetB[[#This Row],[Day_Code]]=0,Cleaned_datasetB[[#This Row],[Day_Code]]=6),"Weekend","Weekday")</f>
        <v>Weekday</v>
      </c>
      <c r="J248" s="10">
        <v>2</v>
      </c>
      <c r="K248" s="10">
        <v>0.16</v>
      </c>
      <c r="L248" s="51">
        <v>0.19700000000000001</v>
      </c>
      <c r="M248" s="10">
        <v>0.8</v>
      </c>
      <c r="N248" s="10">
        <v>8.9599999999999999E-2</v>
      </c>
      <c r="O248" s="10">
        <v>2</v>
      </c>
      <c r="P248" s="10">
        <v>45</v>
      </c>
      <c r="Q248" s="10">
        <v>47</v>
      </c>
      <c r="R248" s="10" t="str">
        <f>VLOOKUP(Cleaned_datasetB[[#This Row],[Weather_Code]],Lookup_Tables!$E$9:$F$13,2,FALSE)</f>
        <v>Cloudy</v>
      </c>
      <c r="S248" s="10" t="str">
        <f>INDEX(Lookup_Tables!$I$10:$I$16,MATCH(Cleaned_datasetB[[#This Row],[Day_Code]],Lookup_Tables!$H$10:$H$16,0))</f>
        <v>Tuesday</v>
      </c>
      <c r="T248" s="10" t="str">
        <f>VLOOKUP(Cleaned_datasetB[[#This Row],[Month]], Lookup_Tables!$K$8:$L$19, 2, FALSE)</f>
        <v>January</v>
      </c>
      <c r="U248" s="10" t="str">
        <f>IF(AND(Cleaned_datasetB[[#This Row],[Day_Type]]="Weekday",Cleaned_datasetB[[#This Row],[Is_Holiday]]=FALSE),"Working Day","Non-Working Day")</f>
        <v>Working Day</v>
      </c>
    </row>
    <row r="249" spans="1:21">
      <c r="A249" s="10">
        <v>248</v>
      </c>
      <c r="B249" s="23">
        <v>40554</v>
      </c>
      <c r="C249" s="10">
        <v>1</v>
      </c>
      <c r="D249" s="10">
        <v>0</v>
      </c>
      <c r="E249" s="10">
        <v>1</v>
      </c>
      <c r="F249" s="10">
        <v>16</v>
      </c>
      <c r="G249" s="10" t="b">
        <v>0</v>
      </c>
      <c r="H249" s="10">
        <v>2</v>
      </c>
      <c r="I249" s="10" t="str">
        <f>IF(OR(Cleaned_datasetB[[#This Row],[Day_Code]]=0,Cleaned_datasetB[[#This Row],[Day_Code]]=6),"Weekend","Weekday")</f>
        <v>Weekday</v>
      </c>
      <c r="J249" s="10">
        <v>2</v>
      </c>
      <c r="K249" s="10">
        <v>0.16</v>
      </c>
      <c r="L249" s="51">
        <v>0.1515</v>
      </c>
      <c r="M249" s="10">
        <v>0.86</v>
      </c>
      <c r="N249" s="10">
        <v>0.22389999999999999</v>
      </c>
      <c r="O249" s="10">
        <v>4</v>
      </c>
      <c r="P249" s="10">
        <v>72</v>
      </c>
      <c r="Q249" s="10">
        <v>76</v>
      </c>
      <c r="R249" s="10" t="str">
        <f>VLOOKUP(Cleaned_datasetB[[#This Row],[Weather_Code]],Lookup_Tables!$E$9:$F$13,2,FALSE)</f>
        <v>Cloudy</v>
      </c>
      <c r="S249" s="10" t="str">
        <f>INDEX(Lookup_Tables!$I$10:$I$16,MATCH(Cleaned_datasetB[[#This Row],[Day_Code]],Lookup_Tables!$H$10:$H$16,0))</f>
        <v>Tuesday</v>
      </c>
      <c r="T249" s="10" t="str">
        <f>VLOOKUP(Cleaned_datasetB[[#This Row],[Month]], Lookup_Tables!$K$8:$L$19, 2, FALSE)</f>
        <v>January</v>
      </c>
      <c r="U249" s="10" t="str">
        <f>IF(AND(Cleaned_datasetB[[#This Row],[Day_Type]]="Weekday",Cleaned_datasetB[[#This Row],[Is_Holiday]]=FALSE),"Working Day","Non-Working Day")</f>
        <v>Working Day</v>
      </c>
    </row>
    <row r="250" spans="1:21">
      <c r="A250" s="10">
        <v>249</v>
      </c>
      <c r="B250" s="23">
        <v>40554</v>
      </c>
      <c r="C250" s="10">
        <v>1</v>
      </c>
      <c r="D250" s="10">
        <v>0</v>
      </c>
      <c r="E250" s="10">
        <v>1</v>
      </c>
      <c r="F250" s="10">
        <v>17</v>
      </c>
      <c r="G250" s="10" t="b">
        <v>0</v>
      </c>
      <c r="H250" s="10">
        <v>2</v>
      </c>
      <c r="I250" s="10" t="str">
        <f>IF(OR(Cleaned_datasetB[[#This Row],[Day_Code]]=0,Cleaned_datasetB[[#This Row],[Day_Code]]=6),"Weekend","Weekday")</f>
        <v>Weekday</v>
      </c>
      <c r="J250" s="10">
        <v>2</v>
      </c>
      <c r="K250" s="10">
        <v>0.16</v>
      </c>
      <c r="L250" s="51">
        <v>0.1515</v>
      </c>
      <c r="M250" s="10">
        <v>0.86</v>
      </c>
      <c r="N250" s="10">
        <v>0.22389999999999999</v>
      </c>
      <c r="O250" s="10">
        <v>6</v>
      </c>
      <c r="P250" s="10">
        <v>130</v>
      </c>
      <c r="Q250" s="10">
        <v>136</v>
      </c>
      <c r="R250" s="10" t="str">
        <f>VLOOKUP(Cleaned_datasetB[[#This Row],[Weather_Code]],Lookup_Tables!$E$9:$F$13,2,FALSE)</f>
        <v>Cloudy</v>
      </c>
      <c r="S250" s="10" t="str">
        <f>INDEX(Lookup_Tables!$I$10:$I$16,MATCH(Cleaned_datasetB[[#This Row],[Day_Code]],Lookup_Tables!$H$10:$H$16,0))</f>
        <v>Tuesday</v>
      </c>
      <c r="T250" s="10" t="str">
        <f>VLOOKUP(Cleaned_datasetB[[#This Row],[Month]], Lookup_Tables!$K$8:$L$19, 2, FALSE)</f>
        <v>January</v>
      </c>
      <c r="U250" s="10" t="str">
        <f>IF(AND(Cleaned_datasetB[[#This Row],[Day_Type]]="Weekday",Cleaned_datasetB[[#This Row],[Is_Holiday]]=FALSE),"Working Day","Non-Working Day")</f>
        <v>Working Day</v>
      </c>
    </row>
    <row r="251" spans="1:21">
      <c r="A251" s="10">
        <v>250</v>
      </c>
      <c r="B251" s="23">
        <v>40554</v>
      </c>
      <c r="C251" s="10">
        <v>1</v>
      </c>
      <c r="D251" s="10">
        <v>0</v>
      </c>
      <c r="E251" s="10">
        <v>1</v>
      </c>
      <c r="F251" s="10">
        <v>18</v>
      </c>
      <c r="G251" s="10" t="b">
        <v>0</v>
      </c>
      <c r="H251" s="10">
        <v>2</v>
      </c>
      <c r="I251" s="10" t="str">
        <f>IF(OR(Cleaned_datasetB[[#This Row],[Day_Code]]=0,Cleaned_datasetB[[#This Row],[Day_Code]]=6),"Weekend","Weekday")</f>
        <v>Weekday</v>
      </c>
      <c r="J251" s="10">
        <v>3</v>
      </c>
      <c r="K251" s="10">
        <v>0.16</v>
      </c>
      <c r="L251" s="51">
        <v>0.18179999999999999</v>
      </c>
      <c r="M251" s="10">
        <v>0.93</v>
      </c>
      <c r="N251" s="10">
        <v>0.1045</v>
      </c>
      <c r="O251" s="10">
        <v>1</v>
      </c>
      <c r="P251" s="10">
        <v>94</v>
      </c>
      <c r="Q251" s="10">
        <v>95</v>
      </c>
      <c r="R251" s="10" t="str">
        <f>VLOOKUP(Cleaned_datasetB[[#This Row],[Weather_Code]],Lookup_Tables!$E$9:$F$13,2,FALSE)</f>
        <v>Light Rain</v>
      </c>
      <c r="S251" s="10" t="str">
        <f>INDEX(Lookup_Tables!$I$10:$I$16,MATCH(Cleaned_datasetB[[#This Row],[Day_Code]],Lookup_Tables!$H$10:$H$16,0))</f>
        <v>Tuesday</v>
      </c>
      <c r="T251" s="10" t="str">
        <f>VLOOKUP(Cleaned_datasetB[[#This Row],[Month]], Lookup_Tables!$K$8:$L$19, 2, FALSE)</f>
        <v>January</v>
      </c>
      <c r="U251" s="10" t="str">
        <f>IF(AND(Cleaned_datasetB[[#This Row],[Day_Type]]="Weekday",Cleaned_datasetB[[#This Row],[Is_Holiday]]=FALSE),"Working Day","Non-Working Day")</f>
        <v>Working Day</v>
      </c>
    </row>
    <row r="252" spans="1:21">
      <c r="A252" s="10">
        <v>251</v>
      </c>
      <c r="B252" s="23">
        <v>40554</v>
      </c>
      <c r="C252" s="10">
        <v>1</v>
      </c>
      <c r="D252" s="10">
        <v>0</v>
      </c>
      <c r="E252" s="10">
        <v>1</v>
      </c>
      <c r="F252" s="10">
        <v>19</v>
      </c>
      <c r="G252" s="10" t="b">
        <v>0</v>
      </c>
      <c r="H252" s="10">
        <v>2</v>
      </c>
      <c r="I252" s="10" t="str">
        <f>IF(OR(Cleaned_datasetB[[#This Row],[Day_Code]]=0,Cleaned_datasetB[[#This Row],[Day_Code]]=6),"Weekend","Weekday")</f>
        <v>Weekday</v>
      </c>
      <c r="J252" s="10">
        <v>3</v>
      </c>
      <c r="K252" s="10">
        <v>0.16</v>
      </c>
      <c r="L252" s="51">
        <v>0.2273</v>
      </c>
      <c r="M252" s="10">
        <v>0.93</v>
      </c>
      <c r="N252" s="10">
        <v>0</v>
      </c>
      <c r="O252" s="10">
        <v>0</v>
      </c>
      <c r="P252" s="10">
        <v>51</v>
      </c>
      <c r="Q252" s="10">
        <v>51</v>
      </c>
      <c r="R252" s="10" t="str">
        <f>VLOOKUP(Cleaned_datasetB[[#This Row],[Weather_Code]],Lookup_Tables!$E$9:$F$13,2,FALSE)</f>
        <v>Light Rain</v>
      </c>
      <c r="S252" s="10" t="str">
        <f>INDEX(Lookup_Tables!$I$10:$I$16,MATCH(Cleaned_datasetB[[#This Row],[Day_Code]],Lookup_Tables!$H$10:$H$16,0))</f>
        <v>Tuesday</v>
      </c>
      <c r="T252" s="10" t="str">
        <f>VLOOKUP(Cleaned_datasetB[[#This Row],[Month]], Lookup_Tables!$K$8:$L$19, 2, FALSE)</f>
        <v>January</v>
      </c>
      <c r="U252" s="10" t="str">
        <f>IF(AND(Cleaned_datasetB[[#This Row],[Day_Type]]="Weekday",Cleaned_datasetB[[#This Row],[Is_Holiday]]=FALSE),"Working Day","Non-Working Day")</f>
        <v>Working Day</v>
      </c>
    </row>
    <row r="253" spans="1:21">
      <c r="A253" s="10">
        <v>252</v>
      </c>
      <c r="B253" s="23">
        <v>40554</v>
      </c>
      <c r="C253" s="10">
        <v>1</v>
      </c>
      <c r="D253" s="10">
        <v>0</v>
      </c>
      <c r="E253" s="10">
        <v>1</v>
      </c>
      <c r="F253" s="10">
        <v>20</v>
      </c>
      <c r="G253" s="10" t="b">
        <v>0</v>
      </c>
      <c r="H253" s="10">
        <v>2</v>
      </c>
      <c r="I253" s="10" t="str">
        <f>IF(OR(Cleaned_datasetB[[#This Row],[Day_Code]]=0,Cleaned_datasetB[[#This Row],[Day_Code]]=6),"Weekend","Weekday")</f>
        <v>Weekday</v>
      </c>
      <c r="J253" s="10">
        <v>3</v>
      </c>
      <c r="K253" s="10">
        <v>0.16</v>
      </c>
      <c r="L253" s="51">
        <v>0.1515</v>
      </c>
      <c r="M253" s="10">
        <v>0.93</v>
      </c>
      <c r="N253" s="10">
        <v>0.19400000000000001</v>
      </c>
      <c r="O253" s="10">
        <v>0</v>
      </c>
      <c r="P253" s="10">
        <v>32</v>
      </c>
      <c r="Q253" s="10">
        <v>32</v>
      </c>
      <c r="R253" s="10" t="str">
        <f>VLOOKUP(Cleaned_datasetB[[#This Row],[Weather_Code]],Lookup_Tables!$E$9:$F$13,2,FALSE)</f>
        <v>Light Rain</v>
      </c>
      <c r="S253" s="10" t="str">
        <f>INDEX(Lookup_Tables!$I$10:$I$16,MATCH(Cleaned_datasetB[[#This Row],[Day_Code]],Lookup_Tables!$H$10:$H$16,0))</f>
        <v>Tuesday</v>
      </c>
      <c r="T253" s="10" t="str">
        <f>VLOOKUP(Cleaned_datasetB[[#This Row],[Month]], Lookup_Tables!$K$8:$L$19, 2, FALSE)</f>
        <v>January</v>
      </c>
      <c r="U253" s="10" t="str">
        <f>IF(AND(Cleaned_datasetB[[#This Row],[Day_Type]]="Weekday",Cleaned_datasetB[[#This Row],[Is_Holiday]]=FALSE),"Working Day","Non-Working Day")</f>
        <v>Working Day</v>
      </c>
    </row>
    <row r="254" spans="1:21">
      <c r="A254" s="10">
        <v>253</v>
      </c>
      <c r="B254" s="23">
        <v>40554</v>
      </c>
      <c r="C254" s="10">
        <v>1</v>
      </c>
      <c r="D254" s="10">
        <v>0</v>
      </c>
      <c r="E254" s="10">
        <v>1</v>
      </c>
      <c r="F254" s="10">
        <v>21</v>
      </c>
      <c r="G254" s="10" t="b">
        <v>0</v>
      </c>
      <c r="H254" s="10">
        <v>2</v>
      </c>
      <c r="I254" s="10" t="str">
        <f>IF(OR(Cleaned_datasetB[[#This Row],[Day_Code]]=0,Cleaned_datasetB[[#This Row],[Day_Code]]=6),"Weekend","Weekday")</f>
        <v>Weekday</v>
      </c>
      <c r="J254" s="10">
        <v>3</v>
      </c>
      <c r="K254" s="10">
        <v>0.16</v>
      </c>
      <c r="L254" s="51">
        <v>0.19700000000000001</v>
      </c>
      <c r="M254" s="10">
        <v>0.86</v>
      </c>
      <c r="N254" s="10">
        <v>8.9599999999999999E-2</v>
      </c>
      <c r="O254" s="10">
        <v>0</v>
      </c>
      <c r="P254" s="10">
        <v>20</v>
      </c>
      <c r="Q254" s="10">
        <v>20</v>
      </c>
      <c r="R254" s="10" t="str">
        <f>VLOOKUP(Cleaned_datasetB[[#This Row],[Weather_Code]],Lookup_Tables!$E$9:$F$13,2,FALSE)</f>
        <v>Light Rain</v>
      </c>
      <c r="S254" s="10" t="str">
        <f>INDEX(Lookup_Tables!$I$10:$I$16,MATCH(Cleaned_datasetB[[#This Row],[Day_Code]],Lookup_Tables!$H$10:$H$16,0))</f>
        <v>Tuesday</v>
      </c>
      <c r="T254" s="10" t="str">
        <f>VLOOKUP(Cleaned_datasetB[[#This Row],[Month]], Lookup_Tables!$K$8:$L$19, 2, FALSE)</f>
        <v>January</v>
      </c>
      <c r="U254" s="10" t="str">
        <f>IF(AND(Cleaned_datasetB[[#This Row],[Day_Type]]="Weekday",Cleaned_datasetB[[#This Row],[Is_Holiday]]=FALSE),"Working Day","Non-Working Day")</f>
        <v>Working Day</v>
      </c>
    </row>
    <row r="255" spans="1:21">
      <c r="A255" s="10">
        <v>254</v>
      </c>
      <c r="B255" s="23">
        <v>40554</v>
      </c>
      <c r="C255" s="10">
        <v>1</v>
      </c>
      <c r="D255" s="10">
        <v>0</v>
      </c>
      <c r="E255" s="10">
        <v>1</v>
      </c>
      <c r="F255" s="10">
        <v>22</v>
      </c>
      <c r="G255" s="10" t="b">
        <v>0</v>
      </c>
      <c r="H255" s="10">
        <v>2</v>
      </c>
      <c r="I255" s="10" t="str">
        <f>IF(OR(Cleaned_datasetB[[#This Row],[Day_Code]]=0,Cleaned_datasetB[[#This Row],[Day_Code]]=6),"Weekend","Weekday")</f>
        <v>Weekday</v>
      </c>
      <c r="J255" s="10">
        <v>3</v>
      </c>
      <c r="K255" s="10">
        <v>0.16</v>
      </c>
      <c r="L255" s="51">
        <v>0.18179999999999999</v>
      </c>
      <c r="M255" s="10">
        <v>0.93</v>
      </c>
      <c r="N255" s="10">
        <v>0.1045</v>
      </c>
      <c r="O255" s="10">
        <v>1</v>
      </c>
      <c r="P255" s="10">
        <v>28</v>
      </c>
      <c r="Q255" s="10">
        <v>29</v>
      </c>
      <c r="R255" s="10" t="str">
        <f>VLOOKUP(Cleaned_datasetB[[#This Row],[Weather_Code]],Lookup_Tables!$E$9:$F$13,2,FALSE)</f>
        <v>Light Rain</v>
      </c>
      <c r="S255" s="10" t="str">
        <f>INDEX(Lookup_Tables!$I$10:$I$16,MATCH(Cleaned_datasetB[[#This Row],[Day_Code]],Lookup_Tables!$H$10:$H$16,0))</f>
        <v>Tuesday</v>
      </c>
      <c r="T255" s="10" t="str">
        <f>VLOOKUP(Cleaned_datasetB[[#This Row],[Month]], Lookup_Tables!$K$8:$L$19, 2, FALSE)</f>
        <v>January</v>
      </c>
      <c r="U255" s="10" t="str">
        <f>IF(AND(Cleaned_datasetB[[#This Row],[Day_Type]]="Weekday",Cleaned_datasetB[[#This Row],[Is_Holiday]]=FALSE),"Working Day","Non-Working Day")</f>
        <v>Working Day</v>
      </c>
    </row>
    <row r="256" spans="1:21">
      <c r="A256" s="10">
        <v>255</v>
      </c>
      <c r="B256" s="23">
        <v>40554</v>
      </c>
      <c r="C256" s="10">
        <v>1</v>
      </c>
      <c r="D256" s="10">
        <v>0</v>
      </c>
      <c r="E256" s="10">
        <v>1</v>
      </c>
      <c r="F256" s="10">
        <v>23</v>
      </c>
      <c r="G256" s="10" t="b">
        <v>0</v>
      </c>
      <c r="H256" s="10">
        <v>2</v>
      </c>
      <c r="I256" s="10" t="str">
        <f>IF(OR(Cleaned_datasetB[[#This Row],[Day_Code]]=0,Cleaned_datasetB[[#This Row],[Day_Code]]=6),"Weekend","Weekday")</f>
        <v>Weekday</v>
      </c>
      <c r="J256" s="10">
        <v>3</v>
      </c>
      <c r="K256" s="10">
        <v>0.16</v>
      </c>
      <c r="L256" s="51">
        <v>0.19700000000000001</v>
      </c>
      <c r="M256" s="10">
        <v>0.93</v>
      </c>
      <c r="N256" s="10">
        <v>8.9599999999999999E-2</v>
      </c>
      <c r="O256" s="10">
        <v>1</v>
      </c>
      <c r="P256" s="10">
        <v>18</v>
      </c>
      <c r="Q256" s="10">
        <v>19</v>
      </c>
      <c r="R256" s="10" t="str">
        <f>VLOOKUP(Cleaned_datasetB[[#This Row],[Weather_Code]],Lookup_Tables!$E$9:$F$13,2,FALSE)</f>
        <v>Light Rain</v>
      </c>
      <c r="S256" s="10" t="str">
        <f>INDEX(Lookup_Tables!$I$10:$I$16,MATCH(Cleaned_datasetB[[#This Row],[Day_Code]],Lookup_Tables!$H$10:$H$16,0))</f>
        <v>Tuesday</v>
      </c>
      <c r="T256" s="10" t="str">
        <f>VLOOKUP(Cleaned_datasetB[[#This Row],[Month]], Lookup_Tables!$K$8:$L$19, 2, FALSE)</f>
        <v>January</v>
      </c>
      <c r="U256" s="10" t="str">
        <f>IF(AND(Cleaned_datasetB[[#This Row],[Day_Type]]="Weekday",Cleaned_datasetB[[#This Row],[Is_Holiday]]=FALSE),"Working Day","Non-Working Day")</f>
        <v>Working Day</v>
      </c>
    </row>
    <row r="257" spans="1:21">
      <c r="A257" s="10">
        <v>256</v>
      </c>
      <c r="B257" s="23">
        <v>40555</v>
      </c>
      <c r="C257" s="10">
        <v>1</v>
      </c>
      <c r="D257" s="10">
        <v>0</v>
      </c>
      <c r="E257" s="10">
        <v>1</v>
      </c>
      <c r="F257" s="10">
        <v>0</v>
      </c>
      <c r="G257" s="10" t="b">
        <v>0</v>
      </c>
      <c r="H257" s="10">
        <v>3</v>
      </c>
      <c r="I257" s="10" t="str">
        <f>IF(OR(Cleaned_datasetB[[#This Row],[Day_Code]]=0,Cleaned_datasetB[[#This Row],[Day_Code]]=6),"Weekend","Weekday")</f>
        <v>Weekday</v>
      </c>
      <c r="J257" s="10">
        <v>2</v>
      </c>
      <c r="K257" s="10">
        <v>0.16</v>
      </c>
      <c r="L257" s="51">
        <v>0.19700000000000001</v>
      </c>
      <c r="M257" s="10">
        <v>0.86</v>
      </c>
      <c r="N257" s="10">
        <v>8.9599999999999999E-2</v>
      </c>
      <c r="O257" s="10">
        <v>0</v>
      </c>
      <c r="P257" s="10">
        <v>7</v>
      </c>
      <c r="Q257" s="10">
        <v>7</v>
      </c>
      <c r="R257" s="10" t="str">
        <f>VLOOKUP(Cleaned_datasetB[[#This Row],[Weather_Code]],Lookup_Tables!$E$9:$F$13,2,FALSE)</f>
        <v>Cloudy</v>
      </c>
      <c r="S257" s="10" t="str">
        <f>INDEX(Lookup_Tables!$I$10:$I$16,MATCH(Cleaned_datasetB[[#This Row],[Day_Code]],Lookup_Tables!$H$10:$H$16,0))</f>
        <v>Wednesday</v>
      </c>
      <c r="T257" s="10" t="str">
        <f>VLOOKUP(Cleaned_datasetB[[#This Row],[Month]], Lookup_Tables!$K$8:$L$19, 2, FALSE)</f>
        <v>January</v>
      </c>
      <c r="U257" s="10" t="str">
        <f>IF(AND(Cleaned_datasetB[[#This Row],[Day_Type]]="Weekday",Cleaned_datasetB[[#This Row],[Is_Holiday]]=FALSE),"Working Day","Non-Working Day")</f>
        <v>Working Day</v>
      </c>
    </row>
    <row r="258" spans="1:21">
      <c r="A258" s="10">
        <v>257</v>
      </c>
      <c r="B258" s="23">
        <v>40555</v>
      </c>
      <c r="C258" s="10">
        <v>1</v>
      </c>
      <c r="D258" s="10">
        <v>0</v>
      </c>
      <c r="E258" s="10">
        <v>1</v>
      </c>
      <c r="F258" s="10">
        <v>1</v>
      </c>
      <c r="G258" s="10" t="b">
        <v>0</v>
      </c>
      <c r="H258" s="10">
        <v>3</v>
      </c>
      <c r="I258" s="10" t="str">
        <f>IF(OR(Cleaned_datasetB[[#This Row],[Day_Code]]=0,Cleaned_datasetB[[#This Row],[Day_Code]]=6),"Weekend","Weekday")</f>
        <v>Weekday</v>
      </c>
      <c r="J258" s="10">
        <v>2</v>
      </c>
      <c r="K258" s="10">
        <v>0.16</v>
      </c>
      <c r="L258" s="51">
        <v>0.18179999999999999</v>
      </c>
      <c r="M258" s="10">
        <v>0.86</v>
      </c>
      <c r="N258" s="10">
        <v>0.1045</v>
      </c>
      <c r="O258" s="10">
        <v>0</v>
      </c>
      <c r="P258" s="10">
        <v>6</v>
      </c>
      <c r="Q258" s="10">
        <v>6</v>
      </c>
      <c r="R258" s="10" t="str">
        <f>VLOOKUP(Cleaned_datasetB[[#This Row],[Weather_Code]],Lookup_Tables!$E$9:$F$13,2,FALSE)</f>
        <v>Cloudy</v>
      </c>
      <c r="S258" s="10" t="str">
        <f>INDEX(Lookup_Tables!$I$10:$I$16,MATCH(Cleaned_datasetB[[#This Row],[Day_Code]],Lookup_Tables!$H$10:$H$16,0))</f>
        <v>Wednesday</v>
      </c>
      <c r="T258" s="10" t="str">
        <f>VLOOKUP(Cleaned_datasetB[[#This Row],[Month]], Lookup_Tables!$K$8:$L$19, 2, FALSE)</f>
        <v>January</v>
      </c>
      <c r="U258" s="10" t="str">
        <f>IF(AND(Cleaned_datasetB[[#This Row],[Day_Type]]="Weekday",Cleaned_datasetB[[#This Row],[Is_Holiday]]=FALSE),"Working Day","Non-Working Day")</f>
        <v>Working Day</v>
      </c>
    </row>
    <row r="259" spans="1:21">
      <c r="A259" s="10">
        <v>258</v>
      </c>
      <c r="B259" s="23">
        <v>40555</v>
      </c>
      <c r="C259" s="10">
        <v>1</v>
      </c>
      <c r="D259" s="10">
        <v>0</v>
      </c>
      <c r="E259" s="10">
        <v>1</v>
      </c>
      <c r="F259" s="10">
        <v>2</v>
      </c>
      <c r="G259" s="10" t="b">
        <v>0</v>
      </c>
      <c r="H259" s="10">
        <v>3</v>
      </c>
      <c r="I259" s="10" t="str">
        <f>IF(OR(Cleaned_datasetB[[#This Row],[Day_Code]]=0,Cleaned_datasetB[[#This Row],[Day_Code]]=6),"Weekend","Weekday")</f>
        <v>Weekday</v>
      </c>
      <c r="J259" s="10">
        <v>1</v>
      </c>
      <c r="K259" s="10">
        <v>0.14000000000000001</v>
      </c>
      <c r="L259" s="51">
        <v>0.1515</v>
      </c>
      <c r="M259" s="10">
        <v>0.86</v>
      </c>
      <c r="N259" s="10">
        <v>0.1343</v>
      </c>
      <c r="O259" s="10">
        <v>0</v>
      </c>
      <c r="P259" s="10">
        <v>1</v>
      </c>
      <c r="Q259" s="10">
        <v>1</v>
      </c>
      <c r="R259" s="10" t="str">
        <f>VLOOKUP(Cleaned_datasetB[[#This Row],[Weather_Code]],Lookup_Tables!$E$9:$F$13,2,FALSE)</f>
        <v>Clear</v>
      </c>
      <c r="S259" s="10" t="str">
        <f>INDEX(Lookup_Tables!$I$10:$I$16,MATCH(Cleaned_datasetB[[#This Row],[Day_Code]],Lookup_Tables!$H$10:$H$16,0))</f>
        <v>Wednesday</v>
      </c>
      <c r="T259" s="10" t="str">
        <f>VLOOKUP(Cleaned_datasetB[[#This Row],[Month]], Lookup_Tables!$K$8:$L$19, 2, FALSE)</f>
        <v>January</v>
      </c>
      <c r="U259" s="10" t="str">
        <f>IF(AND(Cleaned_datasetB[[#This Row],[Day_Type]]="Weekday",Cleaned_datasetB[[#This Row],[Is_Holiday]]=FALSE),"Working Day","Non-Working Day")</f>
        <v>Working Day</v>
      </c>
    </row>
    <row r="260" spans="1:21">
      <c r="A260" s="10">
        <v>259</v>
      </c>
      <c r="B260" s="23">
        <v>40555</v>
      </c>
      <c r="C260" s="10">
        <v>1</v>
      </c>
      <c r="D260" s="10">
        <v>0</v>
      </c>
      <c r="E260" s="10">
        <v>1</v>
      </c>
      <c r="F260" s="10">
        <v>5</v>
      </c>
      <c r="G260" s="10" t="b">
        <v>0</v>
      </c>
      <c r="H260" s="10">
        <v>3</v>
      </c>
      <c r="I260" s="10" t="str">
        <f>IF(OR(Cleaned_datasetB[[#This Row],[Day_Code]]=0,Cleaned_datasetB[[#This Row],[Day_Code]]=6),"Weekend","Weekday")</f>
        <v>Weekday</v>
      </c>
      <c r="J260" s="10">
        <v>1</v>
      </c>
      <c r="K260" s="10">
        <v>0.14000000000000001</v>
      </c>
      <c r="L260" s="51">
        <v>0.1515</v>
      </c>
      <c r="M260" s="10">
        <v>0.86</v>
      </c>
      <c r="N260" s="10">
        <v>0.16420000000000001</v>
      </c>
      <c r="O260" s="10">
        <v>0</v>
      </c>
      <c r="P260" s="10">
        <v>5</v>
      </c>
      <c r="Q260" s="10">
        <v>5</v>
      </c>
      <c r="R260" s="10" t="str">
        <f>VLOOKUP(Cleaned_datasetB[[#This Row],[Weather_Code]],Lookup_Tables!$E$9:$F$13,2,FALSE)</f>
        <v>Clear</v>
      </c>
      <c r="S260" s="10" t="str">
        <f>INDEX(Lookup_Tables!$I$10:$I$16,MATCH(Cleaned_datasetB[[#This Row],[Day_Code]],Lookup_Tables!$H$10:$H$16,0))</f>
        <v>Wednesday</v>
      </c>
      <c r="T260" s="10" t="str">
        <f>VLOOKUP(Cleaned_datasetB[[#This Row],[Month]], Lookup_Tables!$K$8:$L$19, 2, FALSE)</f>
        <v>January</v>
      </c>
      <c r="U260" s="10" t="str">
        <f>IF(AND(Cleaned_datasetB[[#This Row],[Day_Type]]="Weekday",Cleaned_datasetB[[#This Row],[Is_Holiday]]=FALSE),"Working Day","Non-Working Day")</f>
        <v>Working Day</v>
      </c>
    </row>
    <row r="261" spans="1:21">
      <c r="A261" s="10">
        <v>260</v>
      </c>
      <c r="B261" s="23">
        <v>40555</v>
      </c>
      <c r="C261" s="10">
        <v>1</v>
      </c>
      <c r="D261" s="10">
        <v>0</v>
      </c>
      <c r="E261" s="10">
        <v>1</v>
      </c>
      <c r="F261" s="10">
        <v>6</v>
      </c>
      <c r="G261" s="10" t="b">
        <v>0</v>
      </c>
      <c r="H261" s="10">
        <v>3</v>
      </c>
      <c r="I261" s="10" t="str">
        <f>IF(OR(Cleaned_datasetB[[#This Row],[Day_Code]]=0,Cleaned_datasetB[[#This Row],[Day_Code]]=6),"Weekend","Weekday")</f>
        <v>Weekday</v>
      </c>
      <c r="J261" s="10">
        <v>1</v>
      </c>
      <c r="K261" s="10">
        <v>0.12</v>
      </c>
      <c r="L261" s="51">
        <v>0.1515</v>
      </c>
      <c r="M261" s="10">
        <v>0.93</v>
      </c>
      <c r="N261" s="10">
        <v>0.1343</v>
      </c>
      <c r="O261" s="10">
        <v>0</v>
      </c>
      <c r="P261" s="10">
        <v>16</v>
      </c>
      <c r="Q261" s="10">
        <v>16</v>
      </c>
      <c r="R261" s="10" t="str">
        <f>VLOOKUP(Cleaned_datasetB[[#This Row],[Weather_Code]],Lookup_Tables!$E$9:$F$13,2,FALSE)</f>
        <v>Clear</v>
      </c>
      <c r="S261" s="10" t="str">
        <f>INDEX(Lookup_Tables!$I$10:$I$16,MATCH(Cleaned_datasetB[[#This Row],[Day_Code]],Lookup_Tables!$H$10:$H$16,0))</f>
        <v>Wednesday</v>
      </c>
      <c r="T261" s="10" t="str">
        <f>VLOOKUP(Cleaned_datasetB[[#This Row],[Month]], Lookup_Tables!$K$8:$L$19, 2, FALSE)</f>
        <v>January</v>
      </c>
      <c r="U261" s="10" t="str">
        <f>IF(AND(Cleaned_datasetB[[#This Row],[Day_Type]]="Weekday",Cleaned_datasetB[[#This Row],[Is_Holiday]]=FALSE),"Working Day","Non-Working Day")</f>
        <v>Working Day</v>
      </c>
    </row>
    <row r="262" spans="1:21">
      <c r="A262" s="10">
        <v>261</v>
      </c>
      <c r="B262" s="23">
        <v>40555</v>
      </c>
      <c r="C262" s="10">
        <v>1</v>
      </c>
      <c r="D262" s="10">
        <v>0</v>
      </c>
      <c r="E262" s="10">
        <v>1</v>
      </c>
      <c r="F262" s="10">
        <v>7</v>
      </c>
      <c r="G262" s="10" t="b">
        <v>0</v>
      </c>
      <c r="H262" s="10">
        <v>3</v>
      </c>
      <c r="I262" s="10" t="str">
        <f>IF(OR(Cleaned_datasetB[[#This Row],[Day_Code]]=0,Cleaned_datasetB[[#This Row],[Day_Code]]=6),"Weekend","Weekday")</f>
        <v>Weekday</v>
      </c>
      <c r="J262" s="10">
        <v>1</v>
      </c>
      <c r="K262" s="10">
        <v>0.14000000000000001</v>
      </c>
      <c r="L262" s="51">
        <v>0.1515</v>
      </c>
      <c r="M262" s="10">
        <v>0.69</v>
      </c>
      <c r="N262" s="10">
        <v>0.1343</v>
      </c>
      <c r="O262" s="10">
        <v>0</v>
      </c>
      <c r="P262" s="10">
        <v>54</v>
      </c>
      <c r="Q262" s="10">
        <v>54</v>
      </c>
      <c r="R262" s="10" t="str">
        <f>VLOOKUP(Cleaned_datasetB[[#This Row],[Weather_Code]],Lookup_Tables!$E$9:$F$13,2,FALSE)</f>
        <v>Clear</v>
      </c>
      <c r="S262" s="10" t="str">
        <f>INDEX(Lookup_Tables!$I$10:$I$16,MATCH(Cleaned_datasetB[[#This Row],[Day_Code]],Lookup_Tables!$H$10:$H$16,0))</f>
        <v>Wednesday</v>
      </c>
      <c r="T262" s="10" t="str">
        <f>VLOOKUP(Cleaned_datasetB[[#This Row],[Month]], Lookup_Tables!$K$8:$L$19, 2, FALSE)</f>
        <v>January</v>
      </c>
      <c r="U262" s="10" t="str">
        <f>IF(AND(Cleaned_datasetB[[#This Row],[Day_Type]]="Weekday",Cleaned_datasetB[[#This Row],[Is_Holiday]]=FALSE),"Working Day","Non-Working Day")</f>
        <v>Working Day</v>
      </c>
    </row>
    <row r="263" spans="1:21">
      <c r="A263" s="10">
        <v>262</v>
      </c>
      <c r="B263" s="23">
        <v>40555</v>
      </c>
      <c r="C263" s="10">
        <v>1</v>
      </c>
      <c r="D263" s="10">
        <v>0</v>
      </c>
      <c r="E263" s="10">
        <v>1</v>
      </c>
      <c r="F263" s="10">
        <v>8</v>
      </c>
      <c r="G263" s="10" t="b">
        <v>0</v>
      </c>
      <c r="H263" s="10">
        <v>3</v>
      </c>
      <c r="I263" s="10" t="str">
        <f>IF(OR(Cleaned_datasetB[[#This Row],[Day_Code]]=0,Cleaned_datasetB[[#This Row],[Day_Code]]=6),"Weekend","Weekday")</f>
        <v>Weekday</v>
      </c>
      <c r="J263" s="10">
        <v>1</v>
      </c>
      <c r="K263" s="10">
        <v>0.16</v>
      </c>
      <c r="L263" s="51">
        <v>0.16669999999999999</v>
      </c>
      <c r="M263" s="10">
        <v>0.59</v>
      </c>
      <c r="N263" s="10">
        <v>0.16420000000000001</v>
      </c>
      <c r="O263" s="10">
        <v>3</v>
      </c>
      <c r="P263" s="10">
        <v>125</v>
      </c>
      <c r="Q263" s="10">
        <v>128</v>
      </c>
      <c r="R263" s="10" t="str">
        <f>VLOOKUP(Cleaned_datasetB[[#This Row],[Weather_Code]],Lookup_Tables!$E$9:$F$13,2,FALSE)</f>
        <v>Clear</v>
      </c>
      <c r="S263" s="10" t="str">
        <f>INDEX(Lookup_Tables!$I$10:$I$16,MATCH(Cleaned_datasetB[[#This Row],[Day_Code]],Lookup_Tables!$H$10:$H$16,0))</f>
        <v>Wednesday</v>
      </c>
      <c r="T263" s="10" t="str">
        <f>VLOOKUP(Cleaned_datasetB[[#This Row],[Month]], Lookup_Tables!$K$8:$L$19, 2, FALSE)</f>
        <v>January</v>
      </c>
      <c r="U263" s="10" t="str">
        <f>IF(AND(Cleaned_datasetB[[#This Row],[Day_Type]]="Weekday",Cleaned_datasetB[[#This Row],[Is_Holiday]]=FALSE),"Working Day","Non-Working Day")</f>
        <v>Working Day</v>
      </c>
    </row>
    <row r="264" spans="1:21">
      <c r="A264" s="10">
        <v>263</v>
      </c>
      <c r="B264" s="23">
        <v>40555</v>
      </c>
      <c r="C264" s="10">
        <v>1</v>
      </c>
      <c r="D264" s="10">
        <v>0</v>
      </c>
      <c r="E264" s="10">
        <v>1</v>
      </c>
      <c r="F264" s="10">
        <v>9</v>
      </c>
      <c r="G264" s="10" t="b">
        <v>0</v>
      </c>
      <c r="H264" s="10">
        <v>3</v>
      </c>
      <c r="I264" s="10" t="str">
        <f>IF(OR(Cleaned_datasetB[[#This Row],[Day_Code]]=0,Cleaned_datasetB[[#This Row],[Day_Code]]=6),"Weekend","Weekday")</f>
        <v>Weekday</v>
      </c>
      <c r="J264" s="10">
        <v>1</v>
      </c>
      <c r="K264" s="10">
        <v>0.16</v>
      </c>
      <c r="L264" s="51">
        <v>0.13639999999999999</v>
      </c>
      <c r="M264" s="10">
        <v>0.59</v>
      </c>
      <c r="N264" s="10">
        <v>0.32840000000000003</v>
      </c>
      <c r="O264" s="10">
        <v>3</v>
      </c>
      <c r="P264" s="10">
        <v>78</v>
      </c>
      <c r="Q264" s="10">
        <v>81</v>
      </c>
      <c r="R264" s="10" t="str">
        <f>VLOOKUP(Cleaned_datasetB[[#This Row],[Weather_Code]],Lookup_Tables!$E$9:$F$13,2,FALSE)</f>
        <v>Clear</v>
      </c>
      <c r="S264" s="10" t="str">
        <f>INDEX(Lookup_Tables!$I$10:$I$16,MATCH(Cleaned_datasetB[[#This Row],[Day_Code]],Lookup_Tables!$H$10:$H$16,0))</f>
        <v>Wednesday</v>
      </c>
      <c r="T264" s="10" t="str">
        <f>VLOOKUP(Cleaned_datasetB[[#This Row],[Month]], Lookup_Tables!$K$8:$L$19, 2, FALSE)</f>
        <v>January</v>
      </c>
      <c r="U264" s="10" t="str">
        <f>IF(AND(Cleaned_datasetB[[#This Row],[Day_Type]]="Weekday",Cleaned_datasetB[[#This Row],[Is_Holiday]]=FALSE),"Working Day","Non-Working Day")</f>
        <v>Working Day</v>
      </c>
    </row>
    <row r="265" spans="1:21">
      <c r="A265" s="10">
        <v>264</v>
      </c>
      <c r="B265" s="23">
        <v>40555</v>
      </c>
      <c r="C265" s="10">
        <v>1</v>
      </c>
      <c r="D265" s="10">
        <v>0</v>
      </c>
      <c r="E265" s="10">
        <v>1</v>
      </c>
      <c r="F265" s="10">
        <v>10</v>
      </c>
      <c r="G265" s="10" t="b">
        <v>0</v>
      </c>
      <c r="H265" s="10">
        <v>3</v>
      </c>
      <c r="I265" s="10" t="str">
        <f>IF(OR(Cleaned_datasetB[[#This Row],[Day_Code]]=0,Cleaned_datasetB[[#This Row],[Day_Code]]=6),"Weekend","Weekday")</f>
        <v>Weekday</v>
      </c>
      <c r="J265" s="10">
        <v>1</v>
      </c>
      <c r="K265" s="10">
        <v>0.18</v>
      </c>
      <c r="L265" s="51">
        <v>0.18179999999999999</v>
      </c>
      <c r="M265" s="10">
        <v>0.55000000000000004</v>
      </c>
      <c r="N265" s="10">
        <v>0.22389999999999999</v>
      </c>
      <c r="O265" s="10">
        <v>0</v>
      </c>
      <c r="P265" s="10">
        <v>39</v>
      </c>
      <c r="Q265" s="10">
        <v>39</v>
      </c>
      <c r="R265" s="10" t="str">
        <f>VLOOKUP(Cleaned_datasetB[[#This Row],[Weather_Code]],Lookup_Tables!$E$9:$F$13,2,FALSE)</f>
        <v>Clear</v>
      </c>
      <c r="S265" s="10" t="str">
        <f>INDEX(Lookup_Tables!$I$10:$I$16,MATCH(Cleaned_datasetB[[#This Row],[Day_Code]],Lookup_Tables!$H$10:$H$16,0))</f>
        <v>Wednesday</v>
      </c>
      <c r="T265" s="10" t="str">
        <f>VLOOKUP(Cleaned_datasetB[[#This Row],[Month]], Lookup_Tables!$K$8:$L$19, 2, FALSE)</f>
        <v>January</v>
      </c>
      <c r="U265" s="10" t="str">
        <f>IF(AND(Cleaned_datasetB[[#This Row],[Day_Type]]="Weekday",Cleaned_datasetB[[#This Row],[Is_Holiday]]=FALSE),"Working Day","Non-Working Day")</f>
        <v>Working Day</v>
      </c>
    </row>
    <row r="266" spans="1:21">
      <c r="A266" s="10">
        <v>265</v>
      </c>
      <c r="B266" s="23">
        <v>40555</v>
      </c>
      <c r="C266" s="10">
        <v>1</v>
      </c>
      <c r="D266" s="10">
        <v>0</v>
      </c>
      <c r="E266" s="10">
        <v>1</v>
      </c>
      <c r="F266" s="10">
        <v>11</v>
      </c>
      <c r="G266" s="10" t="b">
        <v>0</v>
      </c>
      <c r="H266" s="10">
        <v>3</v>
      </c>
      <c r="I266" s="10" t="str">
        <f>IF(OR(Cleaned_datasetB[[#This Row],[Day_Code]]=0,Cleaned_datasetB[[#This Row],[Day_Code]]=6),"Weekend","Weekday")</f>
        <v>Weekday</v>
      </c>
      <c r="J266" s="10">
        <v>1</v>
      </c>
      <c r="K266" s="10">
        <v>0.2</v>
      </c>
      <c r="L266" s="51">
        <v>0.18179999999999999</v>
      </c>
      <c r="M266" s="10">
        <v>0.51</v>
      </c>
      <c r="N266" s="10">
        <v>0.3881</v>
      </c>
      <c r="O266" s="10">
        <v>3</v>
      </c>
      <c r="P266" s="10">
        <v>32</v>
      </c>
      <c r="Q266" s="10">
        <v>35</v>
      </c>
      <c r="R266" s="10" t="str">
        <f>VLOOKUP(Cleaned_datasetB[[#This Row],[Weather_Code]],Lookup_Tables!$E$9:$F$13,2,FALSE)</f>
        <v>Clear</v>
      </c>
      <c r="S266" s="10" t="str">
        <f>INDEX(Lookup_Tables!$I$10:$I$16,MATCH(Cleaned_datasetB[[#This Row],[Day_Code]],Lookup_Tables!$H$10:$H$16,0))</f>
        <v>Wednesday</v>
      </c>
      <c r="T266" s="10" t="str">
        <f>VLOOKUP(Cleaned_datasetB[[#This Row],[Month]], Lookup_Tables!$K$8:$L$19, 2, FALSE)</f>
        <v>January</v>
      </c>
      <c r="U266" s="10" t="str">
        <f>IF(AND(Cleaned_datasetB[[#This Row],[Day_Type]]="Weekday",Cleaned_datasetB[[#This Row],[Is_Holiday]]=FALSE),"Working Day","Non-Working Day")</f>
        <v>Working Day</v>
      </c>
    </row>
    <row r="267" spans="1:21">
      <c r="A267" s="10">
        <v>266</v>
      </c>
      <c r="B267" s="23">
        <v>40555</v>
      </c>
      <c r="C267" s="10">
        <v>1</v>
      </c>
      <c r="D267" s="10">
        <v>0</v>
      </c>
      <c r="E267" s="10">
        <v>1</v>
      </c>
      <c r="F267" s="10">
        <v>12</v>
      </c>
      <c r="G267" s="10" t="b">
        <v>0</v>
      </c>
      <c r="H267" s="10">
        <v>3</v>
      </c>
      <c r="I267" s="10" t="str">
        <f>IF(OR(Cleaned_datasetB[[#This Row],[Day_Code]]=0,Cleaned_datasetB[[#This Row],[Day_Code]]=6),"Weekend","Weekday")</f>
        <v>Weekday</v>
      </c>
      <c r="J267" s="10">
        <v>1</v>
      </c>
      <c r="K267" s="10">
        <v>0.2</v>
      </c>
      <c r="L267" s="51">
        <v>0.1515</v>
      </c>
      <c r="M267" s="10">
        <v>0.47</v>
      </c>
      <c r="N267" s="10">
        <v>0.58209999999999995</v>
      </c>
      <c r="O267" s="10">
        <v>3</v>
      </c>
      <c r="P267" s="10">
        <v>52</v>
      </c>
      <c r="Q267" s="10">
        <v>55</v>
      </c>
      <c r="R267" s="10" t="str">
        <f>VLOOKUP(Cleaned_datasetB[[#This Row],[Weather_Code]],Lookup_Tables!$E$9:$F$13,2,FALSE)</f>
        <v>Clear</v>
      </c>
      <c r="S267" s="10" t="str">
        <f>INDEX(Lookup_Tables!$I$10:$I$16,MATCH(Cleaned_datasetB[[#This Row],[Day_Code]],Lookup_Tables!$H$10:$H$16,0))</f>
        <v>Wednesday</v>
      </c>
      <c r="T267" s="10" t="str">
        <f>VLOOKUP(Cleaned_datasetB[[#This Row],[Month]], Lookup_Tables!$K$8:$L$19, 2, FALSE)</f>
        <v>January</v>
      </c>
      <c r="U267" s="10" t="str">
        <f>IF(AND(Cleaned_datasetB[[#This Row],[Day_Type]]="Weekday",Cleaned_datasetB[[#This Row],[Is_Holiday]]=FALSE),"Working Day","Non-Working Day")</f>
        <v>Working Day</v>
      </c>
    </row>
    <row r="268" spans="1:21">
      <c r="A268" s="10">
        <v>267</v>
      </c>
      <c r="B268" s="23">
        <v>40555</v>
      </c>
      <c r="C268" s="10">
        <v>1</v>
      </c>
      <c r="D268" s="10">
        <v>0</v>
      </c>
      <c r="E268" s="10">
        <v>1</v>
      </c>
      <c r="F268" s="10">
        <v>13</v>
      </c>
      <c r="G268" s="10" t="b">
        <v>0</v>
      </c>
      <c r="H268" s="10">
        <v>3</v>
      </c>
      <c r="I268" s="10" t="str">
        <f>IF(OR(Cleaned_datasetB[[#This Row],[Day_Code]]=0,Cleaned_datasetB[[#This Row],[Day_Code]]=6),"Weekend","Weekday")</f>
        <v>Weekday</v>
      </c>
      <c r="J268" s="10">
        <v>1</v>
      </c>
      <c r="K268" s="10">
        <v>0.22</v>
      </c>
      <c r="L268" s="51">
        <v>0.19700000000000001</v>
      </c>
      <c r="M268" s="10">
        <v>0.44</v>
      </c>
      <c r="N268" s="10">
        <v>0.35820000000000002</v>
      </c>
      <c r="O268" s="10">
        <v>0</v>
      </c>
      <c r="P268" s="10">
        <v>49</v>
      </c>
      <c r="Q268" s="10">
        <v>49</v>
      </c>
      <c r="R268" s="10" t="str">
        <f>VLOOKUP(Cleaned_datasetB[[#This Row],[Weather_Code]],Lookup_Tables!$E$9:$F$13,2,FALSE)</f>
        <v>Clear</v>
      </c>
      <c r="S268" s="10" t="str">
        <f>INDEX(Lookup_Tables!$I$10:$I$16,MATCH(Cleaned_datasetB[[#This Row],[Day_Code]],Lookup_Tables!$H$10:$H$16,0))</f>
        <v>Wednesday</v>
      </c>
      <c r="T268" s="10" t="str">
        <f>VLOOKUP(Cleaned_datasetB[[#This Row],[Month]], Lookup_Tables!$K$8:$L$19, 2, FALSE)</f>
        <v>January</v>
      </c>
      <c r="U268" s="10" t="str">
        <f>IF(AND(Cleaned_datasetB[[#This Row],[Day_Type]]="Weekday",Cleaned_datasetB[[#This Row],[Is_Holiday]]=FALSE),"Working Day","Non-Working Day")</f>
        <v>Working Day</v>
      </c>
    </row>
    <row r="269" spans="1:21">
      <c r="A269" s="10">
        <v>268</v>
      </c>
      <c r="B269" s="23">
        <v>40555</v>
      </c>
      <c r="C269" s="10">
        <v>1</v>
      </c>
      <c r="D269" s="10">
        <v>0</v>
      </c>
      <c r="E269" s="10">
        <v>1</v>
      </c>
      <c r="F269" s="10">
        <v>14</v>
      </c>
      <c r="G269" s="10" t="b">
        <v>0</v>
      </c>
      <c r="H269" s="10">
        <v>3</v>
      </c>
      <c r="I269" s="10" t="str">
        <f>IF(OR(Cleaned_datasetB[[#This Row],[Day_Code]]=0,Cleaned_datasetB[[#This Row],[Day_Code]]=6),"Weekend","Weekday")</f>
        <v>Weekday</v>
      </c>
      <c r="J269" s="10">
        <v>1</v>
      </c>
      <c r="K269" s="10">
        <v>0.2</v>
      </c>
      <c r="L269" s="51">
        <v>0.18179999999999999</v>
      </c>
      <c r="M269" s="10">
        <v>0.47</v>
      </c>
      <c r="N269" s="10">
        <v>0.32840000000000003</v>
      </c>
      <c r="O269" s="10">
        <v>0</v>
      </c>
      <c r="P269" s="10">
        <v>44</v>
      </c>
      <c r="Q269" s="10">
        <v>44</v>
      </c>
      <c r="R269" s="10" t="str">
        <f>VLOOKUP(Cleaned_datasetB[[#This Row],[Weather_Code]],Lookup_Tables!$E$9:$F$13,2,FALSE)</f>
        <v>Clear</v>
      </c>
      <c r="S269" s="10" t="str">
        <f>INDEX(Lookup_Tables!$I$10:$I$16,MATCH(Cleaned_datasetB[[#This Row],[Day_Code]],Lookup_Tables!$H$10:$H$16,0))</f>
        <v>Wednesday</v>
      </c>
      <c r="T269" s="10" t="str">
        <f>VLOOKUP(Cleaned_datasetB[[#This Row],[Month]], Lookup_Tables!$K$8:$L$19, 2, FALSE)</f>
        <v>January</v>
      </c>
      <c r="U269" s="10" t="str">
        <f>IF(AND(Cleaned_datasetB[[#This Row],[Day_Type]]="Weekday",Cleaned_datasetB[[#This Row],[Is_Holiday]]=FALSE),"Working Day","Non-Working Day")</f>
        <v>Working Day</v>
      </c>
    </row>
    <row r="270" spans="1:21">
      <c r="A270" s="10">
        <v>269</v>
      </c>
      <c r="B270" s="23">
        <v>40555</v>
      </c>
      <c r="C270" s="10">
        <v>1</v>
      </c>
      <c r="D270" s="10">
        <v>0</v>
      </c>
      <c r="E270" s="10">
        <v>1</v>
      </c>
      <c r="F270" s="10">
        <v>15</v>
      </c>
      <c r="G270" s="10" t="b">
        <v>0</v>
      </c>
      <c r="H270" s="10">
        <v>3</v>
      </c>
      <c r="I270" s="10" t="str">
        <f>IF(OR(Cleaned_datasetB[[#This Row],[Day_Code]]=0,Cleaned_datasetB[[#This Row],[Day_Code]]=6),"Weekend","Weekday")</f>
        <v>Weekday</v>
      </c>
      <c r="J270" s="10">
        <v>1</v>
      </c>
      <c r="K270" s="10">
        <v>0.2</v>
      </c>
      <c r="L270" s="51">
        <v>0.16669999999999999</v>
      </c>
      <c r="M270" s="10">
        <v>0.47</v>
      </c>
      <c r="N270" s="10">
        <v>0.41789999999999999</v>
      </c>
      <c r="O270" s="10">
        <v>1</v>
      </c>
      <c r="P270" s="10">
        <v>48</v>
      </c>
      <c r="Q270" s="10">
        <v>49</v>
      </c>
      <c r="R270" s="10" t="str">
        <f>VLOOKUP(Cleaned_datasetB[[#This Row],[Weather_Code]],Lookup_Tables!$E$9:$F$13,2,FALSE)</f>
        <v>Clear</v>
      </c>
      <c r="S270" s="10" t="str">
        <f>INDEX(Lookup_Tables!$I$10:$I$16,MATCH(Cleaned_datasetB[[#This Row],[Day_Code]],Lookup_Tables!$H$10:$H$16,0))</f>
        <v>Wednesday</v>
      </c>
      <c r="T270" s="10" t="str">
        <f>VLOOKUP(Cleaned_datasetB[[#This Row],[Month]], Lookup_Tables!$K$8:$L$19, 2, FALSE)</f>
        <v>January</v>
      </c>
      <c r="U270" s="10" t="str">
        <f>IF(AND(Cleaned_datasetB[[#This Row],[Day_Type]]="Weekday",Cleaned_datasetB[[#This Row],[Is_Holiday]]=FALSE),"Working Day","Non-Working Day")</f>
        <v>Working Day</v>
      </c>
    </row>
    <row r="271" spans="1:21">
      <c r="A271" s="10">
        <v>270</v>
      </c>
      <c r="B271" s="23">
        <v>40555</v>
      </c>
      <c r="C271" s="10">
        <v>1</v>
      </c>
      <c r="D271" s="10">
        <v>0</v>
      </c>
      <c r="E271" s="10">
        <v>1</v>
      </c>
      <c r="F271" s="10">
        <v>16</v>
      </c>
      <c r="G271" s="10" t="b">
        <v>0</v>
      </c>
      <c r="H271" s="10">
        <v>3</v>
      </c>
      <c r="I271" s="10" t="str">
        <f>IF(OR(Cleaned_datasetB[[#This Row],[Day_Code]]=0,Cleaned_datasetB[[#This Row],[Day_Code]]=6),"Weekend","Weekday")</f>
        <v>Weekday</v>
      </c>
      <c r="J271" s="10">
        <v>1</v>
      </c>
      <c r="K271" s="10">
        <v>0.22</v>
      </c>
      <c r="L271" s="51">
        <v>0.19700000000000001</v>
      </c>
      <c r="M271" s="10">
        <v>0.44</v>
      </c>
      <c r="N271" s="10">
        <v>0.32840000000000003</v>
      </c>
      <c r="O271" s="10">
        <v>5</v>
      </c>
      <c r="P271" s="10">
        <v>63</v>
      </c>
      <c r="Q271" s="10">
        <v>68</v>
      </c>
      <c r="R271" s="10" t="str">
        <f>VLOOKUP(Cleaned_datasetB[[#This Row],[Weather_Code]],Lookup_Tables!$E$9:$F$13,2,FALSE)</f>
        <v>Clear</v>
      </c>
      <c r="S271" s="10" t="str">
        <f>INDEX(Lookup_Tables!$I$10:$I$16,MATCH(Cleaned_datasetB[[#This Row],[Day_Code]],Lookup_Tables!$H$10:$H$16,0))</f>
        <v>Wednesday</v>
      </c>
      <c r="T271" s="10" t="str">
        <f>VLOOKUP(Cleaned_datasetB[[#This Row],[Month]], Lookup_Tables!$K$8:$L$19, 2, FALSE)</f>
        <v>January</v>
      </c>
      <c r="U271" s="10" t="str">
        <f>IF(AND(Cleaned_datasetB[[#This Row],[Day_Type]]="Weekday",Cleaned_datasetB[[#This Row],[Is_Holiday]]=FALSE),"Working Day","Non-Working Day")</f>
        <v>Working Day</v>
      </c>
    </row>
    <row r="272" spans="1:21">
      <c r="A272" s="10">
        <v>271</v>
      </c>
      <c r="B272" s="23">
        <v>40555</v>
      </c>
      <c r="C272" s="10">
        <v>1</v>
      </c>
      <c r="D272" s="10">
        <v>0</v>
      </c>
      <c r="E272" s="10">
        <v>1</v>
      </c>
      <c r="F272" s="10">
        <v>17</v>
      </c>
      <c r="G272" s="10" t="b">
        <v>0</v>
      </c>
      <c r="H272" s="10">
        <v>3</v>
      </c>
      <c r="I272" s="10" t="str">
        <f>IF(OR(Cleaned_datasetB[[#This Row],[Day_Code]]=0,Cleaned_datasetB[[#This Row],[Day_Code]]=6),"Weekend","Weekday")</f>
        <v>Weekday</v>
      </c>
      <c r="J272" s="10">
        <v>1</v>
      </c>
      <c r="K272" s="10">
        <v>0.2</v>
      </c>
      <c r="L272" s="51">
        <v>0.18179999999999999</v>
      </c>
      <c r="M272" s="10">
        <v>0.47</v>
      </c>
      <c r="N272" s="10">
        <v>0.35820000000000002</v>
      </c>
      <c r="O272" s="10">
        <v>0</v>
      </c>
      <c r="P272" s="10">
        <v>139</v>
      </c>
      <c r="Q272" s="10">
        <v>139</v>
      </c>
      <c r="R272" s="10" t="str">
        <f>VLOOKUP(Cleaned_datasetB[[#This Row],[Weather_Code]],Lookup_Tables!$E$9:$F$13,2,FALSE)</f>
        <v>Clear</v>
      </c>
      <c r="S272" s="10" t="str">
        <f>INDEX(Lookup_Tables!$I$10:$I$16,MATCH(Cleaned_datasetB[[#This Row],[Day_Code]],Lookup_Tables!$H$10:$H$16,0))</f>
        <v>Wednesday</v>
      </c>
      <c r="T272" s="10" t="str">
        <f>VLOOKUP(Cleaned_datasetB[[#This Row],[Month]], Lookup_Tables!$K$8:$L$19, 2, FALSE)</f>
        <v>January</v>
      </c>
      <c r="U272" s="10" t="str">
        <f>IF(AND(Cleaned_datasetB[[#This Row],[Day_Type]]="Weekday",Cleaned_datasetB[[#This Row],[Is_Holiday]]=FALSE),"Working Day","Non-Working Day")</f>
        <v>Working Day</v>
      </c>
    </row>
    <row r="273" spans="1:21">
      <c r="A273" s="10">
        <v>272</v>
      </c>
      <c r="B273" s="23">
        <v>40555</v>
      </c>
      <c r="C273" s="10">
        <v>1</v>
      </c>
      <c r="D273" s="10">
        <v>0</v>
      </c>
      <c r="E273" s="10">
        <v>1</v>
      </c>
      <c r="F273" s="10">
        <v>18</v>
      </c>
      <c r="G273" s="10" t="b">
        <v>0</v>
      </c>
      <c r="H273" s="10">
        <v>3</v>
      </c>
      <c r="I273" s="10" t="str">
        <f>IF(OR(Cleaned_datasetB[[#This Row],[Day_Code]]=0,Cleaned_datasetB[[#This Row],[Day_Code]]=6),"Weekend","Weekday")</f>
        <v>Weekday</v>
      </c>
      <c r="J273" s="10">
        <v>1</v>
      </c>
      <c r="K273" s="10">
        <v>0.2</v>
      </c>
      <c r="L273" s="51">
        <v>0.1515</v>
      </c>
      <c r="M273" s="10">
        <v>0.47</v>
      </c>
      <c r="N273" s="10">
        <v>0.52239999999999998</v>
      </c>
      <c r="O273" s="10">
        <v>2</v>
      </c>
      <c r="P273" s="10">
        <v>135</v>
      </c>
      <c r="Q273" s="10">
        <v>137</v>
      </c>
      <c r="R273" s="10" t="str">
        <f>VLOOKUP(Cleaned_datasetB[[#This Row],[Weather_Code]],Lookup_Tables!$E$9:$F$13,2,FALSE)</f>
        <v>Clear</v>
      </c>
      <c r="S273" s="10" t="str">
        <f>INDEX(Lookup_Tables!$I$10:$I$16,MATCH(Cleaned_datasetB[[#This Row],[Day_Code]],Lookup_Tables!$H$10:$H$16,0))</f>
        <v>Wednesday</v>
      </c>
      <c r="T273" s="10" t="str">
        <f>VLOOKUP(Cleaned_datasetB[[#This Row],[Month]], Lookup_Tables!$K$8:$L$19, 2, FALSE)</f>
        <v>January</v>
      </c>
      <c r="U273" s="10" t="str">
        <f>IF(AND(Cleaned_datasetB[[#This Row],[Day_Type]]="Weekday",Cleaned_datasetB[[#This Row],[Is_Holiday]]=FALSE),"Working Day","Non-Working Day")</f>
        <v>Working Day</v>
      </c>
    </row>
    <row r="274" spans="1:21">
      <c r="A274" s="10">
        <v>273</v>
      </c>
      <c r="B274" s="23">
        <v>40555</v>
      </c>
      <c r="C274" s="10">
        <v>1</v>
      </c>
      <c r="D274" s="10">
        <v>0</v>
      </c>
      <c r="E274" s="10">
        <v>1</v>
      </c>
      <c r="F274" s="10">
        <v>19</v>
      </c>
      <c r="G274" s="10" t="b">
        <v>0</v>
      </c>
      <c r="H274" s="10">
        <v>3</v>
      </c>
      <c r="I274" s="10" t="str">
        <f>IF(OR(Cleaned_datasetB[[#This Row],[Day_Code]]=0,Cleaned_datasetB[[#This Row],[Day_Code]]=6),"Weekend","Weekday")</f>
        <v>Weekday</v>
      </c>
      <c r="J274" s="10">
        <v>1</v>
      </c>
      <c r="K274" s="10">
        <v>0.18</v>
      </c>
      <c r="L274" s="51">
        <v>0.1515</v>
      </c>
      <c r="M274" s="10">
        <v>0.47</v>
      </c>
      <c r="N274" s="10">
        <v>0.41789999999999999</v>
      </c>
      <c r="O274" s="10">
        <v>1</v>
      </c>
      <c r="P274" s="10">
        <v>82</v>
      </c>
      <c r="Q274" s="10">
        <v>83</v>
      </c>
      <c r="R274" s="10" t="str">
        <f>VLOOKUP(Cleaned_datasetB[[#This Row],[Weather_Code]],Lookup_Tables!$E$9:$F$13,2,FALSE)</f>
        <v>Clear</v>
      </c>
      <c r="S274" s="10" t="str">
        <f>INDEX(Lookup_Tables!$I$10:$I$16,MATCH(Cleaned_datasetB[[#This Row],[Day_Code]],Lookup_Tables!$H$10:$H$16,0))</f>
        <v>Wednesday</v>
      </c>
      <c r="T274" s="10" t="str">
        <f>VLOOKUP(Cleaned_datasetB[[#This Row],[Month]], Lookup_Tables!$K$8:$L$19, 2, FALSE)</f>
        <v>January</v>
      </c>
      <c r="U274" s="10" t="str">
        <f>IF(AND(Cleaned_datasetB[[#This Row],[Day_Type]]="Weekday",Cleaned_datasetB[[#This Row],[Is_Holiday]]=FALSE),"Working Day","Non-Working Day")</f>
        <v>Working Day</v>
      </c>
    </row>
    <row r="275" spans="1:21">
      <c r="A275" s="10">
        <v>274</v>
      </c>
      <c r="B275" s="23">
        <v>40555</v>
      </c>
      <c r="C275" s="10">
        <v>1</v>
      </c>
      <c r="D275" s="10">
        <v>0</v>
      </c>
      <c r="E275" s="10">
        <v>1</v>
      </c>
      <c r="F275" s="10">
        <v>20</v>
      </c>
      <c r="G275" s="10" t="b">
        <v>0</v>
      </c>
      <c r="H275" s="10">
        <v>3</v>
      </c>
      <c r="I275" s="10" t="str">
        <f>IF(OR(Cleaned_datasetB[[#This Row],[Day_Code]]=0,Cleaned_datasetB[[#This Row],[Day_Code]]=6),"Weekend","Weekday")</f>
        <v>Weekday</v>
      </c>
      <c r="J275" s="10">
        <v>1</v>
      </c>
      <c r="K275" s="10">
        <v>0.16</v>
      </c>
      <c r="L275" s="51">
        <v>0.13639999999999999</v>
      </c>
      <c r="M275" s="10">
        <v>0.5</v>
      </c>
      <c r="N275" s="10">
        <v>0.32840000000000003</v>
      </c>
      <c r="O275" s="10">
        <v>2</v>
      </c>
      <c r="P275" s="10">
        <v>54</v>
      </c>
      <c r="Q275" s="10">
        <v>56</v>
      </c>
      <c r="R275" s="10" t="str">
        <f>VLOOKUP(Cleaned_datasetB[[#This Row],[Weather_Code]],Lookup_Tables!$E$9:$F$13,2,FALSE)</f>
        <v>Clear</v>
      </c>
      <c r="S275" s="10" t="str">
        <f>INDEX(Lookup_Tables!$I$10:$I$16,MATCH(Cleaned_datasetB[[#This Row],[Day_Code]],Lookup_Tables!$H$10:$H$16,0))</f>
        <v>Wednesday</v>
      </c>
      <c r="T275" s="10" t="str">
        <f>VLOOKUP(Cleaned_datasetB[[#This Row],[Month]], Lookup_Tables!$K$8:$L$19, 2, FALSE)</f>
        <v>January</v>
      </c>
      <c r="U275" s="10" t="str">
        <f>IF(AND(Cleaned_datasetB[[#This Row],[Day_Type]]="Weekday",Cleaned_datasetB[[#This Row],[Is_Holiday]]=FALSE),"Working Day","Non-Working Day")</f>
        <v>Working Day</v>
      </c>
    </row>
    <row r="276" spans="1:21">
      <c r="A276" s="10">
        <v>275</v>
      </c>
      <c r="B276" s="23">
        <v>40555</v>
      </c>
      <c r="C276" s="10">
        <v>1</v>
      </c>
      <c r="D276" s="10">
        <v>0</v>
      </c>
      <c r="E276" s="10">
        <v>1</v>
      </c>
      <c r="F276" s="10">
        <v>21</v>
      </c>
      <c r="G276" s="10" t="b">
        <v>0</v>
      </c>
      <c r="H276" s="10">
        <v>3</v>
      </c>
      <c r="I276" s="10" t="str">
        <f>IF(OR(Cleaned_datasetB[[#This Row],[Day_Code]]=0,Cleaned_datasetB[[#This Row],[Day_Code]]=6),"Weekend","Weekday")</f>
        <v>Weekday</v>
      </c>
      <c r="J276" s="10">
        <v>1</v>
      </c>
      <c r="K276" s="10">
        <v>0.16</v>
      </c>
      <c r="L276" s="51">
        <v>0.13639999999999999</v>
      </c>
      <c r="M276" s="10">
        <v>0.55000000000000004</v>
      </c>
      <c r="N276" s="10">
        <v>0.32840000000000003</v>
      </c>
      <c r="O276" s="10">
        <v>0</v>
      </c>
      <c r="P276" s="10">
        <v>57</v>
      </c>
      <c r="Q276" s="10">
        <v>57</v>
      </c>
      <c r="R276" s="10" t="str">
        <f>VLOOKUP(Cleaned_datasetB[[#This Row],[Weather_Code]],Lookup_Tables!$E$9:$F$13,2,FALSE)</f>
        <v>Clear</v>
      </c>
      <c r="S276" s="10" t="str">
        <f>INDEX(Lookup_Tables!$I$10:$I$16,MATCH(Cleaned_datasetB[[#This Row],[Day_Code]],Lookup_Tables!$H$10:$H$16,0))</f>
        <v>Wednesday</v>
      </c>
      <c r="T276" s="10" t="str">
        <f>VLOOKUP(Cleaned_datasetB[[#This Row],[Month]], Lookup_Tables!$K$8:$L$19, 2, FALSE)</f>
        <v>January</v>
      </c>
      <c r="U276" s="10" t="str">
        <f>IF(AND(Cleaned_datasetB[[#This Row],[Day_Type]]="Weekday",Cleaned_datasetB[[#This Row],[Is_Holiday]]=FALSE),"Working Day","Non-Working Day")</f>
        <v>Working Day</v>
      </c>
    </row>
    <row r="277" spans="1:21">
      <c r="A277" s="10">
        <v>276</v>
      </c>
      <c r="B277" s="23">
        <v>40555</v>
      </c>
      <c r="C277" s="10">
        <v>1</v>
      </c>
      <c r="D277" s="10">
        <v>0</v>
      </c>
      <c r="E277" s="10">
        <v>1</v>
      </c>
      <c r="F277" s="10">
        <v>22</v>
      </c>
      <c r="G277" s="10" t="b">
        <v>0</v>
      </c>
      <c r="H277" s="10">
        <v>3</v>
      </c>
      <c r="I277" s="10" t="str">
        <f>IF(OR(Cleaned_datasetB[[#This Row],[Day_Code]]=0,Cleaned_datasetB[[#This Row],[Day_Code]]=6),"Weekend","Weekday")</f>
        <v>Weekday</v>
      </c>
      <c r="J277" s="10">
        <v>1</v>
      </c>
      <c r="K277" s="10">
        <v>0.16</v>
      </c>
      <c r="L277" s="51">
        <v>0.1212</v>
      </c>
      <c r="M277" s="10">
        <v>0.55000000000000004</v>
      </c>
      <c r="N277" s="10">
        <v>0.44779999999999998</v>
      </c>
      <c r="O277" s="10">
        <v>1</v>
      </c>
      <c r="P277" s="10">
        <v>32</v>
      </c>
      <c r="Q277" s="10">
        <v>33</v>
      </c>
      <c r="R277" s="10" t="str">
        <f>VLOOKUP(Cleaned_datasetB[[#This Row],[Weather_Code]],Lookup_Tables!$E$9:$F$13,2,FALSE)</f>
        <v>Clear</v>
      </c>
      <c r="S277" s="10" t="str">
        <f>INDEX(Lookup_Tables!$I$10:$I$16,MATCH(Cleaned_datasetB[[#This Row],[Day_Code]],Lookup_Tables!$H$10:$H$16,0))</f>
        <v>Wednesday</v>
      </c>
      <c r="T277" s="10" t="str">
        <f>VLOOKUP(Cleaned_datasetB[[#This Row],[Month]], Lookup_Tables!$K$8:$L$19, 2, FALSE)</f>
        <v>January</v>
      </c>
      <c r="U277" s="10" t="str">
        <f>IF(AND(Cleaned_datasetB[[#This Row],[Day_Type]]="Weekday",Cleaned_datasetB[[#This Row],[Is_Holiday]]=FALSE),"Working Day","Non-Working Day")</f>
        <v>Working Day</v>
      </c>
    </row>
    <row r="278" spans="1:21">
      <c r="A278" s="10">
        <v>277</v>
      </c>
      <c r="B278" s="23">
        <v>40555</v>
      </c>
      <c r="C278" s="10">
        <v>1</v>
      </c>
      <c r="D278" s="10">
        <v>0</v>
      </c>
      <c r="E278" s="10">
        <v>1</v>
      </c>
      <c r="F278" s="10">
        <v>23</v>
      </c>
      <c r="G278" s="10" t="b">
        <v>0</v>
      </c>
      <c r="H278" s="10">
        <v>3</v>
      </c>
      <c r="I278" s="10" t="str">
        <f>IF(OR(Cleaned_datasetB[[#This Row],[Day_Code]]=0,Cleaned_datasetB[[#This Row],[Day_Code]]=6),"Weekend","Weekday")</f>
        <v>Weekday</v>
      </c>
      <c r="J278" s="10">
        <v>1</v>
      </c>
      <c r="K278" s="10">
        <v>0.14000000000000001</v>
      </c>
      <c r="L278" s="51">
        <v>0.1061</v>
      </c>
      <c r="M278" s="10">
        <v>0.59</v>
      </c>
      <c r="N278" s="10">
        <v>0.41789999999999999</v>
      </c>
      <c r="O278" s="10">
        <v>1</v>
      </c>
      <c r="P278" s="10">
        <v>19</v>
      </c>
      <c r="Q278" s="10">
        <v>20</v>
      </c>
      <c r="R278" s="10" t="str">
        <f>VLOOKUP(Cleaned_datasetB[[#This Row],[Weather_Code]],Lookup_Tables!$E$9:$F$13,2,FALSE)</f>
        <v>Clear</v>
      </c>
      <c r="S278" s="10" t="str">
        <f>INDEX(Lookup_Tables!$I$10:$I$16,MATCH(Cleaned_datasetB[[#This Row],[Day_Code]],Lookup_Tables!$H$10:$H$16,0))</f>
        <v>Wednesday</v>
      </c>
      <c r="T278" s="10" t="str">
        <f>VLOOKUP(Cleaned_datasetB[[#This Row],[Month]], Lookup_Tables!$K$8:$L$19, 2, FALSE)</f>
        <v>January</v>
      </c>
      <c r="U278" s="10" t="str">
        <f>IF(AND(Cleaned_datasetB[[#This Row],[Day_Type]]="Weekday",Cleaned_datasetB[[#This Row],[Is_Holiday]]=FALSE),"Working Day","Non-Working Day")</f>
        <v>Working Day</v>
      </c>
    </row>
    <row r="279" spans="1:21">
      <c r="A279" s="10">
        <v>278</v>
      </c>
      <c r="B279" s="23">
        <v>40556</v>
      </c>
      <c r="C279" s="10">
        <v>1</v>
      </c>
      <c r="D279" s="10">
        <v>0</v>
      </c>
      <c r="E279" s="10">
        <v>1</v>
      </c>
      <c r="F279" s="10">
        <v>0</v>
      </c>
      <c r="G279" s="10" t="b">
        <v>0</v>
      </c>
      <c r="H279" s="10">
        <v>4</v>
      </c>
      <c r="I279" s="10" t="str">
        <f>IF(OR(Cleaned_datasetB[[#This Row],[Day_Code]]=0,Cleaned_datasetB[[#This Row],[Day_Code]]=6),"Weekend","Weekday")</f>
        <v>Weekday</v>
      </c>
      <c r="J279" s="10">
        <v>1</v>
      </c>
      <c r="K279" s="10">
        <v>0.14000000000000001</v>
      </c>
      <c r="L279" s="51">
        <v>0.1212</v>
      </c>
      <c r="M279" s="10">
        <v>0.59</v>
      </c>
      <c r="N279" s="10">
        <v>0.28360000000000002</v>
      </c>
      <c r="O279" s="10">
        <v>1</v>
      </c>
      <c r="P279" s="10">
        <v>6</v>
      </c>
      <c r="Q279" s="10">
        <v>7</v>
      </c>
      <c r="R279" s="10" t="str">
        <f>VLOOKUP(Cleaned_datasetB[[#This Row],[Weather_Code]],Lookup_Tables!$E$9:$F$13,2,FALSE)</f>
        <v>Clear</v>
      </c>
      <c r="S279" s="10" t="str">
        <f>INDEX(Lookup_Tables!$I$10:$I$16,MATCH(Cleaned_datasetB[[#This Row],[Day_Code]],Lookup_Tables!$H$10:$H$16,0))</f>
        <v>Thursday</v>
      </c>
      <c r="T279" s="10" t="str">
        <f>VLOOKUP(Cleaned_datasetB[[#This Row],[Month]], Lookup_Tables!$K$8:$L$19, 2, FALSE)</f>
        <v>January</v>
      </c>
      <c r="U279" s="10" t="str">
        <f>IF(AND(Cleaned_datasetB[[#This Row],[Day_Type]]="Weekday",Cleaned_datasetB[[#This Row],[Is_Holiday]]=FALSE),"Working Day","Non-Working Day")</f>
        <v>Working Day</v>
      </c>
    </row>
    <row r="280" spans="1:21">
      <c r="A280" s="10">
        <v>279</v>
      </c>
      <c r="B280" s="23">
        <v>40556</v>
      </c>
      <c r="C280" s="10">
        <v>1</v>
      </c>
      <c r="D280" s="10">
        <v>0</v>
      </c>
      <c r="E280" s="10">
        <v>1</v>
      </c>
      <c r="F280" s="10">
        <v>1</v>
      </c>
      <c r="G280" s="10" t="b">
        <v>0</v>
      </c>
      <c r="H280" s="10">
        <v>4</v>
      </c>
      <c r="I280" s="10" t="str">
        <f>IF(OR(Cleaned_datasetB[[#This Row],[Day_Code]]=0,Cleaned_datasetB[[#This Row],[Day_Code]]=6),"Weekend","Weekday")</f>
        <v>Weekday</v>
      </c>
      <c r="J280" s="10">
        <v>1</v>
      </c>
      <c r="K280" s="10">
        <v>0.14000000000000001</v>
      </c>
      <c r="L280" s="51">
        <v>0.1212</v>
      </c>
      <c r="M280" s="10">
        <v>0.5</v>
      </c>
      <c r="N280" s="10">
        <v>0.28360000000000002</v>
      </c>
      <c r="O280" s="10">
        <v>0</v>
      </c>
      <c r="P280" s="10">
        <v>2</v>
      </c>
      <c r="Q280" s="10">
        <v>2</v>
      </c>
      <c r="R280" s="10" t="str">
        <f>VLOOKUP(Cleaned_datasetB[[#This Row],[Weather_Code]],Lookup_Tables!$E$9:$F$13,2,FALSE)</f>
        <v>Clear</v>
      </c>
      <c r="S280" s="10" t="str">
        <f>INDEX(Lookup_Tables!$I$10:$I$16,MATCH(Cleaned_datasetB[[#This Row],[Day_Code]],Lookup_Tables!$H$10:$H$16,0))</f>
        <v>Thursday</v>
      </c>
      <c r="T280" s="10" t="str">
        <f>VLOOKUP(Cleaned_datasetB[[#This Row],[Month]], Lookup_Tables!$K$8:$L$19, 2, FALSE)</f>
        <v>January</v>
      </c>
      <c r="U280" s="10" t="str">
        <f>IF(AND(Cleaned_datasetB[[#This Row],[Day_Type]]="Weekday",Cleaned_datasetB[[#This Row],[Is_Holiday]]=FALSE),"Working Day","Non-Working Day")</f>
        <v>Working Day</v>
      </c>
    </row>
    <row r="281" spans="1:21">
      <c r="A281" s="10">
        <v>280</v>
      </c>
      <c r="B281" s="23">
        <v>40556</v>
      </c>
      <c r="C281" s="10">
        <v>1</v>
      </c>
      <c r="D281" s="10">
        <v>0</v>
      </c>
      <c r="E281" s="10">
        <v>1</v>
      </c>
      <c r="F281" s="10">
        <v>2</v>
      </c>
      <c r="G281" s="10" t="b">
        <v>0</v>
      </c>
      <c r="H281" s="10">
        <v>4</v>
      </c>
      <c r="I281" s="10" t="str">
        <f>IF(OR(Cleaned_datasetB[[#This Row],[Day_Code]]=0,Cleaned_datasetB[[#This Row],[Day_Code]]=6),"Weekend","Weekday")</f>
        <v>Weekday</v>
      </c>
      <c r="J281" s="10">
        <v>1</v>
      </c>
      <c r="K281" s="10">
        <v>0.14000000000000001</v>
      </c>
      <c r="L281" s="51">
        <v>0.1212</v>
      </c>
      <c r="M281" s="10">
        <v>0.5</v>
      </c>
      <c r="N281" s="10">
        <v>0.35820000000000002</v>
      </c>
      <c r="O281" s="10">
        <v>0</v>
      </c>
      <c r="P281" s="10">
        <v>2</v>
      </c>
      <c r="Q281" s="10">
        <v>2</v>
      </c>
      <c r="R281" s="10" t="str">
        <f>VLOOKUP(Cleaned_datasetB[[#This Row],[Weather_Code]],Lookup_Tables!$E$9:$F$13,2,FALSE)</f>
        <v>Clear</v>
      </c>
      <c r="S281" s="10" t="str">
        <f>INDEX(Lookup_Tables!$I$10:$I$16,MATCH(Cleaned_datasetB[[#This Row],[Day_Code]],Lookup_Tables!$H$10:$H$16,0))</f>
        <v>Thursday</v>
      </c>
      <c r="T281" s="10" t="str">
        <f>VLOOKUP(Cleaned_datasetB[[#This Row],[Month]], Lookup_Tables!$K$8:$L$19, 2, FALSE)</f>
        <v>January</v>
      </c>
      <c r="U281" s="10" t="str">
        <f>IF(AND(Cleaned_datasetB[[#This Row],[Day_Type]]="Weekday",Cleaned_datasetB[[#This Row],[Is_Holiday]]=FALSE),"Working Day","Non-Working Day")</f>
        <v>Working Day</v>
      </c>
    </row>
    <row r="282" spans="1:21">
      <c r="A282" s="10">
        <v>281</v>
      </c>
      <c r="B282" s="23">
        <v>40556</v>
      </c>
      <c r="C282" s="10">
        <v>1</v>
      </c>
      <c r="D282" s="10">
        <v>0</v>
      </c>
      <c r="E282" s="10">
        <v>1</v>
      </c>
      <c r="F282" s="10">
        <v>3</v>
      </c>
      <c r="G282" s="10" t="b">
        <v>0</v>
      </c>
      <c r="H282" s="10">
        <v>4</v>
      </c>
      <c r="I282" s="10" t="str">
        <f>IF(OR(Cleaned_datasetB[[#This Row],[Day_Code]]=0,Cleaned_datasetB[[#This Row],[Day_Code]]=6),"Weekend","Weekday")</f>
        <v>Weekday</v>
      </c>
      <c r="J282" s="10">
        <v>1</v>
      </c>
      <c r="K282" s="10">
        <v>0.14000000000000001</v>
      </c>
      <c r="L282" s="51">
        <v>0.1212</v>
      </c>
      <c r="M282" s="10">
        <v>0.5</v>
      </c>
      <c r="N282" s="10">
        <v>0.32840000000000003</v>
      </c>
      <c r="O282" s="10">
        <v>0</v>
      </c>
      <c r="P282" s="10">
        <v>3</v>
      </c>
      <c r="Q282" s="10">
        <v>3</v>
      </c>
      <c r="R282" s="10" t="str">
        <f>VLOOKUP(Cleaned_datasetB[[#This Row],[Weather_Code]],Lookup_Tables!$E$9:$F$13,2,FALSE)</f>
        <v>Clear</v>
      </c>
      <c r="S282" s="10" t="str">
        <f>INDEX(Lookup_Tables!$I$10:$I$16,MATCH(Cleaned_datasetB[[#This Row],[Day_Code]],Lookup_Tables!$H$10:$H$16,0))</f>
        <v>Thursday</v>
      </c>
      <c r="T282" s="10" t="str">
        <f>VLOOKUP(Cleaned_datasetB[[#This Row],[Month]], Lookup_Tables!$K$8:$L$19, 2, FALSE)</f>
        <v>January</v>
      </c>
      <c r="U282" s="10" t="str">
        <f>IF(AND(Cleaned_datasetB[[#This Row],[Day_Type]]="Weekday",Cleaned_datasetB[[#This Row],[Is_Holiday]]=FALSE),"Working Day","Non-Working Day")</f>
        <v>Working Day</v>
      </c>
    </row>
    <row r="283" spans="1:21">
      <c r="A283" s="10">
        <v>282</v>
      </c>
      <c r="B283" s="23">
        <v>40556</v>
      </c>
      <c r="C283" s="10">
        <v>1</v>
      </c>
      <c r="D283" s="10">
        <v>0</v>
      </c>
      <c r="E283" s="10">
        <v>1</v>
      </c>
      <c r="F283" s="10">
        <v>4</v>
      </c>
      <c r="G283" s="10" t="b">
        <v>0</v>
      </c>
      <c r="H283" s="10">
        <v>4</v>
      </c>
      <c r="I283" s="10" t="str">
        <f>IF(OR(Cleaned_datasetB[[#This Row],[Day_Code]]=0,Cleaned_datasetB[[#This Row],[Day_Code]]=6),"Weekend","Weekday")</f>
        <v>Weekday</v>
      </c>
      <c r="J283" s="10">
        <v>1</v>
      </c>
      <c r="K283" s="10">
        <v>0.14000000000000001</v>
      </c>
      <c r="L283" s="51">
        <v>0.1212</v>
      </c>
      <c r="M283" s="10">
        <v>0.5</v>
      </c>
      <c r="N283" s="10">
        <v>0.25369999999999998</v>
      </c>
      <c r="O283" s="10">
        <v>0</v>
      </c>
      <c r="P283" s="10">
        <v>4</v>
      </c>
      <c r="Q283" s="10">
        <v>4</v>
      </c>
      <c r="R283" s="10" t="str">
        <f>VLOOKUP(Cleaned_datasetB[[#This Row],[Weather_Code]],Lookup_Tables!$E$9:$F$13,2,FALSE)</f>
        <v>Clear</v>
      </c>
      <c r="S283" s="10" t="str">
        <f>INDEX(Lookup_Tables!$I$10:$I$16,MATCH(Cleaned_datasetB[[#This Row],[Day_Code]],Lookup_Tables!$H$10:$H$16,0))</f>
        <v>Thursday</v>
      </c>
      <c r="T283" s="10" t="str">
        <f>VLOOKUP(Cleaned_datasetB[[#This Row],[Month]], Lookup_Tables!$K$8:$L$19, 2, FALSE)</f>
        <v>January</v>
      </c>
      <c r="U283" s="10" t="str">
        <f>IF(AND(Cleaned_datasetB[[#This Row],[Day_Type]]="Weekday",Cleaned_datasetB[[#This Row],[Is_Holiday]]=FALSE),"Working Day","Non-Working Day")</f>
        <v>Working Day</v>
      </c>
    </row>
    <row r="284" spans="1:21">
      <c r="A284" s="10">
        <v>283</v>
      </c>
      <c r="B284" s="23">
        <v>40556</v>
      </c>
      <c r="C284" s="10">
        <v>1</v>
      </c>
      <c r="D284" s="10">
        <v>0</v>
      </c>
      <c r="E284" s="10">
        <v>1</v>
      </c>
      <c r="F284" s="10">
        <v>5</v>
      </c>
      <c r="G284" s="10" t="b">
        <v>0</v>
      </c>
      <c r="H284" s="10">
        <v>4</v>
      </c>
      <c r="I284" s="10" t="str">
        <f>IF(OR(Cleaned_datasetB[[#This Row],[Day_Code]]=0,Cleaned_datasetB[[#This Row],[Day_Code]]=6),"Weekend","Weekday")</f>
        <v>Weekday</v>
      </c>
      <c r="J284" s="10">
        <v>1</v>
      </c>
      <c r="K284" s="10">
        <v>0.14000000000000001</v>
      </c>
      <c r="L284" s="51">
        <v>0.1212</v>
      </c>
      <c r="M284" s="10">
        <v>0.5</v>
      </c>
      <c r="N284" s="10">
        <v>0.29849999999999999</v>
      </c>
      <c r="O284" s="10">
        <v>0</v>
      </c>
      <c r="P284" s="10">
        <v>3</v>
      </c>
      <c r="Q284" s="10">
        <v>3</v>
      </c>
      <c r="R284" s="10" t="str">
        <f>VLOOKUP(Cleaned_datasetB[[#This Row],[Weather_Code]],Lookup_Tables!$E$9:$F$13,2,FALSE)</f>
        <v>Clear</v>
      </c>
      <c r="S284" s="10" t="str">
        <f>INDEX(Lookup_Tables!$I$10:$I$16,MATCH(Cleaned_datasetB[[#This Row],[Day_Code]],Lookup_Tables!$H$10:$H$16,0))</f>
        <v>Thursday</v>
      </c>
      <c r="T284" s="10" t="str">
        <f>VLOOKUP(Cleaned_datasetB[[#This Row],[Month]], Lookup_Tables!$K$8:$L$19, 2, FALSE)</f>
        <v>January</v>
      </c>
      <c r="U284" s="10" t="str">
        <f>IF(AND(Cleaned_datasetB[[#This Row],[Day_Type]]="Weekday",Cleaned_datasetB[[#This Row],[Is_Holiday]]=FALSE),"Working Day","Non-Working Day")</f>
        <v>Working Day</v>
      </c>
    </row>
    <row r="285" spans="1:21">
      <c r="A285" s="10">
        <v>284</v>
      </c>
      <c r="B285" s="23">
        <v>40556</v>
      </c>
      <c r="C285" s="10">
        <v>1</v>
      </c>
      <c r="D285" s="10">
        <v>0</v>
      </c>
      <c r="E285" s="10">
        <v>1</v>
      </c>
      <c r="F285" s="10">
        <v>6</v>
      </c>
      <c r="G285" s="10" t="b">
        <v>0</v>
      </c>
      <c r="H285" s="10">
        <v>4</v>
      </c>
      <c r="I285" s="10" t="str">
        <f>IF(OR(Cleaned_datasetB[[#This Row],[Day_Code]]=0,Cleaned_datasetB[[#This Row],[Day_Code]]=6),"Weekend","Weekday")</f>
        <v>Weekday</v>
      </c>
      <c r="J285" s="10">
        <v>1</v>
      </c>
      <c r="K285" s="10">
        <v>0.12</v>
      </c>
      <c r="L285" s="51">
        <v>0.1515</v>
      </c>
      <c r="M285" s="10">
        <v>0.54</v>
      </c>
      <c r="N285" s="10">
        <v>0.1343</v>
      </c>
      <c r="O285" s="10">
        <v>0</v>
      </c>
      <c r="P285" s="10">
        <v>28</v>
      </c>
      <c r="Q285" s="10">
        <v>28</v>
      </c>
      <c r="R285" s="10" t="str">
        <f>VLOOKUP(Cleaned_datasetB[[#This Row],[Weather_Code]],Lookup_Tables!$E$9:$F$13,2,FALSE)</f>
        <v>Clear</v>
      </c>
      <c r="S285" s="10" t="str">
        <f>INDEX(Lookup_Tables!$I$10:$I$16,MATCH(Cleaned_datasetB[[#This Row],[Day_Code]],Lookup_Tables!$H$10:$H$16,0))</f>
        <v>Thursday</v>
      </c>
      <c r="T285" s="10" t="str">
        <f>VLOOKUP(Cleaned_datasetB[[#This Row],[Month]], Lookup_Tables!$K$8:$L$19, 2, FALSE)</f>
        <v>January</v>
      </c>
      <c r="U285" s="10" t="str">
        <f>IF(AND(Cleaned_datasetB[[#This Row],[Day_Type]]="Weekday",Cleaned_datasetB[[#This Row],[Is_Holiday]]=FALSE),"Working Day","Non-Working Day")</f>
        <v>Working Day</v>
      </c>
    </row>
    <row r="286" spans="1:21">
      <c r="A286" s="10">
        <v>285</v>
      </c>
      <c r="B286" s="23">
        <v>40556</v>
      </c>
      <c r="C286" s="10">
        <v>1</v>
      </c>
      <c r="D286" s="10">
        <v>0</v>
      </c>
      <c r="E286" s="10">
        <v>1</v>
      </c>
      <c r="F286" s="10">
        <v>7</v>
      </c>
      <c r="G286" s="10" t="b">
        <v>0</v>
      </c>
      <c r="H286" s="10">
        <v>4</v>
      </c>
      <c r="I286" s="10" t="str">
        <f>IF(OR(Cleaned_datasetB[[#This Row],[Day_Code]]=0,Cleaned_datasetB[[#This Row],[Day_Code]]=6),"Weekend","Weekday")</f>
        <v>Weekday</v>
      </c>
      <c r="J286" s="10">
        <v>1</v>
      </c>
      <c r="K286" s="10">
        <v>0.12</v>
      </c>
      <c r="L286" s="51">
        <v>0.1515</v>
      </c>
      <c r="M286" s="10">
        <v>0.54</v>
      </c>
      <c r="N286" s="10">
        <v>0.1343</v>
      </c>
      <c r="O286" s="10">
        <v>0</v>
      </c>
      <c r="P286" s="10">
        <v>72</v>
      </c>
      <c r="Q286" s="10">
        <v>72</v>
      </c>
      <c r="R286" s="10" t="str">
        <f>VLOOKUP(Cleaned_datasetB[[#This Row],[Weather_Code]],Lookup_Tables!$E$9:$F$13,2,FALSE)</f>
        <v>Clear</v>
      </c>
      <c r="S286" s="10" t="str">
        <f>INDEX(Lookup_Tables!$I$10:$I$16,MATCH(Cleaned_datasetB[[#This Row],[Day_Code]],Lookup_Tables!$H$10:$H$16,0))</f>
        <v>Thursday</v>
      </c>
      <c r="T286" s="10" t="str">
        <f>VLOOKUP(Cleaned_datasetB[[#This Row],[Month]], Lookup_Tables!$K$8:$L$19, 2, FALSE)</f>
        <v>January</v>
      </c>
      <c r="U286" s="10" t="str">
        <f>IF(AND(Cleaned_datasetB[[#This Row],[Day_Type]]="Weekday",Cleaned_datasetB[[#This Row],[Is_Holiday]]=FALSE),"Working Day","Non-Working Day")</f>
        <v>Working Day</v>
      </c>
    </row>
    <row r="287" spans="1:21">
      <c r="A287" s="10">
        <v>286</v>
      </c>
      <c r="B287" s="23">
        <v>40556</v>
      </c>
      <c r="C287" s="10">
        <v>1</v>
      </c>
      <c r="D287" s="10">
        <v>0</v>
      </c>
      <c r="E287" s="10">
        <v>1</v>
      </c>
      <c r="F287" s="10">
        <v>8</v>
      </c>
      <c r="G287" s="10" t="b">
        <v>0</v>
      </c>
      <c r="H287" s="10">
        <v>4</v>
      </c>
      <c r="I287" s="10" t="str">
        <f>IF(OR(Cleaned_datasetB[[#This Row],[Day_Code]]=0,Cleaned_datasetB[[#This Row],[Day_Code]]=6),"Weekend","Weekday")</f>
        <v>Weekday</v>
      </c>
      <c r="J287" s="10">
        <v>1</v>
      </c>
      <c r="K287" s="10">
        <v>0.14000000000000001</v>
      </c>
      <c r="L287" s="51">
        <v>0.13639999999999999</v>
      </c>
      <c r="M287" s="10">
        <v>0.5</v>
      </c>
      <c r="N287" s="10">
        <v>0.19400000000000001</v>
      </c>
      <c r="O287" s="10">
        <v>5</v>
      </c>
      <c r="P287" s="10">
        <v>197</v>
      </c>
      <c r="Q287" s="10">
        <v>202</v>
      </c>
      <c r="R287" s="10" t="str">
        <f>VLOOKUP(Cleaned_datasetB[[#This Row],[Weather_Code]],Lookup_Tables!$E$9:$F$13,2,FALSE)</f>
        <v>Clear</v>
      </c>
      <c r="S287" s="10" t="str">
        <f>INDEX(Lookup_Tables!$I$10:$I$16,MATCH(Cleaned_datasetB[[#This Row],[Day_Code]],Lookup_Tables!$H$10:$H$16,0))</f>
        <v>Thursday</v>
      </c>
      <c r="T287" s="10" t="str">
        <f>VLOOKUP(Cleaned_datasetB[[#This Row],[Month]], Lookup_Tables!$K$8:$L$19, 2, FALSE)</f>
        <v>January</v>
      </c>
      <c r="U287" s="10" t="str">
        <f>IF(AND(Cleaned_datasetB[[#This Row],[Day_Type]]="Weekday",Cleaned_datasetB[[#This Row],[Is_Holiday]]=FALSE),"Working Day","Non-Working Day")</f>
        <v>Working Day</v>
      </c>
    </row>
    <row r="288" spans="1:21">
      <c r="A288" s="10">
        <v>287</v>
      </c>
      <c r="B288" s="23">
        <v>40556</v>
      </c>
      <c r="C288" s="10">
        <v>1</v>
      </c>
      <c r="D288" s="10">
        <v>0</v>
      </c>
      <c r="E288" s="10">
        <v>1</v>
      </c>
      <c r="F288" s="10">
        <v>9</v>
      </c>
      <c r="G288" s="10" t="b">
        <v>0</v>
      </c>
      <c r="H288" s="10">
        <v>4</v>
      </c>
      <c r="I288" s="10" t="str">
        <f>IF(OR(Cleaned_datasetB[[#This Row],[Day_Code]]=0,Cleaned_datasetB[[#This Row],[Day_Code]]=6),"Weekend","Weekday")</f>
        <v>Weekday</v>
      </c>
      <c r="J288" s="10">
        <v>1</v>
      </c>
      <c r="K288" s="10">
        <v>0.14000000000000001</v>
      </c>
      <c r="L288" s="51">
        <v>0.1212</v>
      </c>
      <c r="M288" s="10">
        <v>0.5</v>
      </c>
      <c r="N288" s="10">
        <v>0.32840000000000003</v>
      </c>
      <c r="O288" s="10">
        <v>2</v>
      </c>
      <c r="P288" s="10">
        <v>137</v>
      </c>
      <c r="Q288" s="10">
        <v>139</v>
      </c>
      <c r="R288" s="10" t="str">
        <f>VLOOKUP(Cleaned_datasetB[[#This Row],[Weather_Code]],Lookup_Tables!$E$9:$F$13,2,FALSE)</f>
        <v>Clear</v>
      </c>
      <c r="S288" s="10" t="str">
        <f>INDEX(Lookup_Tables!$I$10:$I$16,MATCH(Cleaned_datasetB[[#This Row],[Day_Code]],Lookup_Tables!$H$10:$H$16,0))</f>
        <v>Thursday</v>
      </c>
      <c r="T288" s="10" t="str">
        <f>VLOOKUP(Cleaned_datasetB[[#This Row],[Month]], Lookup_Tables!$K$8:$L$19, 2, FALSE)</f>
        <v>January</v>
      </c>
      <c r="U288" s="10" t="str">
        <f>IF(AND(Cleaned_datasetB[[#This Row],[Day_Type]]="Weekday",Cleaned_datasetB[[#This Row],[Is_Holiday]]=FALSE),"Working Day","Non-Working Day")</f>
        <v>Working Day</v>
      </c>
    </row>
    <row r="289" spans="1:21">
      <c r="A289" s="10">
        <v>288</v>
      </c>
      <c r="B289" s="23">
        <v>40556</v>
      </c>
      <c r="C289" s="10">
        <v>1</v>
      </c>
      <c r="D289" s="10">
        <v>0</v>
      </c>
      <c r="E289" s="10">
        <v>1</v>
      </c>
      <c r="F289" s="10">
        <v>10</v>
      </c>
      <c r="G289" s="10" t="b">
        <v>0</v>
      </c>
      <c r="H289" s="10">
        <v>4</v>
      </c>
      <c r="I289" s="10" t="str">
        <f>IF(OR(Cleaned_datasetB[[#This Row],[Day_Code]]=0,Cleaned_datasetB[[#This Row],[Day_Code]]=6),"Weekend","Weekday")</f>
        <v>Weekday</v>
      </c>
      <c r="J289" s="10">
        <v>2</v>
      </c>
      <c r="K289" s="10">
        <v>0.16</v>
      </c>
      <c r="L289" s="51">
        <v>0.13639999999999999</v>
      </c>
      <c r="M289" s="10">
        <v>0.5</v>
      </c>
      <c r="N289" s="10">
        <v>0.35820000000000002</v>
      </c>
      <c r="O289" s="10">
        <v>2</v>
      </c>
      <c r="P289" s="10">
        <v>36</v>
      </c>
      <c r="Q289" s="10">
        <v>38</v>
      </c>
      <c r="R289" s="10" t="str">
        <f>VLOOKUP(Cleaned_datasetB[[#This Row],[Weather_Code]],Lookup_Tables!$E$9:$F$13,2,FALSE)</f>
        <v>Cloudy</v>
      </c>
      <c r="S289" s="10" t="str">
        <f>INDEX(Lookup_Tables!$I$10:$I$16,MATCH(Cleaned_datasetB[[#This Row],[Day_Code]],Lookup_Tables!$H$10:$H$16,0))</f>
        <v>Thursday</v>
      </c>
      <c r="T289" s="10" t="str">
        <f>VLOOKUP(Cleaned_datasetB[[#This Row],[Month]], Lookup_Tables!$K$8:$L$19, 2, FALSE)</f>
        <v>January</v>
      </c>
      <c r="U289" s="10" t="str">
        <f>IF(AND(Cleaned_datasetB[[#This Row],[Day_Type]]="Weekday",Cleaned_datasetB[[#This Row],[Is_Holiday]]=FALSE),"Working Day","Non-Working Day")</f>
        <v>Working Day</v>
      </c>
    </row>
    <row r="290" spans="1:21">
      <c r="A290" s="10">
        <v>289</v>
      </c>
      <c r="B290" s="23">
        <v>40556</v>
      </c>
      <c r="C290" s="10">
        <v>1</v>
      </c>
      <c r="D290" s="10">
        <v>0</v>
      </c>
      <c r="E290" s="10">
        <v>1</v>
      </c>
      <c r="F290" s="10">
        <v>11</v>
      </c>
      <c r="G290" s="10" t="b">
        <v>0</v>
      </c>
      <c r="H290" s="10">
        <v>4</v>
      </c>
      <c r="I290" s="10" t="str">
        <f>IF(OR(Cleaned_datasetB[[#This Row],[Day_Code]]=0,Cleaned_datasetB[[#This Row],[Day_Code]]=6),"Weekend","Weekday")</f>
        <v>Weekday</v>
      </c>
      <c r="J290" s="10">
        <v>2</v>
      </c>
      <c r="K290" s="10">
        <v>0.2</v>
      </c>
      <c r="L290" s="51">
        <v>0.16669999999999999</v>
      </c>
      <c r="M290" s="10">
        <v>0.44</v>
      </c>
      <c r="N290" s="10">
        <v>0.44779999999999998</v>
      </c>
      <c r="O290" s="10">
        <v>4</v>
      </c>
      <c r="P290" s="10">
        <v>33</v>
      </c>
      <c r="Q290" s="10">
        <v>37</v>
      </c>
      <c r="R290" s="10" t="str">
        <f>VLOOKUP(Cleaned_datasetB[[#This Row],[Weather_Code]],Lookup_Tables!$E$9:$F$13,2,FALSE)</f>
        <v>Cloudy</v>
      </c>
      <c r="S290" s="10" t="str">
        <f>INDEX(Lookup_Tables!$I$10:$I$16,MATCH(Cleaned_datasetB[[#This Row],[Day_Code]],Lookup_Tables!$H$10:$H$16,0))</f>
        <v>Thursday</v>
      </c>
      <c r="T290" s="10" t="str">
        <f>VLOOKUP(Cleaned_datasetB[[#This Row],[Month]], Lookup_Tables!$K$8:$L$19, 2, FALSE)</f>
        <v>January</v>
      </c>
      <c r="U290" s="10" t="str">
        <f>IF(AND(Cleaned_datasetB[[#This Row],[Day_Type]]="Weekday",Cleaned_datasetB[[#This Row],[Is_Holiday]]=FALSE),"Working Day","Non-Working Day")</f>
        <v>Working Day</v>
      </c>
    </row>
    <row r="291" spans="1:21">
      <c r="A291" s="10">
        <v>290</v>
      </c>
      <c r="B291" s="23">
        <v>40556</v>
      </c>
      <c r="C291" s="10">
        <v>1</v>
      </c>
      <c r="D291" s="10">
        <v>0</v>
      </c>
      <c r="E291" s="10">
        <v>1</v>
      </c>
      <c r="F291" s="10">
        <v>12</v>
      </c>
      <c r="G291" s="10" t="b">
        <v>0</v>
      </c>
      <c r="H291" s="10">
        <v>4</v>
      </c>
      <c r="I291" s="10" t="str">
        <f>IF(OR(Cleaned_datasetB[[#This Row],[Day_Code]]=0,Cleaned_datasetB[[#This Row],[Day_Code]]=6),"Weekend","Weekday")</f>
        <v>Weekday</v>
      </c>
      <c r="J291" s="10">
        <v>1</v>
      </c>
      <c r="K291" s="10">
        <v>0.2</v>
      </c>
      <c r="L291" s="51">
        <v>0.16669999999999999</v>
      </c>
      <c r="M291" s="10">
        <v>0.44</v>
      </c>
      <c r="N291" s="10">
        <v>0.41789999999999999</v>
      </c>
      <c r="O291" s="10">
        <v>3</v>
      </c>
      <c r="P291" s="10">
        <v>49</v>
      </c>
      <c r="Q291" s="10">
        <v>52</v>
      </c>
      <c r="R291" s="10" t="str">
        <f>VLOOKUP(Cleaned_datasetB[[#This Row],[Weather_Code]],Lookup_Tables!$E$9:$F$13,2,FALSE)</f>
        <v>Clear</v>
      </c>
      <c r="S291" s="10" t="str">
        <f>INDEX(Lookup_Tables!$I$10:$I$16,MATCH(Cleaned_datasetB[[#This Row],[Day_Code]],Lookup_Tables!$H$10:$H$16,0))</f>
        <v>Thursday</v>
      </c>
      <c r="T291" s="10" t="str">
        <f>VLOOKUP(Cleaned_datasetB[[#This Row],[Month]], Lookup_Tables!$K$8:$L$19, 2, FALSE)</f>
        <v>January</v>
      </c>
      <c r="U291" s="10" t="str">
        <f>IF(AND(Cleaned_datasetB[[#This Row],[Day_Type]]="Weekday",Cleaned_datasetB[[#This Row],[Is_Holiday]]=FALSE),"Working Day","Non-Working Day")</f>
        <v>Working Day</v>
      </c>
    </row>
    <row r="292" spans="1:21">
      <c r="A292" s="10">
        <v>291</v>
      </c>
      <c r="B292" s="23">
        <v>40556</v>
      </c>
      <c r="C292" s="10">
        <v>1</v>
      </c>
      <c r="D292" s="10">
        <v>0</v>
      </c>
      <c r="E292" s="10">
        <v>1</v>
      </c>
      <c r="F292" s="10">
        <v>13</v>
      </c>
      <c r="G292" s="10" t="b">
        <v>0</v>
      </c>
      <c r="H292" s="10">
        <v>4</v>
      </c>
      <c r="I292" s="10" t="str">
        <f>IF(OR(Cleaned_datasetB[[#This Row],[Day_Code]]=0,Cleaned_datasetB[[#This Row],[Day_Code]]=6),"Weekend","Weekday")</f>
        <v>Weekday</v>
      </c>
      <c r="J292" s="10">
        <v>1</v>
      </c>
      <c r="K292" s="10">
        <v>0.22</v>
      </c>
      <c r="L292" s="51">
        <v>0.19700000000000001</v>
      </c>
      <c r="M292" s="10">
        <v>0.41</v>
      </c>
      <c r="N292" s="10">
        <v>0.44779999999999998</v>
      </c>
      <c r="O292" s="10">
        <v>2</v>
      </c>
      <c r="P292" s="10">
        <v>81</v>
      </c>
      <c r="Q292" s="10">
        <v>83</v>
      </c>
      <c r="R292" s="10" t="str">
        <f>VLOOKUP(Cleaned_datasetB[[#This Row],[Weather_Code]],Lookup_Tables!$E$9:$F$13,2,FALSE)</f>
        <v>Clear</v>
      </c>
      <c r="S292" s="10" t="str">
        <f>INDEX(Lookup_Tables!$I$10:$I$16,MATCH(Cleaned_datasetB[[#This Row],[Day_Code]],Lookup_Tables!$H$10:$H$16,0))</f>
        <v>Thursday</v>
      </c>
      <c r="T292" s="10" t="str">
        <f>VLOOKUP(Cleaned_datasetB[[#This Row],[Month]], Lookup_Tables!$K$8:$L$19, 2, FALSE)</f>
        <v>January</v>
      </c>
      <c r="U292" s="10" t="str">
        <f>IF(AND(Cleaned_datasetB[[#This Row],[Day_Type]]="Weekday",Cleaned_datasetB[[#This Row],[Is_Holiday]]=FALSE),"Working Day","Non-Working Day")</f>
        <v>Working Day</v>
      </c>
    </row>
    <row r="293" spans="1:21">
      <c r="A293" s="10">
        <v>292</v>
      </c>
      <c r="B293" s="23">
        <v>40556</v>
      </c>
      <c r="C293" s="10">
        <v>1</v>
      </c>
      <c r="D293" s="10">
        <v>0</v>
      </c>
      <c r="E293" s="10">
        <v>1</v>
      </c>
      <c r="F293" s="10">
        <v>14</v>
      </c>
      <c r="G293" s="10" t="b">
        <v>0</v>
      </c>
      <c r="H293" s="10">
        <v>4</v>
      </c>
      <c r="I293" s="10" t="str">
        <f>IF(OR(Cleaned_datasetB[[#This Row],[Day_Code]]=0,Cleaned_datasetB[[#This Row],[Day_Code]]=6),"Weekend","Weekday")</f>
        <v>Weekday</v>
      </c>
      <c r="J293" s="10">
        <v>1</v>
      </c>
      <c r="K293" s="10">
        <v>0.22</v>
      </c>
      <c r="L293" s="51">
        <v>0.19700000000000001</v>
      </c>
      <c r="M293" s="10">
        <v>0.41</v>
      </c>
      <c r="N293" s="10">
        <v>0.3881</v>
      </c>
      <c r="O293" s="10">
        <v>3</v>
      </c>
      <c r="P293" s="10">
        <v>39</v>
      </c>
      <c r="Q293" s="10">
        <v>42</v>
      </c>
      <c r="R293" s="10" t="str">
        <f>VLOOKUP(Cleaned_datasetB[[#This Row],[Weather_Code]],Lookup_Tables!$E$9:$F$13,2,FALSE)</f>
        <v>Clear</v>
      </c>
      <c r="S293" s="10" t="str">
        <f>INDEX(Lookup_Tables!$I$10:$I$16,MATCH(Cleaned_datasetB[[#This Row],[Day_Code]],Lookup_Tables!$H$10:$H$16,0))</f>
        <v>Thursday</v>
      </c>
      <c r="T293" s="10" t="str">
        <f>VLOOKUP(Cleaned_datasetB[[#This Row],[Month]], Lookup_Tables!$K$8:$L$19, 2, FALSE)</f>
        <v>January</v>
      </c>
      <c r="U293" s="10" t="str">
        <f>IF(AND(Cleaned_datasetB[[#This Row],[Day_Type]]="Weekday",Cleaned_datasetB[[#This Row],[Is_Holiday]]=FALSE),"Working Day","Non-Working Day")</f>
        <v>Working Day</v>
      </c>
    </row>
    <row r="294" spans="1:21">
      <c r="A294" s="10">
        <v>293</v>
      </c>
      <c r="B294" s="23">
        <v>40556</v>
      </c>
      <c r="C294" s="10">
        <v>1</v>
      </c>
      <c r="D294" s="10">
        <v>0</v>
      </c>
      <c r="E294" s="10">
        <v>1</v>
      </c>
      <c r="F294" s="10">
        <v>15</v>
      </c>
      <c r="G294" s="10" t="b">
        <v>0</v>
      </c>
      <c r="H294" s="10">
        <v>4</v>
      </c>
      <c r="I294" s="10" t="str">
        <f>IF(OR(Cleaned_datasetB[[#This Row],[Day_Code]]=0,Cleaned_datasetB[[#This Row],[Day_Code]]=6),"Weekend","Weekday")</f>
        <v>Weekday</v>
      </c>
      <c r="J294" s="10">
        <v>1</v>
      </c>
      <c r="K294" s="10">
        <v>0.24</v>
      </c>
      <c r="L294" s="51">
        <v>0.21210000000000001</v>
      </c>
      <c r="M294" s="10">
        <v>0.38</v>
      </c>
      <c r="N294" s="10">
        <v>0.29849999999999999</v>
      </c>
      <c r="O294" s="10">
        <v>5</v>
      </c>
      <c r="P294" s="10">
        <v>55</v>
      </c>
      <c r="Q294" s="10">
        <v>60</v>
      </c>
      <c r="R294" s="10" t="str">
        <f>VLOOKUP(Cleaned_datasetB[[#This Row],[Weather_Code]],Lookup_Tables!$E$9:$F$13,2,FALSE)</f>
        <v>Clear</v>
      </c>
      <c r="S294" s="10" t="str">
        <f>INDEX(Lookup_Tables!$I$10:$I$16,MATCH(Cleaned_datasetB[[#This Row],[Day_Code]],Lookup_Tables!$H$10:$H$16,0))</f>
        <v>Thursday</v>
      </c>
      <c r="T294" s="10" t="str">
        <f>VLOOKUP(Cleaned_datasetB[[#This Row],[Month]], Lookup_Tables!$K$8:$L$19, 2, FALSE)</f>
        <v>January</v>
      </c>
      <c r="U294" s="10" t="str">
        <f>IF(AND(Cleaned_datasetB[[#This Row],[Day_Type]]="Weekday",Cleaned_datasetB[[#This Row],[Is_Holiday]]=FALSE),"Working Day","Non-Working Day")</f>
        <v>Working Day</v>
      </c>
    </row>
    <row r="295" spans="1:21">
      <c r="A295" s="10">
        <v>294</v>
      </c>
      <c r="B295" s="23">
        <v>40556</v>
      </c>
      <c r="C295" s="10">
        <v>1</v>
      </c>
      <c r="D295" s="10">
        <v>0</v>
      </c>
      <c r="E295" s="10">
        <v>1</v>
      </c>
      <c r="F295" s="10">
        <v>16</v>
      </c>
      <c r="G295" s="10" t="b">
        <v>0</v>
      </c>
      <c r="H295" s="10">
        <v>4</v>
      </c>
      <c r="I295" s="10" t="str">
        <f>IF(OR(Cleaned_datasetB[[#This Row],[Day_Code]]=0,Cleaned_datasetB[[#This Row],[Day_Code]]=6),"Weekend","Weekday")</f>
        <v>Weekday</v>
      </c>
      <c r="J295" s="10">
        <v>1</v>
      </c>
      <c r="K295" s="10">
        <v>0.24</v>
      </c>
      <c r="L295" s="51">
        <v>0.21210000000000001</v>
      </c>
      <c r="M295" s="10">
        <v>0.38</v>
      </c>
      <c r="N295" s="10">
        <v>0.35820000000000002</v>
      </c>
      <c r="O295" s="10">
        <v>2</v>
      </c>
      <c r="P295" s="10">
        <v>76</v>
      </c>
      <c r="Q295" s="10">
        <v>78</v>
      </c>
      <c r="R295" s="10" t="str">
        <f>VLOOKUP(Cleaned_datasetB[[#This Row],[Weather_Code]],Lookup_Tables!$E$9:$F$13,2,FALSE)</f>
        <v>Clear</v>
      </c>
      <c r="S295" s="10" t="str">
        <f>INDEX(Lookup_Tables!$I$10:$I$16,MATCH(Cleaned_datasetB[[#This Row],[Day_Code]],Lookup_Tables!$H$10:$H$16,0))</f>
        <v>Thursday</v>
      </c>
      <c r="T295" s="10" t="str">
        <f>VLOOKUP(Cleaned_datasetB[[#This Row],[Month]], Lookup_Tables!$K$8:$L$19, 2, FALSE)</f>
        <v>January</v>
      </c>
      <c r="U295" s="10" t="str">
        <f>IF(AND(Cleaned_datasetB[[#This Row],[Day_Type]]="Weekday",Cleaned_datasetB[[#This Row],[Is_Holiday]]=FALSE),"Working Day","Non-Working Day")</f>
        <v>Working Day</v>
      </c>
    </row>
    <row r="296" spans="1:21">
      <c r="A296" s="10">
        <v>295</v>
      </c>
      <c r="B296" s="23">
        <v>40556</v>
      </c>
      <c r="C296" s="10">
        <v>1</v>
      </c>
      <c r="D296" s="10">
        <v>0</v>
      </c>
      <c r="E296" s="10">
        <v>1</v>
      </c>
      <c r="F296" s="10">
        <v>17</v>
      </c>
      <c r="G296" s="10" t="b">
        <v>0</v>
      </c>
      <c r="H296" s="10">
        <v>4</v>
      </c>
      <c r="I296" s="10" t="str">
        <f>IF(OR(Cleaned_datasetB[[#This Row],[Day_Code]]=0,Cleaned_datasetB[[#This Row],[Day_Code]]=6),"Weekend","Weekday")</f>
        <v>Weekday</v>
      </c>
      <c r="J296" s="10">
        <v>1</v>
      </c>
      <c r="K296" s="10">
        <v>0.2</v>
      </c>
      <c r="L296" s="51">
        <v>0.18179999999999999</v>
      </c>
      <c r="M296" s="10">
        <v>0.4</v>
      </c>
      <c r="N296" s="10">
        <v>0.28360000000000002</v>
      </c>
      <c r="O296" s="10">
        <v>4</v>
      </c>
      <c r="P296" s="10">
        <v>158</v>
      </c>
      <c r="Q296" s="10">
        <v>162</v>
      </c>
      <c r="R296" s="10" t="str">
        <f>VLOOKUP(Cleaned_datasetB[[#This Row],[Weather_Code]],Lookup_Tables!$E$9:$F$13,2,FALSE)</f>
        <v>Clear</v>
      </c>
      <c r="S296" s="10" t="str">
        <f>INDEX(Lookup_Tables!$I$10:$I$16,MATCH(Cleaned_datasetB[[#This Row],[Day_Code]],Lookup_Tables!$H$10:$H$16,0))</f>
        <v>Thursday</v>
      </c>
      <c r="T296" s="10" t="str">
        <f>VLOOKUP(Cleaned_datasetB[[#This Row],[Month]], Lookup_Tables!$K$8:$L$19, 2, FALSE)</f>
        <v>January</v>
      </c>
      <c r="U296" s="10" t="str">
        <f>IF(AND(Cleaned_datasetB[[#This Row],[Day_Type]]="Weekday",Cleaned_datasetB[[#This Row],[Is_Holiday]]=FALSE),"Working Day","Non-Working Day")</f>
        <v>Working Day</v>
      </c>
    </row>
    <row r="297" spans="1:21">
      <c r="A297" s="10">
        <v>296</v>
      </c>
      <c r="B297" s="23">
        <v>40556</v>
      </c>
      <c r="C297" s="10">
        <v>1</v>
      </c>
      <c r="D297" s="10">
        <v>0</v>
      </c>
      <c r="E297" s="10">
        <v>1</v>
      </c>
      <c r="F297" s="10">
        <v>18</v>
      </c>
      <c r="G297" s="10" t="b">
        <v>0</v>
      </c>
      <c r="H297" s="10">
        <v>4</v>
      </c>
      <c r="I297" s="10" t="str">
        <f>IF(OR(Cleaned_datasetB[[#This Row],[Day_Code]]=0,Cleaned_datasetB[[#This Row],[Day_Code]]=6),"Weekend","Weekday")</f>
        <v>Weekday</v>
      </c>
      <c r="J297" s="10">
        <v>1</v>
      </c>
      <c r="K297" s="10">
        <v>0.2</v>
      </c>
      <c r="L297" s="51">
        <v>0.18179999999999999</v>
      </c>
      <c r="M297" s="10">
        <v>0.4</v>
      </c>
      <c r="N297" s="10">
        <v>0.32840000000000003</v>
      </c>
      <c r="O297" s="10">
        <v>3</v>
      </c>
      <c r="P297" s="10">
        <v>141</v>
      </c>
      <c r="Q297" s="10">
        <v>144</v>
      </c>
      <c r="R297" s="10" t="str">
        <f>VLOOKUP(Cleaned_datasetB[[#This Row],[Weather_Code]],Lookup_Tables!$E$9:$F$13,2,FALSE)</f>
        <v>Clear</v>
      </c>
      <c r="S297" s="10" t="str">
        <f>INDEX(Lookup_Tables!$I$10:$I$16,MATCH(Cleaned_datasetB[[#This Row],[Day_Code]],Lookup_Tables!$H$10:$H$16,0))</f>
        <v>Thursday</v>
      </c>
      <c r="T297" s="10" t="str">
        <f>VLOOKUP(Cleaned_datasetB[[#This Row],[Month]], Lookup_Tables!$K$8:$L$19, 2, FALSE)</f>
        <v>January</v>
      </c>
      <c r="U297" s="10" t="str">
        <f>IF(AND(Cleaned_datasetB[[#This Row],[Day_Type]]="Weekday",Cleaned_datasetB[[#This Row],[Is_Holiday]]=FALSE),"Working Day","Non-Working Day")</f>
        <v>Working Day</v>
      </c>
    </row>
    <row r="298" spans="1:21">
      <c r="A298" s="10">
        <v>297</v>
      </c>
      <c r="B298" s="23">
        <v>40556</v>
      </c>
      <c r="C298" s="10">
        <v>1</v>
      </c>
      <c r="D298" s="10">
        <v>0</v>
      </c>
      <c r="E298" s="10">
        <v>1</v>
      </c>
      <c r="F298" s="10">
        <v>19</v>
      </c>
      <c r="G298" s="10" t="b">
        <v>0</v>
      </c>
      <c r="H298" s="10">
        <v>4</v>
      </c>
      <c r="I298" s="10" t="str">
        <f>IF(OR(Cleaned_datasetB[[#This Row],[Day_Code]]=0,Cleaned_datasetB[[#This Row],[Day_Code]]=6),"Weekend","Weekday")</f>
        <v>Weekday</v>
      </c>
      <c r="J298" s="10">
        <v>1</v>
      </c>
      <c r="K298" s="10">
        <v>0.16</v>
      </c>
      <c r="L298" s="51">
        <v>0.1515</v>
      </c>
      <c r="M298" s="10">
        <v>0.47</v>
      </c>
      <c r="N298" s="10">
        <v>0.25369999999999998</v>
      </c>
      <c r="O298" s="10">
        <v>1</v>
      </c>
      <c r="P298" s="10">
        <v>98</v>
      </c>
      <c r="Q298" s="10">
        <v>99</v>
      </c>
      <c r="R298" s="10" t="str">
        <f>VLOOKUP(Cleaned_datasetB[[#This Row],[Weather_Code]],Lookup_Tables!$E$9:$F$13,2,FALSE)</f>
        <v>Clear</v>
      </c>
      <c r="S298" s="10" t="str">
        <f>INDEX(Lookup_Tables!$I$10:$I$16,MATCH(Cleaned_datasetB[[#This Row],[Day_Code]],Lookup_Tables!$H$10:$H$16,0))</f>
        <v>Thursday</v>
      </c>
      <c r="T298" s="10" t="str">
        <f>VLOOKUP(Cleaned_datasetB[[#This Row],[Month]], Lookup_Tables!$K$8:$L$19, 2, FALSE)</f>
        <v>January</v>
      </c>
      <c r="U298" s="10" t="str">
        <f>IF(AND(Cleaned_datasetB[[#This Row],[Day_Type]]="Weekday",Cleaned_datasetB[[#This Row],[Is_Holiday]]=FALSE),"Working Day","Non-Working Day")</f>
        <v>Working Day</v>
      </c>
    </row>
    <row r="299" spans="1:21">
      <c r="A299" s="10">
        <v>298</v>
      </c>
      <c r="B299" s="23">
        <v>40556</v>
      </c>
      <c r="C299" s="10">
        <v>1</v>
      </c>
      <c r="D299" s="10">
        <v>0</v>
      </c>
      <c r="E299" s="10">
        <v>1</v>
      </c>
      <c r="F299" s="10">
        <v>20</v>
      </c>
      <c r="G299" s="10" t="b">
        <v>0</v>
      </c>
      <c r="H299" s="10">
        <v>4</v>
      </c>
      <c r="I299" s="10" t="str">
        <f>IF(OR(Cleaned_datasetB[[#This Row],[Day_Code]]=0,Cleaned_datasetB[[#This Row],[Day_Code]]=6),"Weekend","Weekday")</f>
        <v>Weekday</v>
      </c>
      <c r="J299" s="10">
        <v>1</v>
      </c>
      <c r="K299" s="10">
        <v>0.16</v>
      </c>
      <c r="L299" s="51">
        <v>0.1515</v>
      </c>
      <c r="M299" s="10">
        <v>0.47</v>
      </c>
      <c r="N299" s="10">
        <v>0.22389999999999999</v>
      </c>
      <c r="O299" s="10">
        <v>0</v>
      </c>
      <c r="P299" s="10">
        <v>64</v>
      </c>
      <c r="Q299" s="10">
        <v>64</v>
      </c>
      <c r="R299" s="10" t="str">
        <f>VLOOKUP(Cleaned_datasetB[[#This Row],[Weather_Code]],Lookup_Tables!$E$9:$F$13,2,FALSE)</f>
        <v>Clear</v>
      </c>
      <c r="S299" s="10" t="str">
        <f>INDEX(Lookup_Tables!$I$10:$I$16,MATCH(Cleaned_datasetB[[#This Row],[Day_Code]],Lookup_Tables!$H$10:$H$16,0))</f>
        <v>Thursday</v>
      </c>
      <c r="T299" s="10" t="str">
        <f>VLOOKUP(Cleaned_datasetB[[#This Row],[Month]], Lookup_Tables!$K$8:$L$19, 2, FALSE)</f>
        <v>January</v>
      </c>
      <c r="U299" s="10" t="str">
        <f>IF(AND(Cleaned_datasetB[[#This Row],[Day_Type]]="Weekday",Cleaned_datasetB[[#This Row],[Is_Holiday]]=FALSE),"Working Day","Non-Working Day")</f>
        <v>Working Day</v>
      </c>
    </row>
    <row r="300" spans="1:21">
      <c r="A300" s="10">
        <v>299</v>
      </c>
      <c r="B300" s="23">
        <v>40556</v>
      </c>
      <c r="C300" s="10">
        <v>1</v>
      </c>
      <c r="D300" s="10">
        <v>0</v>
      </c>
      <c r="E300" s="10">
        <v>1</v>
      </c>
      <c r="F300" s="10">
        <v>21</v>
      </c>
      <c r="G300" s="10" t="b">
        <v>0</v>
      </c>
      <c r="H300" s="10">
        <v>4</v>
      </c>
      <c r="I300" s="10" t="str">
        <f>IF(OR(Cleaned_datasetB[[#This Row],[Day_Code]]=0,Cleaned_datasetB[[#This Row],[Day_Code]]=6),"Weekend","Weekday")</f>
        <v>Weekday</v>
      </c>
      <c r="J300" s="10">
        <v>1</v>
      </c>
      <c r="K300" s="10">
        <v>0.14000000000000001</v>
      </c>
      <c r="L300" s="51">
        <v>0.1212</v>
      </c>
      <c r="M300" s="10">
        <v>0.46</v>
      </c>
      <c r="N300" s="10">
        <v>0.29849999999999999</v>
      </c>
      <c r="O300" s="10">
        <v>0</v>
      </c>
      <c r="P300" s="10">
        <v>40</v>
      </c>
      <c r="Q300" s="10">
        <v>40</v>
      </c>
      <c r="R300" s="10" t="str">
        <f>VLOOKUP(Cleaned_datasetB[[#This Row],[Weather_Code]],Lookup_Tables!$E$9:$F$13,2,FALSE)</f>
        <v>Clear</v>
      </c>
      <c r="S300" s="10" t="str">
        <f>INDEX(Lookup_Tables!$I$10:$I$16,MATCH(Cleaned_datasetB[[#This Row],[Day_Code]],Lookup_Tables!$H$10:$H$16,0))</f>
        <v>Thursday</v>
      </c>
      <c r="T300" s="10" t="str">
        <f>VLOOKUP(Cleaned_datasetB[[#This Row],[Month]], Lookup_Tables!$K$8:$L$19, 2, FALSE)</f>
        <v>January</v>
      </c>
      <c r="U300" s="10" t="str">
        <f>IF(AND(Cleaned_datasetB[[#This Row],[Day_Type]]="Weekday",Cleaned_datasetB[[#This Row],[Is_Holiday]]=FALSE),"Working Day","Non-Working Day")</f>
        <v>Working Day</v>
      </c>
    </row>
    <row r="301" spans="1:21">
      <c r="A301" s="10">
        <v>300</v>
      </c>
      <c r="B301" s="23">
        <v>40556</v>
      </c>
      <c r="C301" s="10">
        <v>1</v>
      </c>
      <c r="D301" s="10">
        <v>0</v>
      </c>
      <c r="E301" s="10">
        <v>1</v>
      </c>
      <c r="F301" s="10">
        <v>22</v>
      </c>
      <c r="G301" s="10" t="b">
        <v>0</v>
      </c>
      <c r="H301" s="10">
        <v>4</v>
      </c>
      <c r="I301" s="10" t="str">
        <f>IF(OR(Cleaned_datasetB[[#This Row],[Day_Code]]=0,Cleaned_datasetB[[#This Row],[Day_Code]]=6),"Weekend","Weekday")</f>
        <v>Weekday</v>
      </c>
      <c r="J301" s="10">
        <v>1</v>
      </c>
      <c r="K301" s="10">
        <v>0.14000000000000001</v>
      </c>
      <c r="L301" s="51">
        <v>0.1212</v>
      </c>
      <c r="M301" s="10">
        <v>0.46</v>
      </c>
      <c r="N301" s="10">
        <v>0.32840000000000003</v>
      </c>
      <c r="O301" s="10">
        <v>0</v>
      </c>
      <c r="P301" s="10">
        <v>30</v>
      </c>
      <c r="Q301" s="10">
        <v>30</v>
      </c>
      <c r="R301" s="10" t="str">
        <f>VLOOKUP(Cleaned_datasetB[[#This Row],[Weather_Code]],Lookup_Tables!$E$9:$F$13,2,FALSE)</f>
        <v>Clear</v>
      </c>
      <c r="S301" s="10" t="str">
        <f>INDEX(Lookup_Tables!$I$10:$I$16,MATCH(Cleaned_datasetB[[#This Row],[Day_Code]],Lookup_Tables!$H$10:$H$16,0))</f>
        <v>Thursday</v>
      </c>
      <c r="T301" s="10" t="str">
        <f>VLOOKUP(Cleaned_datasetB[[#This Row],[Month]], Lookup_Tables!$K$8:$L$19, 2, FALSE)</f>
        <v>January</v>
      </c>
      <c r="U301" s="10" t="str">
        <f>IF(AND(Cleaned_datasetB[[#This Row],[Day_Type]]="Weekday",Cleaned_datasetB[[#This Row],[Is_Holiday]]=FALSE),"Working Day","Non-Working Day")</f>
        <v>Working Day</v>
      </c>
    </row>
    <row r="302" spans="1:21">
      <c r="A302" s="10">
        <v>301</v>
      </c>
      <c r="B302" s="23">
        <v>40556</v>
      </c>
      <c r="C302" s="10">
        <v>1</v>
      </c>
      <c r="D302" s="10">
        <v>0</v>
      </c>
      <c r="E302" s="10">
        <v>1</v>
      </c>
      <c r="F302" s="10">
        <v>23</v>
      </c>
      <c r="G302" s="10" t="b">
        <v>0</v>
      </c>
      <c r="H302" s="10">
        <v>4</v>
      </c>
      <c r="I302" s="10" t="str">
        <f>IF(OR(Cleaned_datasetB[[#This Row],[Day_Code]]=0,Cleaned_datasetB[[#This Row],[Day_Code]]=6),"Weekend","Weekday")</f>
        <v>Weekday</v>
      </c>
      <c r="J302" s="10">
        <v>1</v>
      </c>
      <c r="K302" s="10">
        <v>0.12</v>
      </c>
      <c r="L302" s="51">
        <v>0.13639999999999999</v>
      </c>
      <c r="M302" s="10">
        <v>0.5</v>
      </c>
      <c r="N302" s="10">
        <v>0.19400000000000001</v>
      </c>
      <c r="O302" s="10">
        <v>1</v>
      </c>
      <c r="P302" s="10">
        <v>14</v>
      </c>
      <c r="Q302" s="10">
        <v>15</v>
      </c>
      <c r="R302" s="10" t="str">
        <f>VLOOKUP(Cleaned_datasetB[[#This Row],[Weather_Code]],Lookup_Tables!$E$9:$F$13,2,FALSE)</f>
        <v>Clear</v>
      </c>
      <c r="S302" s="10" t="str">
        <f>INDEX(Lookup_Tables!$I$10:$I$16,MATCH(Cleaned_datasetB[[#This Row],[Day_Code]],Lookup_Tables!$H$10:$H$16,0))</f>
        <v>Thursday</v>
      </c>
      <c r="T302" s="10" t="str">
        <f>VLOOKUP(Cleaned_datasetB[[#This Row],[Month]], Lookup_Tables!$K$8:$L$19, 2, FALSE)</f>
        <v>January</v>
      </c>
      <c r="U302" s="10" t="str">
        <f>IF(AND(Cleaned_datasetB[[#This Row],[Day_Type]]="Weekday",Cleaned_datasetB[[#This Row],[Is_Holiday]]=FALSE),"Working Day","Non-Working Day")</f>
        <v>Working Day</v>
      </c>
    </row>
    <row r="303" spans="1:21">
      <c r="A303" s="10">
        <v>302</v>
      </c>
      <c r="B303" s="23">
        <v>40557</v>
      </c>
      <c r="C303" s="10">
        <v>1</v>
      </c>
      <c r="D303" s="10">
        <v>0</v>
      </c>
      <c r="E303" s="10">
        <v>1</v>
      </c>
      <c r="F303" s="10">
        <v>0</v>
      </c>
      <c r="G303" s="10" t="b">
        <v>0</v>
      </c>
      <c r="H303" s="10">
        <v>5</v>
      </c>
      <c r="I303" s="10" t="str">
        <f>IF(OR(Cleaned_datasetB[[#This Row],[Day_Code]]=0,Cleaned_datasetB[[#This Row],[Day_Code]]=6),"Weekend","Weekday")</f>
        <v>Weekday</v>
      </c>
      <c r="J303" s="10">
        <v>1</v>
      </c>
      <c r="K303" s="10">
        <v>0.12</v>
      </c>
      <c r="L303" s="51">
        <v>0.13639999999999999</v>
      </c>
      <c r="M303" s="10">
        <v>0.5</v>
      </c>
      <c r="N303" s="10">
        <v>0.19400000000000001</v>
      </c>
      <c r="O303" s="10">
        <v>0</v>
      </c>
      <c r="P303" s="10">
        <v>14</v>
      </c>
      <c r="Q303" s="10">
        <v>14</v>
      </c>
      <c r="R303" s="10" t="str">
        <f>VLOOKUP(Cleaned_datasetB[[#This Row],[Weather_Code]],Lookup_Tables!$E$9:$F$13,2,FALSE)</f>
        <v>Clear</v>
      </c>
      <c r="S303" s="10" t="str">
        <f>INDEX(Lookup_Tables!$I$10:$I$16,MATCH(Cleaned_datasetB[[#This Row],[Day_Code]],Lookup_Tables!$H$10:$H$16,0))</f>
        <v>Friday</v>
      </c>
      <c r="T303" s="10" t="str">
        <f>VLOOKUP(Cleaned_datasetB[[#This Row],[Month]], Lookup_Tables!$K$8:$L$19, 2, FALSE)</f>
        <v>January</v>
      </c>
      <c r="U303" s="10" t="str">
        <f>IF(AND(Cleaned_datasetB[[#This Row],[Day_Type]]="Weekday",Cleaned_datasetB[[#This Row],[Is_Holiday]]=FALSE),"Working Day","Non-Working Day")</f>
        <v>Working Day</v>
      </c>
    </row>
    <row r="304" spans="1:21">
      <c r="A304" s="10">
        <v>303</v>
      </c>
      <c r="B304" s="23">
        <v>40557</v>
      </c>
      <c r="C304" s="10">
        <v>1</v>
      </c>
      <c r="D304" s="10">
        <v>0</v>
      </c>
      <c r="E304" s="10">
        <v>1</v>
      </c>
      <c r="F304" s="10">
        <v>1</v>
      </c>
      <c r="G304" s="10" t="b">
        <v>0</v>
      </c>
      <c r="H304" s="10">
        <v>5</v>
      </c>
      <c r="I304" s="10" t="str">
        <f>IF(OR(Cleaned_datasetB[[#This Row],[Day_Code]]=0,Cleaned_datasetB[[#This Row],[Day_Code]]=6),"Weekend","Weekday")</f>
        <v>Weekday</v>
      </c>
      <c r="J304" s="10">
        <v>1</v>
      </c>
      <c r="K304" s="10">
        <v>0.1</v>
      </c>
      <c r="L304" s="51">
        <v>0.1212</v>
      </c>
      <c r="M304" s="10">
        <v>0.54</v>
      </c>
      <c r="N304" s="10">
        <v>0.16420000000000001</v>
      </c>
      <c r="O304" s="10">
        <v>0</v>
      </c>
      <c r="P304" s="10">
        <v>5</v>
      </c>
      <c r="Q304" s="10">
        <v>5</v>
      </c>
      <c r="R304" s="10" t="str">
        <f>VLOOKUP(Cleaned_datasetB[[#This Row],[Weather_Code]],Lookup_Tables!$E$9:$F$13,2,FALSE)</f>
        <v>Clear</v>
      </c>
      <c r="S304" s="10" t="str">
        <f>INDEX(Lookup_Tables!$I$10:$I$16,MATCH(Cleaned_datasetB[[#This Row],[Day_Code]],Lookup_Tables!$H$10:$H$16,0))</f>
        <v>Friday</v>
      </c>
      <c r="T304" s="10" t="str">
        <f>VLOOKUP(Cleaned_datasetB[[#This Row],[Month]], Lookup_Tables!$K$8:$L$19, 2, FALSE)</f>
        <v>January</v>
      </c>
      <c r="U304" s="10" t="str">
        <f>IF(AND(Cleaned_datasetB[[#This Row],[Day_Type]]="Weekday",Cleaned_datasetB[[#This Row],[Is_Holiday]]=FALSE),"Working Day","Non-Working Day")</f>
        <v>Working Day</v>
      </c>
    </row>
    <row r="305" spans="1:21">
      <c r="A305" s="10">
        <v>304</v>
      </c>
      <c r="B305" s="23">
        <v>40557</v>
      </c>
      <c r="C305" s="10">
        <v>1</v>
      </c>
      <c r="D305" s="10">
        <v>0</v>
      </c>
      <c r="E305" s="10">
        <v>1</v>
      </c>
      <c r="F305" s="10">
        <v>2</v>
      </c>
      <c r="G305" s="10" t="b">
        <v>0</v>
      </c>
      <c r="H305" s="10">
        <v>5</v>
      </c>
      <c r="I305" s="10" t="str">
        <f>IF(OR(Cleaned_datasetB[[#This Row],[Day_Code]]=0,Cleaned_datasetB[[#This Row],[Day_Code]]=6),"Weekend","Weekday")</f>
        <v>Weekday</v>
      </c>
      <c r="J305" s="10">
        <v>1</v>
      </c>
      <c r="K305" s="10">
        <v>0.1</v>
      </c>
      <c r="L305" s="51">
        <v>0.1212</v>
      </c>
      <c r="M305" s="10">
        <v>0.54</v>
      </c>
      <c r="N305" s="10">
        <v>0.1343</v>
      </c>
      <c r="O305" s="10">
        <v>0</v>
      </c>
      <c r="P305" s="10">
        <v>1</v>
      </c>
      <c r="Q305" s="10">
        <v>1</v>
      </c>
      <c r="R305" s="10" t="str">
        <f>VLOOKUP(Cleaned_datasetB[[#This Row],[Weather_Code]],Lookup_Tables!$E$9:$F$13,2,FALSE)</f>
        <v>Clear</v>
      </c>
      <c r="S305" s="10" t="str">
        <f>INDEX(Lookup_Tables!$I$10:$I$16,MATCH(Cleaned_datasetB[[#This Row],[Day_Code]],Lookup_Tables!$H$10:$H$16,0))</f>
        <v>Friday</v>
      </c>
      <c r="T305" s="10" t="str">
        <f>VLOOKUP(Cleaned_datasetB[[#This Row],[Month]], Lookup_Tables!$K$8:$L$19, 2, FALSE)</f>
        <v>January</v>
      </c>
      <c r="U305" s="10" t="str">
        <f>IF(AND(Cleaned_datasetB[[#This Row],[Day_Type]]="Weekday",Cleaned_datasetB[[#This Row],[Is_Holiday]]=FALSE),"Working Day","Non-Working Day")</f>
        <v>Working Day</v>
      </c>
    </row>
    <row r="306" spans="1:21">
      <c r="A306" s="10">
        <v>305</v>
      </c>
      <c r="B306" s="23">
        <v>40557</v>
      </c>
      <c r="C306" s="10">
        <v>1</v>
      </c>
      <c r="D306" s="10">
        <v>0</v>
      </c>
      <c r="E306" s="10">
        <v>1</v>
      </c>
      <c r="F306" s="10">
        <v>3</v>
      </c>
      <c r="G306" s="10" t="b">
        <v>0</v>
      </c>
      <c r="H306" s="10">
        <v>5</v>
      </c>
      <c r="I306" s="10" t="str">
        <f>IF(OR(Cleaned_datasetB[[#This Row],[Day_Code]]=0,Cleaned_datasetB[[#This Row],[Day_Code]]=6),"Weekend","Weekday")</f>
        <v>Weekday</v>
      </c>
      <c r="J306" s="10">
        <v>1</v>
      </c>
      <c r="K306" s="10">
        <v>0.1</v>
      </c>
      <c r="L306" s="51">
        <v>0.13639999999999999</v>
      </c>
      <c r="M306" s="10">
        <v>0.54</v>
      </c>
      <c r="N306" s="10">
        <v>0.1045</v>
      </c>
      <c r="O306" s="10">
        <v>0</v>
      </c>
      <c r="P306" s="10">
        <v>1</v>
      </c>
      <c r="Q306" s="10">
        <v>1</v>
      </c>
      <c r="R306" s="10" t="str">
        <f>VLOOKUP(Cleaned_datasetB[[#This Row],[Weather_Code]],Lookup_Tables!$E$9:$F$13,2,FALSE)</f>
        <v>Clear</v>
      </c>
      <c r="S306" s="10" t="str">
        <f>INDEX(Lookup_Tables!$I$10:$I$16,MATCH(Cleaned_datasetB[[#This Row],[Day_Code]],Lookup_Tables!$H$10:$H$16,0))</f>
        <v>Friday</v>
      </c>
      <c r="T306" s="10" t="str">
        <f>VLOOKUP(Cleaned_datasetB[[#This Row],[Month]], Lookup_Tables!$K$8:$L$19, 2, FALSE)</f>
        <v>January</v>
      </c>
      <c r="U306" s="10" t="str">
        <f>IF(AND(Cleaned_datasetB[[#This Row],[Day_Type]]="Weekday",Cleaned_datasetB[[#This Row],[Is_Holiday]]=FALSE),"Working Day","Non-Working Day")</f>
        <v>Working Day</v>
      </c>
    </row>
    <row r="307" spans="1:21">
      <c r="A307" s="10">
        <v>306</v>
      </c>
      <c r="B307" s="23">
        <v>40557</v>
      </c>
      <c r="C307" s="10">
        <v>1</v>
      </c>
      <c r="D307" s="10">
        <v>0</v>
      </c>
      <c r="E307" s="10">
        <v>1</v>
      </c>
      <c r="F307" s="10">
        <v>5</v>
      </c>
      <c r="G307" s="10" t="b">
        <v>0</v>
      </c>
      <c r="H307" s="10">
        <v>5</v>
      </c>
      <c r="I307" s="10" t="str">
        <f>IF(OR(Cleaned_datasetB[[#This Row],[Day_Code]]=0,Cleaned_datasetB[[#This Row],[Day_Code]]=6),"Weekend","Weekday")</f>
        <v>Weekday</v>
      </c>
      <c r="J307" s="10">
        <v>1</v>
      </c>
      <c r="K307" s="10">
        <v>0.1</v>
      </c>
      <c r="L307" s="51">
        <v>0.13639999999999999</v>
      </c>
      <c r="M307" s="10">
        <v>0.54</v>
      </c>
      <c r="N307" s="10">
        <v>8.9599999999999999E-2</v>
      </c>
      <c r="O307" s="10">
        <v>0</v>
      </c>
      <c r="P307" s="10">
        <v>8</v>
      </c>
      <c r="Q307" s="10">
        <v>8</v>
      </c>
      <c r="R307" s="10" t="str">
        <f>VLOOKUP(Cleaned_datasetB[[#This Row],[Weather_Code]],Lookup_Tables!$E$9:$F$13,2,FALSE)</f>
        <v>Clear</v>
      </c>
      <c r="S307" s="10" t="str">
        <f>INDEX(Lookup_Tables!$I$10:$I$16,MATCH(Cleaned_datasetB[[#This Row],[Day_Code]],Lookup_Tables!$H$10:$H$16,0))</f>
        <v>Friday</v>
      </c>
      <c r="T307" s="10" t="str">
        <f>VLOOKUP(Cleaned_datasetB[[#This Row],[Month]], Lookup_Tables!$K$8:$L$19, 2, FALSE)</f>
        <v>January</v>
      </c>
      <c r="U307" s="10" t="str">
        <f>IF(AND(Cleaned_datasetB[[#This Row],[Day_Type]]="Weekday",Cleaned_datasetB[[#This Row],[Is_Holiday]]=FALSE),"Working Day","Non-Working Day")</f>
        <v>Working Day</v>
      </c>
    </row>
    <row r="308" spans="1:21">
      <c r="A308" s="10">
        <v>307</v>
      </c>
      <c r="B308" s="23">
        <v>40557</v>
      </c>
      <c r="C308" s="10">
        <v>1</v>
      </c>
      <c r="D308" s="10">
        <v>0</v>
      </c>
      <c r="E308" s="10">
        <v>1</v>
      </c>
      <c r="F308" s="10">
        <v>6</v>
      </c>
      <c r="G308" s="10" t="b">
        <v>0</v>
      </c>
      <c r="H308" s="10">
        <v>5</v>
      </c>
      <c r="I308" s="10" t="str">
        <f>IF(OR(Cleaned_datasetB[[#This Row],[Day_Code]]=0,Cleaned_datasetB[[#This Row],[Day_Code]]=6),"Weekend","Weekday")</f>
        <v>Weekday</v>
      </c>
      <c r="J308" s="10">
        <v>1</v>
      </c>
      <c r="K308" s="10">
        <v>0.1</v>
      </c>
      <c r="L308" s="51">
        <v>0.18179999999999999</v>
      </c>
      <c r="M308" s="10">
        <v>0.54</v>
      </c>
      <c r="N308" s="10">
        <v>0</v>
      </c>
      <c r="O308" s="10">
        <v>0</v>
      </c>
      <c r="P308" s="10">
        <v>17</v>
      </c>
      <c r="Q308" s="10">
        <v>17</v>
      </c>
      <c r="R308" s="10" t="str">
        <f>VLOOKUP(Cleaned_datasetB[[#This Row],[Weather_Code]],Lookup_Tables!$E$9:$F$13,2,FALSE)</f>
        <v>Clear</v>
      </c>
      <c r="S308" s="10" t="str">
        <f>INDEX(Lookup_Tables!$I$10:$I$16,MATCH(Cleaned_datasetB[[#This Row],[Day_Code]],Lookup_Tables!$H$10:$H$16,0))</f>
        <v>Friday</v>
      </c>
      <c r="T308" s="10" t="str">
        <f>VLOOKUP(Cleaned_datasetB[[#This Row],[Month]], Lookup_Tables!$K$8:$L$19, 2, FALSE)</f>
        <v>January</v>
      </c>
      <c r="U308" s="10" t="str">
        <f>IF(AND(Cleaned_datasetB[[#This Row],[Day_Type]]="Weekday",Cleaned_datasetB[[#This Row],[Is_Holiday]]=FALSE),"Working Day","Non-Working Day")</f>
        <v>Working Day</v>
      </c>
    </row>
    <row r="309" spans="1:21">
      <c r="A309" s="10">
        <v>308</v>
      </c>
      <c r="B309" s="23">
        <v>40557</v>
      </c>
      <c r="C309" s="10">
        <v>1</v>
      </c>
      <c r="D309" s="10">
        <v>0</v>
      </c>
      <c r="E309" s="10">
        <v>1</v>
      </c>
      <c r="F309" s="10">
        <v>7</v>
      </c>
      <c r="G309" s="10" t="b">
        <v>0</v>
      </c>
      <c r="H309" s="10">
        <v>5</v>
      </c>
      <c r="I309" s="10" t="str">
        <f>IF(OR(Cleaned_datasetB[[#This Row],[Day_Code]]=0,Cleaned_datasetB[[#This Row],[Day_Code]]=6),"Weekend","Weekday")</f>
        <v>Weekday</v>
      </c>
      <c r="J309" s="10">
        <v>1</v>
      </c>
      <c r="K309" s="10">
        <v>0.1</v>
      </c>
      <c r="L309" s="51">
        <v>0.1212</v>
      </c>
      <c r="M309" s="10">
        <v>0.74</v>
      </c>
      <c r="N309" s="10">
        <v>0.16420000000000001</v>
      </c>
      <c r="O309" s="10">
        <v>0</v>
      </c>
      <c r="P309" s="10">
        <v>70</v>
      </c>
      <c r="Q309" s="10">
        <v>70</v>
      </c>
      <c r="R309" s="10" t="str">
        <f>VLOOKUP(Cleaned_datasetB[[#This Row],[Weather_Code]],Lookup_Tables!$E$9:$F$13,2,FALSE)</f>
        <v>Clear</v>
      </c>
      <c r="S309" s="10" t="str">
        <f>INDEX(Lookup_Tables!$I$10:$I$16,MATCH(Cleaned_datasetB[[#This Row],[Day_Code]],Lookup_Tables!$H$10:$H$16,0))</f>
        <v>Friday</v>
      </c>
      <c r="T309" s="10" t="str">
        <f>VLOOKUP(Cleaned_datasetB[[#This Row],[Month]], Lookup_Tables!$K$8:$L$19, 2, FALSE)</f>
        <v>January</v>
      </c>
      <c r="U309" s="10" t="str">
        <f>IF(AND(Cleaned_datasetB[[#This Row],[Day_Type]]="Weekday",Cleaned_datasetB[[#This Row],[Is_Holiday]]=FALSE),"Working Day","Non-Working Day")</f>
        <v>Working Day</v>
      </c>
    </row>
    <row r="310" spans="1:21">
      <c r="A310" s="10">
        <v>309</v>
      </c>
      <c r="B310" s="23">
        <v>40557</v>
      </c>
      <c r="C310" s="10">
        <v>1</v>
      </c>
      <c r="D310" s="10">
        <v>0</v>
      </c>
      <c r="E310" s="10">
        <v>1</v>
      </c>
      <c r="F310" s="10">
        <v>8</v>
      </c>
      <c r="G310" s="10" t="b">
        <v>0</v>
      </c>
      <c r="H310" s="10">
        <v>5</v>
      </c>
      <c r="I310" s="10" t="str">
        <f>IF(OR(Cleaned_datasetB[[#This Row],[Day_Code]]=0,Cleaned_datasetB[[#This Row],[Day_Code]]=6),"Weekend","Weekday")</f>
        <v>Weekday</v>
      </c>
      <c r="J310" s="10">
        <v>1</v>
      </c>
      <c r="K310" s="10">
        <v>0.12</v>
      </c>
      <c r="L310" s="51">
        <v>0.16669999999999999</v>
      </c>
      <c r="M310" s="10">
        <v>0.68</v>
      </c>
      <c r="N310" s="10">
        <v>0</v>
      </c>
      <c r="O310" s="10">
        <v>2</v>
      </c>
      <c r="P310" s="10">
        <v>156</v>
      </c>
      <c r="Q310" s="10">
        <v>158</v>
      </c>
      <c r="R310" s="10" t="str">
        <f>VLOOKUP(Cleaned_datasetB[[#This Row],[Weather_Code]],Lookup_Tables!$E$9:$F$13,2,FALSE)</f>
        <v>Clear</v>
      </c>
      <c r="S310" s="10" t="str">
        <f>INDEX(Lookup_Tables!$I$10:$I$16,MATCH(Cleaned_datasetB[[#This Row],[Day_Code]],Lookup_Tables!$H$10:$H$16,0))</f>
        <v>Friday</v>
      </c>
      <c r="T310" s="10" t="str">
        <f>VLOOKUP(Cleaned_datasetB[[#This Row],[Month]], Lookup_Tables!$K$8:$L$19, 2, FALSE)</f>
        <v>January</v>
      </c>
      <c r="U310" s="10" t="str">
        <f>IF(AND(Cleaned_datasetB[[#This Row],[Day_Type]]="Weekday",Cleaned_datasetB[[#This Row],[Is_Holiday]]=FALSE),"Working Day","Non-Working Day")</f>
        <v>Working Day</v>
      </c>
    </row>
    <row r="311" spans="1:21">
      <c r="A311" s="10">
        <v>310</v>
      </c>
      <c r="B311" s="23">
        <v>40557</v>
      </c>
      <c r="C311" s="10">
        <v>1</v>
      </c>
      <c r="D311" s="10">
        <v>0</v>
      </c>
      <c r="E311" s="10">
        <v>1</v>
      </c>
      <c r="F311" s="10">
        <v>9</v>
      </c>
      <c r="G311" s="10" t="b">
        <v>0</v>
      </c>
      <c r="H311" s="10">
        <v>5</v>
      </c>
      <c r="I311" s="10" t="str">
        <f>IF(OR(Cleaned_datasetB[[#This Row],[Day_Code]]=0,Cleaned_datasetB[[#This Row],[Day_Code]]=6),"Weekend","Weekday")</f>
        <v>Weekday</v>
      </c>
      <c r="J311" s="10">
        <v>1</v>
      </c>
      <c r="K311" s="10">
        <v>0.14000000000000001</v>
      </c>
      <c r="L311" s="51">
        <v>0.1515</v>
      </c>
      <c r="M311" s="10">
        <v>0.69</v>
      </c>
      <c r="N311" s="10">
        <v>0.1343</v>
      </c>
      <c r="O311" s="10">
        <v>0</v>
      </c>
      <c r="P311" s="10">
        <v>117</v>
      </c>
      <c r="Q311" s="10">
        <v>117</v>
      </c>
      <c r="R311" s="10" t="str">
        <f>VLOOKUP(Cleaned_datasetB[[#This Row],[Weather_Code]],Lookup_Tables!$E$9:$F$13,2,FALSE)</f>
        <v>Clear</v>
      </c>
      <c r="S311" s="10" t="str">
        <f>INDEX(Lookup_Tables!$I$10:$I$16,MATCH(Cleaned_datasetB[[#This Row],[Day_Code]],Lookup_Tables!$H$10:$H$16,0))</f>
        <v>Friday</v>
      </c>
      <c r="T311" s="10" t="str">
        <f>VLOOKUP(Cleaned_datasetB[[#This Row],[Month]], Lookup_Tables!$K$8:$L$19, 2, FALSE)</f>
        <v>January</v>
      </c>
      <c r="U311" s="10" t="str">
        <f>IF(AND(Cleaned_datasetB[[#This Row],[Day_Type]]="Weekday",Cleaned_datasetB[[#This Row],[Is_Holiday]]=FALSE),"Working Day","Non-Working Day")</f>
        <v>Working Day</v>
      </c>
    </row>
    <row r="312" spans="1:21">
      <c r="A312" s="10">
        <v>311</v>
      </c>
      <c r="B312" s="23">
        <v>40557</v>
      </c>
      <c r="C312" s="10">
        <v>1</v>
      </c>
      <c r="D312" s="10">
        <v>0</v>
      </c>
      <c r="E312" s="10">
        <v>1</v>
      </c>
      <c r="F312" s="10">
        <v>10</v>
      </c>
      <c r="G312" s="10" t="b">
        <v>0</v>
      </c>
      <c r="H312" s="10">
        <v>5</v>
      </c>
      <c r="I312" s="10" t="str">
        <f>IF(OR(Cleaned_datasetB[[#This Row],[Day_Code]]=0,Cleaned_datasetB[[#This Row],[Day_Code]]=6),"Weekend","Weekday")</f>
        <v>Weekday</v>
      </c>
      <c r="J312" s="10">
        <v>1</v>
      </c>
      <c r="K312" s="10">
        <v>0.18</v>
      </c>
      <c r="L312" s="51">
        <v>0.18179999999999999</v>
      </c>
      <c r="M312" s="10">
        <v>0.55000000000000004</v>
      </c>
      <c r="N312" s="10">
        <v>0.19400000000000001</v>
      </c>
      <c r="O312" s="10">
        <v>4</v>
      </c>
      <c r="P312" s="10">
        <v>40</v>
      </c>
      <c r="Q312" s="10">
        <v>44</v>
      </c>
      <c r="R312" s="10" t="str">
        <f>VLOOKUP(Cleaned_datasetB[[#This Row],[Weather_Code]],Lookup_Tables!$E$9:$F$13,2,FALSE)</f>
        <v>Clear</v>
      </c>
      <c r="S312" s="10" t="str">
        <f>INDEX(Lookup_Tables!$I$10:$I$16,MATCH(Cleaned_datasetB[[#This Row],[Day_Code]],Lookup_Tables!$H$10:$H$16,0))</f>
        <v>Friday</v>
      </c>
      <c r="T312" s="10" t="str">
        <f>VLOOKUP(Cleaned_datasetB[[#This Row],[Month]], Lookup_Tables!$K$8:$L$19, 2, FALSE)</f>
        <v>January</v>
      </c>
      <c r="U312" s="10" t="str">
        <f>IF(AND(Cleaned_datasetB[[#This Row],[Day_Type]]="Weekday",Cleaned_datasetB[[#This Row],[Is_Holiday]]=FALSE),"Working Day","Non-Working Day")</f>
        <v>Working Day</v>
      </c>
    </row>
    <row r="313" spans="1:21">
      <c r="A313" s="10">
        <v>312</v>
      </c>
      <c r="B313" s="23">
        <v>40557</v>
      </c>
      <c r="C313" s="10">
        <v>1</v>
      </c>
      <c r="D313" s="10">
        <v>0</v>
      </c>
      <c r="E313" s="10">
        <v>1</v>
      </c>
      <c r="F313" s="10">
        <v>11</v>
      </c>
      <c r="G313" s="10" t="b">
        <v>0</v>
      </c>
      <c r="H313" s="10">
        <v>5</v>
      </c>
      <c r="I313" s="10" t="str">
        <f>IF(OR(Cleaned_datasetB[[#This Row],[Day_Code]]=0,Cleaned_datasetB[[#This Row],[Day_Code]]=6),"Weekend","Weekday")</f>
        <v>Weekday</v>
      </c>
      <c r="J313" s="10">
        <v>1</v>
      </c>
      <c r="K313" s="10">
        <v>0.18</v>
      </c>
      <c r="L313" s="51">
        <v>0.16669999999999999</v>
      </c>
      <c r="M313" s="10">
        <v>0.51</v>
      </c>
      <c r="N313" s="10">
        <v>0.28360000000000002</v>
      </c>
      <c r="O313" s="10">
        <v>6</v>
      </c>
      <c r="P313" s="10">
        <v>47</v>
      </c>
      <c r="Q313" s="10">
        <v>53</v>
      </c>
      <c r="R313" s="10" t="str">
        <f>VLOOKUP(Cleaned_datasetB[[#This Row],[Weather_Code]],Lookup_Tables!$E$9:$F$13,2,FALSE)</f>
        <v>Clear</v>
      </c>
      <c r="S313" s="10" t="str">
        <f>INDEX(Lookup_Tables!$I$10:$I$16,MATCH(Cleaned_datasetB[[#This Row],[Day_Code]],Lookup_Tables!$H$10:$H$16,0))</f>
        <v>Friday</v>
      </c>
      <c r="T313" s="10" t="str">
        <f>VLOOKUP(Cleaned_datasetB[[#This Row],[Month]], Lookup_Tables!$K$8:$L$19, 2, FALSE)</f>
        <v>January</v>
      </c>
      <c r="U313" s="10" t="str">
        <f>IF(AND(Cleaned_datasetB[[#This Row],[Day_Type]]="Weekday",Cleaned_datasetB[[#This Row],[Is_Holiday]]=FALSE),"Working Day","Non-Working Day")</f>
        <v>Working Day</v>
      </c>
    </row>
    <row r="314" spans="1:21">
      <c r="A314" s="10">
        <v>313</v>
      </c>
      <c r="B314" s="23">
        <v>40557</v>
      </c>
      <c r="C314" s="10">
        <v>1</v>
      </c>
      <c r="D314" s="10">
        <v>0</v>
      </c>
      <c r="E314" s="10">
        <v>1</v>
      </c>
      <c r="F314" s="10">
        <v>12</v>
      </c>
      <c r="G314" s="10" t="b">
        <v>0</v>
      </c>
      <c r="H314" s="10">
        <v>5</v>
      </c>
      <c r="I314" s="10" t="str">
        <f>IF(OR(Cleaned_datasetB[[#This Row],[Day_Code]]=0,Cleaned_datasetB[[#This Row],[Day_Code]]=6),"Weekend","Weekday")</f>
        <v>Weekday</v>
      </c>
      <c r="J314" s="10">
        <v>1</v>
      </c>
      <c r="K314" s="10">
        <v>0.2</v>
      </c>
      <c r="L314" s="51">
        <v>0.19700000000000001</v>
      </c>
      <c r="M314" s="10">
        <v>0.44</v>
      </c>
      <c r="N314" s="10">
        <v>0.25369999999999998</v>
      </c>
      <c r="O314" s="10">
        <v>2</v>
      </c>
      <c r="P314" s="10">
        <v>59</v>
      </c>
      <c r="Q314" s="10">
        <v>61</v>
      </c>
      <c r="R314" s="10" t="str">
        <f>VLOOKUP(Cleaned_datasetB[[#This Row],[Weather_Code]],Lookup_Tables!$E$9:$F$13,2,FALSE)</f>
        <v>Clear</v>
      </c>
      <c r="S314" s="10" t="str">
        <f>INDEX(Lookup_Tables!$I$10:$I$16,MATCH(Cleaned_datasetB[[#This Row],[Day_Code]],Lookup_Tables!$H$10:$H$16,0))</f>
        <v>Friday</v>
      </c>
      <c r="T314" s="10" t="str">
        <f>VLOOKUP(Cleaned_datasetB[[#This Row],[Month]], Lookup_Tables!$K$8:$L$19, 2, FALSE)</f>
        <v>January</v>
      </c>
      <c r="U314" s="10" t="str">
        <f>IF(AND(Cleaned_datasetB[[#This Row],[Day_Type]]="Weekday",Cleaned_datasetB[[#This Row],[Is_Holiday]]=FALSE),"Working Day","Non-Working Day")</f>
        <v>Working Day</v>
      </c>
    </row>
    <row r="315" spans="1:21">
      <c r="A315" s="10">
        <v>314</v>
      </c>
      <c r="B315" s="23">
        <v>40557</v>
      </c>
      <c r="C315" s="10">
        <v>1</v>
      </c>
      <c r="D315" s="10">
        <v>0</v>
      </c>
      <c r="E315" s="10">
        <v>1</v>
      </c>
      <c r="F315" s="10">
        <v>13</v>
      </c>
      <c r="G315" s="10" t="b">
        <v>0</v>
      </c>
      <c r="H315" s="10">
        <v>5</v>
      </c>
      <c r="I315" s="10" t="str">
        <f>IF(OR(Cleaned_datasetB[[#This Row],[Day_Code]]=0,Cleaned_datasetB[[#This Row],[Day_Code]]=6),"Weekend","Weekday")</f>
        <v>Weekday</v>
      </c>
      <c r="J315" s="10">
        <v>1</v>
      </c>
      <c r="K315" s="10">
        <v>0.22</v>
      </c>
      <c r="L315" s="51">
        <v>0.19700000000000001</v>
      </c>
      <c r="M315" s="10">
        <v>0.37</v>
      </c>
      <c r="N315" s="10">
        <v>0.3881</v>
      </c>
      <c r="O315" s="10">
        <v>4</v>
      </c>
      <c r="P315" s="10">
        <v>73</v>
      </c>
      <c r="Q315" s="10">
        <v>77</v>
      </c>
      <c r="R315" s="10" t="str">
        <f>VLOOKUP(Cleaned_datasetB[[#This Row],[Weather_Code]],Lookup_Tables!$E$9:$F$13,2,FALSE)</f>
        <v>Clear</v>
      </c>
      <c r="S315" s="10" t="str">
        <f>INDEX(Lookup_Tables!$I$10:$I$16,MATCH(Cleaned_datasetB[[#This Row],[Day_Code]],Lookup_Tables!$H$10:$H$16,0))</f>
        <v>Friday</v>
      </c>
      <c r="T315" s="10" t="str">
        <f>VLOOKUP(Cleaned_datasetB[[#This Row],[Month]], Lookup_Tables!$K$8:$L$19, 2, FALSE)</f>
        <v>January</v>
      </c>
      <c r="U315" s="10" t="str">
        <f>IF(AND(Cleaned_datasetB[[#This Row],[Day_Type]]="Weekday",Cleaned_datasetB[[#This Row],[Is_Holiday]]=FALSE),"Working Day","Non-Working Day")</f>
        <v>Working Day</v>
      </c>
    </row>
    <row r="316" spans="1:21">
      <c r="A316" s="10">
        <v>315</v>
      </c>
      <c r="B316" s="23">
        <v>40557</v>
      </c>
      <c r="C316" s="10">
        <v>1</v>
      </c>
      <c r="D316" s="10">
        <v>0</v>
      </c>
      <c r="E316" s="10">
        <v>1</v>
      </c>
      <c r="F316" s="10">
        <v>14</v>
      </c>
      <c r="G316" s="10" t="b">
        <v>0</v>
      </c>
      <c r="H316" s="10">
        <v>5</v>
      </c>
      <c r="I316" s="10" t="str">
        <f>IF(OR(Cleaned_datasetB[[#This Row],[Day_Code]]=0,Cleaned_datasetB[[#This Row],[Day_Code]]=6),"Weekend","Weekday")</f>
        <v>Weekday</v>
      </c>
      <c r="J316" s="10">
        <v>1</v>
      </c>
      <c r="K316" s="10">
        <v>0.22</v>
      </c>
      <c r="L316" s="51">
        <v>0.21210000000000001</v>
      </c>
      <c r="M316" s="10">
        <v>0.41</v>
      </c>
      <c r="N316" s="10">
        <v>0.28360000000000002</v>
      </c>
      <c r="O316" s="10">
        <v>5</v>
      </c>
      <c r="P316" s="10">
        <v>59</v>
      </c>
      <c r="Q316" s="10">
        <v>64</v>
      </c>
      <c r="R316" s="10" t="str">
        <f>VLOOKUP(Cleaned_datasetB[[#This Row],[Weather_Code]],Lookup_Tables!$E$9:$F$13,2,FALSE)</f>
        <v>Clear</v>
      </c>
      <c r="S316" s="10" t="str">
        <f>INDEX(Lookup_Tables!$I$10:$I$16,MATCH(Cleaned_datasetB[[#This Row],[Day_Code]],Lookup_Tables!$H$10:$H$16,0))</f>
        <v>Friday</v>
      </c>
      <c r="T316" s="10" t="str">
        <f>VLOOKUP(Cleaned_datasetB[[#This Row],[Month]], Lookup_Tables!$K$8:$L$19, 2, FALSE)</f>
        <v>January</v>
      </c>
      <c r="U316" s="10" t="str">
        <f>IF(AND(Cleaned_datasetB[[#This Row],[Day_Type]]="Weekday",Cleaned_datasetB[[#This Row],[Is_Holiday]]=FALSE),"Working Day","Non-Working Day")</f>
        <v>Working Day</v>
      </c>
    </row>
    <row r="317" spans="1:21">
      <c r="A317" s="10">
        <v>316</v>
      </c>
      <c r="B317" s="23">
        <v>40557</v>
      </c>
      <c r="C317" s="10">
        <v>1</v>
      </c>
      <c r="D317" s="10">
        <v>0</v>
      </c>
      <c r="E317" s="10">
        <v>1</v>
      </c>
      <c r="F317" s="10">
        <v>15</v>
      </c>
      <c r="G317" s="10" t="b">
        <v>0</v>
      </c>
      <c r="H317" s="10">
        <v>5</v>
      </c>
      <c r="I317" s="10" t="str">
        <f>IF(OR(Cleaned_datasetB[[#This Row],[Day_Code]]=0,Cleaned_datasetB[[#This Row],[Day_Code]]=6),"Weekend","Weekday")</f>
        <v>Weekday</v>
      </c>
      <c r="J317" s="10">
        <v>1</v>
      </c>
      <c r="K317" s="10">
        <v>0.24</v>
      </c>
      <c r="L317" s="51">
        <v>0.2424</v>
      </c>
      <c r="M317" s="10">
        <v>0.38</v>
      </c>
      <c r="N317" s="10">
        <v>0.16420000000000001</v>
      </c>
      <c r="O317" s="10">
        <v>9</v>
      </c>
      <c r="P317" s="10">
        <v>59</v>
      </c>
      <c r="Q317" s="10">
        <v>68</v>
      </c>
      <c r="R317" s="10" t="str">
        <f>VLOOKUP(Cleaned_datasetB[[#This Row],[Weather_Code]],Lookup_Tables!$E$9:$F$13,2,FALSE)</f>
        <v>Clear</v>
      </c>
      <c r="S317" s="10" t="str">
        <f>INDEX(Lookup_Tables!$I$10:$I$16,MATCH(Cleaned_datasetB[[#This Row],[Day_Code]],Lookup_Tables!$H$10:$H$16,0))</f>
        <v>Friday</v>
      </c>
      <c r="T317" s="10" t="str">
        <f>VLOOKUP(Cleaned_datasetB[[#This Row],[Month]], Lookup_Tables!$K$8:$L$19, 2, FALSE)</f>
        <v>January</v>
      </c>
      <c r="U317" s="10" t="str">
        <f>IF(AND(Cleaned_datasetB[[#This Row],[Day_Type]]="Weekday",Cleaned_datasetB[[#This Row],[Is_Holiday]]=FALSE),"Working Day","Non-Working Day")</f>
        <v>Working Day</v>
      </c>
    </row>
    <row r="318" spans="1:21">
      <c r="A318" s="10">
        <v>317</v>
      </c>
      <c r="B318" s="23">
        <v>40557</v>
      </c>
      <c r="C318" s="10">
        <v>1</v>
      </c>
      <c r="D318" s="10">
        <v>0</v>
      </c>
      <c r="E318" s="10">
        <v>1</v>
      </c>
      <c r="F318" s="10">
        <v>16</v>
      </c>
      <c r="G318" s="10" t="b">
        <v>0</v>
      </c>
      <c r="H318" s="10">
        <v>5</v>
      </c>
      <c r="I318" s="10" t="str">
        <f>IF(OR(Cleaned_datasetB[[#This Row],[Day_Code]]=0,Cleaned_datasetB[[#This Row],[Day_Code]]=6),"Weekend","Weekday")</f>
        <v>Weekday</v>
      </c>
      <c r="J318" s="10">
        <v>1</v>
      </c>
      <c r="K318" s="10">
        <v>0.22</v>
      </c>
      <c r="L318" s="51">
        <v>0.2424</v>
      </c>
      <c r="M318" s="10">
        <v>0.41</v>
      </c>
      <c r="N318" s="10">
        <v>0.1045</v>
      </c>
      <c r="O318" s="10">
        <v>3</v>
      </c>
      <c r="P318" s="10">
        <v>87</v>
      </c>
      <c r="Q318" s="10">
        <v>90</v>
      </c>
      <c r="R318" s="10" t="str">
        <f>VLOOKUP(Cleaned_datasetB[[#This Row],[Weather_Code]],Lookup_Tables!$E$9:$F$13,2,FALSE)</f>
        <v>Clear</v>
      </c>
      <c r="S318" s="10" t="str">
        <f>INDEX(Lookup_Tables!$I$10:$I$16,MATCH(Cleaned_datasetB[[#This Row],[Day_Code]],Lookup_Tables!$H$10:$H$16,0))</f>
        <v>Friday</v>
      </c>
      <c r="T318" s="10" t="str">
        <f>VLOOKUP(Cleaned_datasetB[[#This Row],[Month]], Lookup_Tables!$K$8:$L$19, 2, FALSE)</f>
        <v>January</v>
      </c>
      <c r="U318" s="10" t="str">
        <f>IF(AND(Cleaned_datasetB[[#This Row],[Day_Type]]="Weekday",Cleaned_datasetB[[#This Row],[Is_Holiday]]=FALSE),"Working Day","Non-Working Day")</f>
        <v>Working Day</v>
      </c>
    </row>
    <row r="319" spans="1:21">
      <c r="A319" s="10">
        <v>318</v>
      </c>
      <c r="B319" s="23">
        <v>40557</v>
      </c>
      <c r="C319" s="10">
        <v>1</v>
      </c>
      <c r="D319" s="10">
        <v>0</v>
      </c>
      <c r="E319" s="10">
        <v>1</v>
      </c>
      <c r="F319" s="10">
        <v>17</v>
      </c>
      <c r="G319" s="10" t="b">
        <v>0</v>
      </c>
      <c r="H319" s="10">
        <v>5</v>
      </c>
      <c r="I319" s="10" t="str">
        <f>IF(OR(Cleaned_datasetB[[#This Row],[Day_Code]]=0,Cleaned_datasetB[[#This Row],[Day_Code]]=6),"Weekend","Weekday")</f>
        <v>Weekday</v>
      </c>
      <c r="J319" s="10">
        <v>1</v>
      </c>
      <c r="K319" s="10">
        <v>0.22</v>
      </c>
      <c r="L319" s="51">
        <v>0.2273</v>
      </c>
      <c r="M319" s="10">
        <v>0.41</v>
      </c>
      <c r="N319" s="10">
        <v>0.16420000000000001</v>
      </c>
      <c r="O319" s="10">
        <v>4</v>
      </c>
      <c r="P319" s="10">
        <v>155</v>
      </c>
      <c r="Q319" s="10">
        <v>159</v>
      </c>
      <c r="R319" s="10" t="str">
        <f>VLOOKUP(Cleaned_datasetB[[#This Row],[Weather_Code]],Lookup_Tables!$E$9:$F$13,2,FALSE)</f>
        <v>Clear</v>
      </c>
      <c r="S319" s="10" t="str">
        <f>INDEX(Lookup_Tables!$I$10:$I$16,MATCH(Cleaned_datasetB[[#This Row],[Day_Code]],Lookup_Tables!$H$10:$H$16,0))</f>
        <v>Friday</v>
      </c>
      <c r="T319" s="10" t="str">
        <f>VLOOKUP(Cleaned_datasetB[[#This Row],[Month]], Lookup_Tables!$K$8:$L$19, 2, FALSE)</f>
        <v>January</v>
      </c>
      <c r="U319" s="10" t="str">
        <f>IF(AND(Cleaned_datasetB[[#This Row],[Day_Type]]="Weekday",Cleaned_datasetB[[#This Row],[Is_Holiday]]=FALSE),"Working Day","Non-Working Day")</f>
        <v>Working Day</v>
      </c>
    </row>
    <row r="320" spans="1:21">
      <c r="A320" s="10">
        <v>319</v>
      </c>
      <c r="B320" s="23">
        <v>40557</v>
      </c>
      <c r="C320" s="10">
        <v>1</v>
      </c>
      <c r="D320" s="10">
        <v>0</v>
      </c>
      <c r="E320" s="10">
        <v>1</v>
      </c>
      <c r="F320" s="10">
        <v>18</v>
      </c>
      <c r="G320" s="10" t="b">
        <v>0</v>
      </c>
      <c r="H320" s="10">
        <v>5</v>
      </c>
      <c r="I320" s="10" t="str">
        <f>IF(OR(Cleaned_datasetB[[#This Row],[Day_Code]]=0,Cleaned_datasetB[[#This Row],[Day_Code]]=6),"Weekend","Weekday")</f>
        <v>Weekday</v>
      </c>
      <c r="J320" s="10">
        <v>1</v>
      </c>
      <c r="K320" s="10">
        <v>0.2</v>
      </c>
      <c r="L320" s="51">
        <v>0.2576</v>
      </c>
      <c r="M320" s="10">
        <v>0.47</v>
      </c>
      <c r="N320" s="10">
        <v>0</v>
      </c>
      <c r="O320" s="10">
        <v>5</v>
      </c>
      <c r="P320" s="10">
        <v>134</v>
      </c>
      <c r="Q320" s="10">
        <v>139</v>
      </c>
      <c r="R320" s="10" t="str">
        <f>VLOOKUP(Cleaned_datasetB[[#This Row],[Weather_Code]],Lookup_Tables!$E$9:$F$13,2,FALSE)</f>
        <v>Clear</v>
      </c>
      <c r="S320" s="10" t="str">
        <f>INDEX(Lookup_Tables!$I$10:$I$16,MATCH(Cleaned_datasetB[[#This Row],[Day_Code]],Lookup_Tables!$H$10:$H$16,0))</f>
        <v>Friday</v>
      </c>
      <c r="T320" s="10" t="str">
        <f>VLOOKUP(Cleaned_datasetB[[#This Row],[Month]], Lookup_Tables!$K$8:$L$19, 2, FALSE)</f>
        <v>January</v>
      </c>
      <c r="U320" s="10" t="str">
        <f>IF(AND(Cleaned_datasetB[[#This Row],[Day_Type]]="Weekday",Cleaned_datasetB[[#This Row],[Is_Holiday]]=FALSE),"Working Day","Non-Working Day")</f>
        <v>Working Day</v>
      </c>
    </row>
    <row r="321" spans="1:21">
      <c r="A321" s="10">
        <v>320</v>
      </c>
      <c r="B321" s="23">
        <v>40557</v>
      </c>
      <c r="C321" s="10">
        <v>1</v>
      </c>
      <c r="D321" s="10">
        <v>0</v>
      </c>
      <c r="E321" s="10">
        <v>1</v>
      </c>
      <c r="F321" s="10">
        <v>19</v>
      </c>
      <c r="G321" s="10" t="b">
        <v>0</v>
      </c>
      <c r="H321" s="10">
        <v>5</v>
      </c>
      <c r="I321" s="10" t="str">
        <f>IF(OR(Cleaned_datasetB[[#This Row],[Day_Code]]=0,Cleaned_datasetB[[#This Row],[Day_Code]]=6),"Weekend","Weekday")</f>
        <v>Weekday</v>
      </c>
      <c r="J321" s="10">
        <v>1</v>
      </c>
      <c r="K321" s="10">
        <v>0.16</v>
      </c>
      <c r="L321" s="51">
        <v>0.19700000000000001</v>
      </c>
      <c r="M321" s="10">
        <v>0.59</v>
      </c>
      <c r="N321" s="10">
        <v>8.9599999999999999E-2</v>
      </c>
      <c r="O321" s="10">
        <v>3</v>
      </c>
      <c r="P321" s="10">
        <v>89</v>
      </c>
      <c r="Q321" s="10">
        <v>92</v>
      </c>
      <c r="R321" s="10" t="str">
        <f>VLOOKUP(Cleaned_datasetB[[#This Row],[Weather_Code]],Lookup_Tables!$E$9:$F$13,2,FALSE)</f>
        <v>Clear</v>
      </c>
      <c r="S321" s="10" t="str">
        <f>INDEX(Lookup_Tables!$I$10:$I$16,MATCH(Cleaned_datasetB[[#This Row],[Day_Code]],Lookup_Tables!$H$10:$H$16,0))</f>
        <v>Friday</v>
      </c>
      <c r="T321" s="10" t="str">
        <f>VLOOKUP(Cleaned_datasetB[[#This Row],[Month]], Lookup_Tables!$K$8:$L$19, 2, FALSE)</f>
        <v>January</v>
      </c>
      <c r="U321" s="10" t="str">
        <f>IF(AND(Cleaned_datasetB[[#This Row],[Day_Type]]="Weekday",Cleaned_datasetB[[#This Row],[Is_Holiday]]=FALSE),"Working Day","Non-Working Day")</f>
        <v>Working Day</v>
      </c>
    </row>
    <row r="322" spans="1:21">
      <c r="A322" s="10">
        <v>321</v>
      </c>
      <c r="B322" s="23">
        <v>40557</v>
      </c>
      <c r="C322" s="10">
        <v>1</v>
      </c>
      <c r="D322" s="10">
        <v>0</v>
      </c>
      <c r="E322" s="10">
        <v>1</v>
      </c>
      <c r="F322" s="10">
        <v>20</v>
      </c>
      <c r="G322" s="10" t="b">
        <v>0</v>
      </c>
      <c r="H322" s="10">
        <v>5</v>
      </c>
      <c r="I322" s="10" t="str">
        <f>IF(OR(Cleaned_datasetB[[#This Row],[Day_Code]]=0,Cleaned_datasetB[[#This Row],[Day_Code]]=6),"Weekend","Weekday")</f>
        <v>Weekday</v>
      </c>
      <c r="J322" s="10">
        <v>1</v>
      </c>
      <c r="K322" s="10">
        <v>0.18</v>
      </c>
      <c r="L322" s="51">
        <v>0.2424</v>
      </c>
      <c r="M322" s="10">
        <v>0.59</v>
      </c>
      <c r="N322" s="10">
        <v>0</v>
      </c>
      <c r="O322" s="10">
        <v>0</v>
      </c>
      <c r="P322" s="10">
        <v>68</v>
      </c>
      <c r="Q322" s="10">
        <v>68</v>
      </c>
      <c r="R322" s="10" t="str">
        <f>VLOOKUP(Cleaned_datasetB[[#This Row],[Weather_Code]],Lookup_Tables!$E$9:$F$13,2,FALSE)</f>
        <v>Clear</v>
      </c>
      <c r="S322" s="10" t="str">
        <f>INDEX(Lookup_Tables!$I$10:$I$16,MATCH(Cleaned_datasetB[[#This Row],[Day_Code]],Lookup_Tables!$H$10:$H$16,0))</f>
        <v>Friday</v>
      </c>
      <c r="T322" s="10" t="str">
        <f>VLOOKUP(Cleaned_datasetB[[#This Row],[Month]], Lookup_Tables!$K$8:$L$19, 2, FALSE)</f>
        <v>January</v>
      </c>
      <c r="U322" s="10" t="str">
        <f>IF(AND(Cleaned_datasetB[[#This Row],[Day_Type]]="Weekday",Cleaned_datasetB[[#This Row],[Is_Holiday]]=FALSE),"Working Day","Non-Working Day")</f>
        <v>Working Day</v>
      </c>
    </row>
    <row r="323" spans="1:21">
      <c r="A323" s="10">
        <v>322</v>
      </c>
      <c r="B323" s="23">
        <v>40557</v>
      </c>
      <c r="C323" s="10">
        <v>1</v>
      </c>
      <c r="D323" s="10">
        <v>0</v>
      </c>
      <c r="E323" s="10">
        <v>1</v>
      </c>
      <c r="F323" s="10">
        <v>21</v>
      </c>
      <c r="G323" s="10" t="b">
        <v>0</v>
      </c>
      <c r="H323" s="10">
        <v>5</v>
      </c>
      <c r="I323" s="10" t="str">
        <f>IF(OR(Cleaned_datasetB[[#This Row],[Day_Code]]=0,Cleaned_datasetB[[#This Row],[Day_Code]]=6),"Weekend","Weekday")</f>
        <v>Weekday</v>
      </c>
      <c r="J323" s="10">
        <v>1</v>
      </c>
      <c r="K323" s="10">
        <v>0.16</v>
      </c>
      <c r="L323" s="51">
        <v>0.2273</v>
      </c>
      <c r="M323" s="10">
        <v>0.69</v>
      </c>
      <c r="N323" s="10">
        <v>0</v>
      </c>
      <c r="O323" s="10">
        <v>4</v>
      </c>
      <c r="P323" s="10">
        <v>48</v>
      </c>
      <c r="Q323" s="10">
        <v>52</v>
      </c>
      <c r="R323" s="10" t="str">
        <f>VLOOKUP(Cleaned_datasetB[[#This Row],[Weather_Code]],Lookup_Tables!$E$9:$F$13,2,FALSE)</f>
        <v>Clear</v>
      </c>
      <c r="S323" s="10" t="str">
        <f>INDEX(Lookup_Tables!$I$10:$I$16,MATCH(Cleaned_datasetB[[#This Row],[Day_Code]],Lookup_Tables!$H$10:$H$16,0))</f>
        <v>Friday</v>
      </c>
      <c r="T323" s="10" t="str">
        <f>VLOOKUP(Cleaned_datasetB[[#This Row],[Month]], Lookup_Tables!$K$8:$L$19, 2, FALSE)</f>
        <v>January</v>
      </c>
      <c r="U323" s="10" t="str">
        <f>IF(AND(Cleaned_datasetB[[#This Row],[Day_Type]]="Weekday",Cleaned_datasetB[[#This Row],[Is_Holiday]]=FALSE),"Working Day","Non-Working Day")</f>
        <v>Working Day</v>
      </c>
    </row>
    <row r="324" spans="1:21">
      <c r="A324" s="10">
        <v>323</v>
      </c>
      <c r="B324" s="23">
        <v>40557</v>
      </c>
      <c r="C324" s="10">
        <v>1</v>
      </c>
      <c r="D324" s="10">
        <v>0</v>
      </c>
      <c r="E324" s="10">
        <v>1</v>
      </c>
      <c r="F324" s="10">
        <v>22</v>
      </c>
      <c r="G324" s="10" t="b">
        <v>0</v>
      </c>
      <c r="H324" s="10">
        <v>5</v>
      </c>
      <c r="I324" s="10" t="str">
        <f>IF(OR(Cleaned_datasetB[[#This Row],[Day_Code]]=0,Cleaned_datasetB[[#This Row],[Day_Code]]=6),"Weekend","Weekday")</f>
        <v>Weekday</v>
      </c>
      <c r="J324" s="10">
        <v>2</v>
      </c>
      <c r="K324" s="10">
        <v>0.16</v>
      </c>
      <c r="L324" s="51">
        <v>0.2273</v>
      </c>
      <c r="M324" s="10">
        <v>0.69</v>
      </c>
      <c r="N324" s="10">
        <v>0</v>
      </c>
      <c r="O324" s="10">
        <v>2</v>
      </c>
      <c r="P324" s="10">
        <v>34</v>
      </c>
      <c r="Q324" s="10">
        <v>36</v>
      </c>
      <c r="R324" s="10" t="str">
        <f>VLOOKUP(Cleaned_datasetB[[#This Row],[Weather_Code]],Lookup_Tables!$E$9:$F$13,2,FALSE)</f>
        <v>Cloudy</v>
      </c>
      <c r="S324" s="10" t="str">
        <f>INDEX(Lookup_Tables!$I$10:$I$16,MATCH(Cleaned_datasetB[[#This Row],[Day_Code]],Lookup_Tables!$H$10:$H$16,0))</f>
        <v>Friday</v>
      </c>
      <c r="T324" s="10" t="str">
        <f>VLOOKUP(Cleaned_datasetB[[#This Row],[Month]], Lookup_Tables!$K$8:$L$19, 2, FALSE)</f>
        <v>January</v>
      </c>
      <c r="U324" s="10" t="str">
        <f>IF(AND(Cleaned_datasetB[[#This Row],[Day_Type]]="Weekday",Cleaned_datasetB[[#This Row],[Is_Holiday]]=FALSE),"Working Day","Non-Working Day")</f>
        <v>Working Day</v>
      </c>
    </row>
    <row r="325" spans="1:21">
      <c r="A325" s="10">
        <v>324</v>
      </c>
      <c r="B325" s="23">
        <v>40557</v>
      </c>
      <c r="C325" s="10">
        <v>1</v>
      </c>
      <c r="D325" s="10">
        <v>0</v>
      </c>
      <c r="E325" s="10">
        <v>1</v>
      </c>
      <c r="F325" s="10">
        <v>23</v>
      </c>
      <c r="G325" s="10" t="b">
        <v>0</v>
      </c>
      <c r="H325" s="10">
        <v>5</v>
      </c>
      <c r="I325" s="10" t="str">
        <f>IF(OR(Cleaned_datasetB[[#This Row],[Day_Code]]=0,Cleaned_datasetB[[#This Row],[Day_Code]]=6),"Weekend","Weekday")</f>
        <v>Weekday</v>
      </c>
      <c r="J325" s="10">
        <v>2</v>
      </c>
      <c r="K325" s="10">
        <v>0.18</v>
      </c>
      <c r="L325" s="51">
        <v>0.2424</v>
      </c>
      <c r="M325" s="10">
        <v>0.55000000000000004</v>
      </c>
      <c r="N325" s="10">
        <v>0</v>
      </c>
      <c r="O325" s="10">
        <v>1</v>
      </c>
      <c r="P325" s="10">
        <v>26</v>
      </c>
      <c r="Q325" s="10">
        <v>27</v>
      </c>
      <c r="R325" s="10" t="str">
        <f>VLOOKUP(Cleaned_datasetB[[#This Row],[Weather_Code]],Lookup_Tables!$E$9:$F$13,2,FALSE)</f>
        <v>Cloudy</v>
      </c>
      <c r="S325" s="10" t="str">
        <f>INDEX(Lookup_Tables!$I$10:$I$16,MATCH(Cleaned_datasetB[[#This Row],[Day_Code]],Lookup_Tables!$H$10:$H$16,0))</f>
        <v>Friday</v>
      </c>
      <c r="T325" s="10" t="str">
        <f>VLOOKUP(Cleaned_datasetB[[#This Row],[Month]], Lookup_Tables!$K$8:$L$19, 2, FALSE)</f>
        <v>January</v>
      </c>
      <c r="U325" s="10" t="str">
        <f>IF(AND(Cleaned_datasetB[[#This Row],[Day_Type]]="Weekday",Cleaned_datasetB[[#This Row],[Is_Holiday]]=FALSE),"Working Day","Non-Working Day")</f>
        <v>Working Day</v>
      </c>
    </row>
    <row r="326" spans="1:21">
      <c r="A326" s="10">
        <v>325</v>
      </c>
      <c r="B326" s="23">
        <v>40558</v>
      </c>
      <c r="C326" s="10">
        <v>1</v>
      </c>
      <c r="D326" s="10">
        <v>0</v>
      </c>
      <c r="E326" s="10">
        <v>1</v>
      </c>
      <c r="F326" s="10">
        <v>0</v>
      </c>
      <c r="G326" s="10" t="b">
        <v>0</v>
      </c>
      <c r="H326" s="10">
        <v>6</v>
      </c>
      <c r="I326" s="10" t="str">
        <f>IF(OR(Cleaned_datasetB[[#This Row],[Day_Code]]=0,Cleaned_datasetB[[#This Row],[Day_Code]]=6),"Weekend","Weekday")</f>
        <v>Weekend</v>
      </c>
      <c r="J326" s="10">
        <v>1</v>
      </c>
      <c r="K326" s="10">
        <v>0.18</v>
      </c>
      <c r="L326" s="51">
        <v>0.2424</v>
      </c>
      <c r="M326" s="10">
        <v>0.55000000000000004</v>
      </c>
      <c r="N326" s="10">
        <v>0</v>
      </c>
      <c r="O326" s="10">
        <v>3</v>
      </c>
      <c r="P326" s="10">
        <v>25</v>
      </c>
      <c r="Q326" s="10">
        <v>28</v>
      </c>
      <c r="R326" s="10" t="str">
        <f>VLOOKUP(Cleaned_datasetB[[#This Row],[Weather_Code]],Lookup_Tables!$E$9:$F$13,2,FALSE)</f>
        <v>Clear</v>
      </c>
      <c r="S326" s="10" t="str">
        <f>INDEX(Lookup_Tables!$I$10:$I$16,MATCH(Cleaned_datasetB[[#This Row],[Day_Code]],Lookup_Tables!$H$10:$H$16,0))</f>
        <v>Saturday</v>
      </c>
      <c r="T326" s="10" t="str">
        <f>VLOOKUP(Cleaned_datasetB[[#This Row],[Month]], Lookup_Tables!$K$8:$L$19, 2, FALSE)</f>
        <v>January</v>
      </c>
      <c r="U326" s="10" t="str">
        <f>IF(AND(Cleaned_datasetB[[#This Row],[Day_Type]]="Weekday",Cleaned_datasetB[[#This Row],[Is_Holiday]]=FALSE),"Working Day","Non-Working Day")</f>
        <v>Non-Working Day</v>
      </c>
    </row>
    <row r="327" spans="1:21">
      <c r="A327" s="10">
        <v>326</v>
      </c>
      <c r="B327" s="23">
        <v>40558</v>
      </c>
      <c r="C327" s="10">
        <v>1</v>
      </c>
      <c r="D327" s="10">
        <v>0</v>
      </c>
      <c r="E327" s="10">
        <v>1</v>
      </c>
      <c r="F327" s="10">
        <v>1</v>
      </c>
      <c r="G327" s="10" t="b">
        <v>0</v>
      </c>
      <c r="H327" s="10">
        <v>6</v>
      </c>
      <c r="I327" s="10" t="str">
        <f>IF(OR(Cleaned_datasetB[[#This Row],[Day_Code]]=0,Cleaned_datasetB[[#This Row],[Day_Code]]=6),"Weekend","Weekday")</f>
        <v>Weekend</v>
      </c>
      <c r="J327" s="10">
        <v>2</v>
      </c>
      <c r="K327" s="10">
        <v>0.16</v>
      </c>
      <c r="L327" s="51">
        <v>0.19700000000000001</v>
      </c>
      <c r="M327" s="10">
        <v>0.59</v>
      </c>
      <c r="N327" s="10">
        <v>8.9599999999999999E-2</v>
      </c>
      <c r="O327" s="10">
        <v>2</v>
      </c>
      <c r="P327" s="10">
        <v>18</v>
      </c>
      <c r="Q327" s="10">
        <v>20</v>
      </c>
      <c r="R327" s="10" t="str">
        <f>VLOOKUP(Cleaned_datasetB[[#This Row],[Weather_Code]],Lookup_Tables!$E$9:$F$13,2,FALSE)</f>
        <v>Cloudy</v>
      </c>
      <c r="S327" s="10" t="str">
        <f>INDEX(Lookup_Tables!$I$10:$I$16,MATCH(Cleaned_datasetB[[#This Row],[Day_Code]],Lookup_Tables!$H$10:$H$16,0))</f>
        <v>Saturday</v>
      </c>
      <c r="T327" s="10" t="str">
        <f>VLOOKUP(Cleaned_datasetB[[#This Row],[Month]], Lookup_Tables!$K$8:$L$19, 2, FALSE)</f>
        <v>January</v>
      </c>
      <c r="U327" s="10" t="str">
        <f>IF(AND(Cleaned_datasetB[[#This Row],[Day_Type]]="Weekday",Cleaned_datasetB[[#This Row],[Is_Holiday]]=FALSE),"Working Day","Non-Working Day")</f>
        <v>Non-Working Day</v>
      </c>
    </row>
    <row r="328" spans="1:21">
      <c r="A328" s="10">
        <v>327</v>
      </c>
      <c r="B328" s="23">
        <v>40558</v>
      </c>
      <c r="C328" s="10">
        <v>1</v>
      </c>
      <c r="D328" s="10">
        <v>0</v>
      </c>
      <c r="E328" s="10">
        <v>1</v>
      </c>
      <c r="F328" s="10">
        <v>2</v>
      </c>
      <c r="G328" s="10" t="b">
        <v>0</v>
      </c>
      <c r="H328" s="10">
        <v>6</v>
      </c>
      <c r="I328" s="10" t="str">
        <f>IF(OR(Cleaned_datasetB[[#This Row],[Day_Code]]=0,Cleaned_datasetB[[#This Row],[Day_Code]]=6),"Weekend","Weekday")</f>
        <v>Weekend</v>
      </c>
      <c r="J328" s="10">
        <v>2</v>
      </c>
      <c r="K328" s="10">
        <v>0.16</v>
      </c>
      <c r="L328" s="51">
        <v>0.19700000000000001</v>
      </c>
      <c r="M328" s="10">
        <v>0.59</v>
      </c>
      <c r="N328" s="10">
        <v>8.9599999999999999E-2</v>
      </c>
      <c r="O328" s="10">
        <v>0</v>
      </c>
      <c r="P328" s="10">
        <v>12</v>
      </c>
      <c r="Q328" s="10">
        <v>12</v>
      </c>
      <c r="R328" s="10" t="str">
        <f>VLOOKUP(Cleaned_datasetB[[#This Row],[Weather_Code]],Lookup_Tables!$E$9:$F$13,2,FALSE)</f>
        <v>Cloudy</v>
      </c>
      <c r="S328" s="10" t="str">
        <f>INDEX(Lookup_Tables!$I$10:$I$16,MATCH(Cleaned_datasetB[[#This Row],[Day_Code]],Lookup_Tables!$H$10:$H$16,0))</f>
        <v>Saturday</v>
      </c>
      <c r="T328" s="10" t="str">
        <f>VLOOKUP(Cleaned_datasetB[[#This Row],[Month]], Lookup_Tables!$K$8:$L$19, 2, FALSE)</f>
        <v>January</v>
      </c>
      <c r="U328" s="10" t="str">
        <f>IF(AND(Cleaned_datasetB[[#This Row],[Day_Type]]="Weekday",Cleaned_datasetB[[#This Row],[Is_Holiday]]=FALSE),"Working Day","Non-Working Day")</f>
        <v>Non-Working Day</v>
      </c>
    </row>
    <row r="329" spans="1:21">
      <c r="A329" s="10">
        <v>328</v>
      </c>
      <c r="B329" s="23">
        <v>40558</v>
      </c>
      <c r="C329" s="10">
        <v>1</v>
      </c>
      <c r="D329" s="10">
        <v>0</v>
      </c>
      <c r="E329" s="10">
        <v>1</v>
      </c>
      <c r="F329" s="10">
        <v>3</v>
      </c>
      <c r="G329" s="10" t="b">
        <v>0</v>
      </c>
      <c r="H329" s="10">
        <v>6</v>
      </c>
      <c r="I329" s="10" t="str">
        <f>IF(OR(Cleaned_datasetB[[#This Row],[Day_Code]]=0,Cleaned_datasetB[[#This Row],[Day_Code]]=6),"Weekend","Weekday")</f>
        <v>Weekend</v>
      </c>
      <c r="J329" s="10">
        <v>2</v>
      </c>
      <c r="K329" s="10">
        <v>0.16</v>
      </c>
      <c r="L329" s="51">
        <v>0.2273</v>
      </c>
      <c r="M329" s="10">
        <v>0.59</v>
      </c>
      <c r="N329" s="10">
        <v>0</v>
      </c>
      <c r="O329" s="10">
        <v>1</v>
      </c>
      <c r="P329" s="10">
        <v>7</v>
      </c>
      <c r="Q329" s="10">
        <v>8</v>
      </c>
      <c r="R329" s="10" t="str">
        <f>VLOOKUP(Cleaned_datasetB[[#This Row],[Weather_Code]],Lookup_Tables!$E$9:$F$13,2,FALSE)</f>
        <v>Cloudy</v>
      </c>
      <c r="S329" s="10" t="str">
        <f>INDEX(Lookup_Tables!$I$10:$I$16,MATCH(Cleaned_datasetB[[#This Row],[Day_Code]],Lookup_Tables!$H$10:$H$16,0))</f>
        <v>Saturday</v>
      </c>
      <c r="T329" s="10" t="str">
        <f>VLOOKUP(Cleaned_datasetB[[#This Row],[Month]], Lookup_Tables!$K$8:$L$19, 2, FALSE)</f>
        <v>January</v>
      </c>
      <c r="U329" s="10" t="str">
        <f>IF(AND(Cleaned_datasetB[[#This Row],[Day_Type]]="Weekday",Cleaned_datasetB[[#This Row],[Is_Holiday]]=FALSE),"Working Day","Non-Working Day")</f>
        <v>Non-Working Day</v>
      </c>
    </row>
    <row r="330" spans="1:21">
      <c r="A330" s="10">
        <v>329</v>
      </c>
      <c r="B330" s="23">
        <v>40558</v>
      </c>
      <c r="C330" s="10">
        <v>1</v>
      </c>
      <c r="D330" s="10">
        <v>0</v>
      </c>
      <c r="E330" s="10">
        <v>1</v>
      </c>
      <c r="F330" s="10">
        <v>4</v>
      </c>
      <c r="G330" s="10" t="b">
        <v>0</v>
      </c>
      <c r="H330" s="10">
        <v>6</v>
      </c>
      <c r="I330" s="10" t="str">
        <f>IF(OR(Cleaned_datasetB[[#This Row],[Day_Code]]=0,Cleaned_datasetB[[#This Row],[Day_Code]]=6),"Weekend","Weekday")</f>
        <v>Weekend</v>
      </c>
      <c r="J330" s="10">
        <v>2</v>
      </c>
      <c r="K330" s="10">
        <v>0.16</v>
      </c>
      <c r="L330" s="51">
        <v>0.2273</v>
      </c>
      <c r="M330" s="10">
        <v>0.59</v>
      </c>
      <c r="N330" s="10">
        <v>0</v>
      </c>
      <c r="O330" s="10">
        <v>0</v>
      </c>
      <c r="P330" s="10">
        <v>5</v>
      </c>
      <c r="Q330" s="10">
        <v>5</v>
      </c>
      <c r="R330" s="10" t="str">
        <f>VLOOKUP(Cleaned_datasetB[[#This Row],[Weather_Code]],Lookup_Tables!$E$9:$F$13,2,FALSE)</f>
        <v>Cloudy</v>
      </c>
      <c r="S330" s="10" t="str">
        <f>INDEX(Lookup_Tables!$I$10:$I$16,MATCH(Cleaned_datasetB[[#This Row],[Day_Code]],Lookup_Tables!$H$10:$H$16,0))</f>
        <v>Saturday</v>
      </c>
      <c r="T330" s="10" t="str">
        <f>VLOOKUP(Cleaned_datasetB[[#This Row],[Month]], Lookup_Tables!$K$8:$L$19, 2, FALSE)</f>
        <v>January</v>
      </c>
      <c r="U330" s="10" t="str">
        <f>IF(AND(Cleaned_datasetB[[#This Row],[Day_Type]]="Weekday",Cleaned_datasetB[[#This Row],[Is_Holiday]]=FALSE),"Working Day","Non-Working Day")</f>
        <v>Non-Working Day</v>
      </c>
    </row>
    <row r="331" spans="1:21">
      <c r="A331" s="10">
        <v>330</v>
      </c>
      <c r="B331" s="23">
        <v>40558</v>
      </c>
      <c r="C331" s="10">
        <v>1</v>
      </c>
      <c r="D331" s="10">
        <v>0</v>
      </c>
      <c r="E331" s="10">
        <v>1</v>
      </c>
      <c r="F331" s="10">
        <v>5</v>
      </c>
      <c r="G331" s="10" t="b">
        <v>0</v>
      </c>
      <c r="H331" s="10">
        <v>6</v>
      </c>
      <c r="I331" s="10" t="str">
        <f>IF(OR(Cleaned_datasetB[[#This Row],[Day_Code]]=0,Cleaned_datasetB[[#This Row],[Day_Code]]=6),"Weekend","Weekday")</f>
        <v>Weekend</v>
      </c>
      <c r="J331" s="10">
        <v>1</v>
      </c>
      <c r="K331" s="10">
        <v>0.16</v>
      </c>
      <c r="L331" s="51">
        <v>0.2273</v>
      </c>
      <c r="M331" s="10">
        <v>0.59</v>
      </c>
      <c r="N331" s="10">
        <v>0</v>
      </c>
      <c r="O331" s="10">
        <v>0</v>
      </c>
      <c r="P331" s="10">
        <v>1</v>
      </c>
      <c r="Q331" s="10">
        <v>1</v>
      </c>
      <c r="R331" s="10" t="str">
        <f>VLOOKUP(Cleaned_datasetB[[#This Row],[Weather_Code]],Lookup_Tables!$E$9:$F$13,2,FALSE)</f>
        <v>Clear</v>
      </c>
      <c r="S331" s="10" t="str">
        <f>INDEX(Lookup_Tables!$I$10:$I$16,MATCH(Cleaned_datasetB[[#This Row],[Day_Code]],Lookup_Tables!$H$10:$H$16,0))</f>
        <v>Saturday</v>
      </c>
      <c r="T331" s="10" t="str">
        <f>VLOOKUP(Cleaned_datasetB[[#This Row],[Month]], Lookup_Tables!$K$8:$L$19, 2, FALSE)</f>
        <v>January</v>
      </c>
      <c r="U331" s="10" t="str">
        <f>IF(AND(Cleaned_datasetB[[#This Row],[Day_Type]]="Weekday",Cleaned_datasetB[[#This Row],[Is_Holiday]]=FALSE),"Working Day","Non-Working Day")</f>
        <v>Non-Working Day</v>
      </c>
    </row>
    <row r="332" spans="1:21">
      <c r="A332" s="10">
        <v>331</v>
      </c>
      <c r="B332" s="23">
        <v>40558</v>
      </c>
      <c r="C332" s="10">
        <v>1</v>
      </c>
      <c r="D332" s="10">
        <v>0</v>
      </c>
      <c r="E332" s="10">
        <v>1</v>
      </c>
      <c r="F332" s="10">
        <v>6</v>
      </c>
      <c r="G332" s="10" t="b">
        <v>0</v>
      </c>
      <c r="H332" s="10">
        <v>6</v>
      </c>
      <c r="I332" s="10" t="str">
        <f>IF(OR(Cleaned_datasetB[[#This Row],[Day_Code]]=0,Cleaned_datasetB[[#This Row],[Day_Code]]=6),"Weekend","Weekday")</f>
        <v>Weekend</v>
      </c>
      <c r="J332" s="10">
        <v>1</v>
      </c>
      <c r="K332" s="10">
        <v>0.14000000000000001</v>
      </c>
      <c r="L332" s="51">
        <v>0.16669999999999999</v>
      </c>
      <c r="M332" s="10">
        <v>0.63</v>
      </c>
      <c r="N332" s="10">
        <v>0.1045</v>
      </c>
      <c r="O332" s="10">
        <v>1</v>
      </c>
      <c r="P332" s="10">
        <v>2</v>
      </c>
      <c r="Q332" s="10">
        <v>3</v>
      </c>
      <c r="R332" s="10" t="str">
        <f>VLOOKUP(Cleaned_datasetB[[#This Row],[Weather_Code]],Lookup_Tables!$E$9:$F$13,2,FALSE)</f>
        <v>Clear</v>
      </c>
      <c r="S332" s="10" t="str">
        <f>INDEX(Lookup_Tables!$I$10:$I$16,MATCH(Cleaned_datasetB[[#This Row],[Day_Code]],Lookup_Tables!$H$10:$H$16,0))</f>
        <v>Saturday</v>
      </c>
      <c r="T332" s="10" t="str">
        <f>VLOOKUP(Cleaned_datasetB[[#This Row],[Month]], Lookup_Tables!$K$8:$L$19, 2, FALSE)</f>
        <v>January</v>
      </c>
      <c r="U332" s="10" t="str">
        <f>IF(AND(Cleaned_datasetB[[#This Row],[Day_Type]]="Weekday",Cleaned_datasetB[[#This Row],[Is_Holiday]]=FALSE),"Working Day","Non-Working Day")</f>
        <v>Non-Working Day</v>
      </c>
    </row>
    <row r="333" spans="1:21">
      <c r="A333" s="10">
        <v>332</v>
      </c>
      <c r="B333" s="23">
        <v>40558</v>
      </c>
      <c r="C333" s="10">
        <v>1</v>
      </c>
      <c r="D333" s="10">
        <v>0</v>
      </c>
      <c r="E333" s="10">
        <v>1</v>
      </c>
      <c r="F333" s="10">
        <v>7</v>
      </c>
      <c r="G333" s="10" t="b">
        <v>0</v>
      </c>
      <c r="H333" s="10">
        <v>6</v>
      </c>
      <c r="I333" s="10" t="str">
        <f>IF(OR(Cleaned_datasetB[[#This Row],[Day_Code]]=0,Cleaned_datasetB[[#This Row],[Day_Code]]=6),"Weekend","Weekday")</f>
        <v>Weekend</v>
      </c>
      <c r="J333" s="10">
        <v>1</v>
      </c>
      <c r="K333" s="10">
        <v>0.14000000000000001</v>
      </c>
      <c r="L333" s="51">
        <v>0.21210000000000001</v>
      </c>
      <c r="M333" s="10">
        <v>0.63</v>
      </c>
      <c r="N333" s="10">
        <v>0</v>
      </c>
      <c r="O333" s="10">
        <v>1</v>
      </c>
      <c r="P333" s="10">
        <v>9</v>
      </c>
      <c r="Q333" s="10">
        <v>10</v>
      </c>
      <c r="R333" s="10" t="str">
        <f>VLOOKUP(Cleaned_datasetB[[#This Row],[Weather_Code]],Lookup_Tables!$E$9:$F$13,2,FALSE)</f>
        <v>Clear</v>
      </c>
      <c r="S333" s="10" t="str">
        <f>INDEX(Lookup_Tables!$I$10:$I$16,MATCH(Cleaned_datasetB[[#This Row],[Day_Code]],Lookup_Tables!$H$10:$H$16,0))</f>
        <v>Saturday</v>
      </c>
      <c r="T333" s="10" t="str">
        <f>VLOOKUP(Cleaned_datasetB[[#This Row],[Month]], Lookup_Tables!$K$8:$L$19, 2, FALSE)</f>
        <v>January</v>
      </c>
      <c r="U333" s="10" t="str">
        <f>IF(AND(Cleaned_datasetB[[#This Row],[Day_Type]]="Weekday",Cleaned_datasetB[[#This Row],[Is_Holiday]]=FALSE),"Working Day","Non-Working Day")</f>
        <v>Non-Working Day</v>
      </c>
    </row>
    <row r="334" spans="1:21">
      <c r="A334" s="10">
        <v>333</v>
      </c>
      <c r="B334" s="23">
        <v>40558</v>
      </c>
      <c r="C334" s="10">
        <v>1</v>
      </c>
      <c r="D334" s="10">
        <v>0</v>
      </c>
      <c r="E334" s="10">
        <v>1</v>
      </c>
      <c r="F334" s="10">
        <v>8</v>
      </c>
      <c r="G334" s="10" t="b">
        <v>0</v>
      </c>
      <c r="H334" s="10">
        <v>6</v>
      </c>
      <c r="I334" s="10" t="str">
        <f>IF(OR(Cleaned_datasetB[[#This Row],[Day_Code]]=0,Cleaned_datasetB[[#This Row],[Day_Code]]=6),"Weekend","Weekday")</f>
        <v>Weekend</v>
      </c>
      <c r="J334" s="10">
        <v>1</v>
      </c>
      <c r="K334" s="10">
        <v>0.14000000000000001</v>
      </c>
      <c r="L334" s="51">
        <v>0.1515</v>
      </c>
      <c r="M334" s="10">
        <v>0.63</v>
      </c>
      <c r="N334" s="10">
        <v>0.1343</v>
      </c>
      <c r="O334" s="10">
        <v>1</v>
      </c>
      <c r="P334" s="10">
        <v>22</v>
      </c>
      <c r="Q334" s="10">
        <v>23</v>
      </c>
      <c r="R334" s="10" t="str">
        <f>VLOOKUP(Cleaned_datasetB[[#This Row],[Weather_Code]],Lookup_Tables!$E$9:$F$13,2,FALSE)</f>
        <v>Clear</v>
      </c>
      <c r="S334" s="10" t="str">
        <f>INDEX(Lookup_Tables!$I$10:$I$16,MATCH(Cleaned_datasetB[[#This Row],[Day_Code]],Lookup_Tables!$H$10:$H$16,0))</f>
        <v>Saturday</v>
      </c>
      <c r="T334" s="10" t="str">
        <f>VLOOKUP(Cleaned_datasetB[[#This Row],[Month]], Lookup_Tables!$K$8:$L$19, 2, FALSE)</f>
        <v>January</v>
      </c>
      <c r="U334" s="10" t="str">
        <f>IF(AND(Cleaned_datasetB[[#This Row],[Day_Type]]="Weekday",Cleaned_datasetB[[#This Row],[Is_Holiday]]=FALSE),"Working Day","Non-Working Day")</f>
        <v>Non-Working Day</v>
      </c>
    </row>
    <row r="335" spans="1:21">
      <c r="A335" s="10">
        <v>334</v>
      </c>
      <c r="B335" s="23">
        <v>40558</v>
      </c>
      <c r="C335" s="10">
        <v>1</v>
      </c>
      <c r="D335" s="10">
        <v>0</v>
      </c>
      <c r="E335" s="10">
        <v>1</v>
      </c>
      <c r="F335" s="10">
        <v>9</v>
      </c>
      <c r="G335" s="10" t="b">
        <v>0</v>
      </c>
      <c r="H335" s="10">
        <v>6</v>
      </c>
      <c r="I335" s="10" t="str">
        <f>IF(OR(Cleaned_datasetB[[#This Row],[Day_Code]]=0,Cleaned_datasetB[[#This Row],[Day_Code]]=6),"Weekend","Weekday")</f>
        <v>Weekend</v>
      </c>
      <c r="J335" s="10">
        <v>1</v>
      </c>
      <c r="K335" s="10">
        <v>0.16</v>
      </c>
      <c r="L335" s="51">
        <v>0.18179999999999999</v>
      </c>
      <c r="M335" s="10">
        <v>0.64</v>
      </c>
      <c r="N335" s="10">
        <v>0.1343</v>
      </c>
      <c r="O335" s="10">
        <v>2</v>
      </c>
      <c r="P335" s="10">
        <v>31</v>
      </c>
      <c r="Q335" s="10">
        <v>33</v>
      </c>
      <c r="R335" s="10" t="str">
        <f>VLOOKUP(Cleaned_datasetB[[#This Row],[Weather_Code]],Lookup_Tables!$E$9:$F$13,2,FALSE)</f>
        <v>Clear</v>
      </c>
      <c r="S335" s="10" t="str">
        <f>INDEX(Lookup_Tables!$I$10:$I$16,MATCH(Cleaned_datasetB[[#This Row],[Day_Code]],Lookup_Tables!$H$10:$H$16,0))</f>
        <v>Saturday</v>
      </c>
      <c r="T335" s="10" t="str">
        <f>VLOOKUP(Cleaned_datasetB[[#This Row],[Month]], Lookup_Tables!$K$8:$L$19, 2, FALSE)</f>
        <v>January</v>
      </c>
      <c r="U335" s="10" t="str">
        <f>IF(AND(Cleaned_datasetB[[#This Row],[Day_Type]]="Weekday",Cleaned_datasetB[[#This Row],[Is_Holiday]]=FALSE),"Working Day","Non-Working Day")</f>
        <v>Non-Working Day</v>
      </c>
    </row>
    <row r="336" spans="1:21">
      <c r="A336" s="10">
        <v>335</v>
      </c>
      <c r="B336" s="23">
        <v>40558</v>
      </c>
      <c r="C336" s="10">
        <v>1</v>
      </c>
      <c r="D336" s="10">
        <v>0</v>
      </c>
      <c r="E336" s="10">
        <v>1</v>
      </c>
      <c r="F336" s="10">
        <v>10</v>
      </c>
      <c r="G336" s="10" t="b">
        <v>0</v>
      </c>
      <c r="H336" s="10">
        <v>6</v>
      </c>
      <c r="I336" s="10" t="str">
        <f>IF(OR(Cleaned_datasetB[[#This Row],[Day_Code]]=0,Cleaned_datasetB[[#This Row],[Day_Code]]=6),"Weekend","Weekday")</f>
        <v>Weekend</v>
      </c>
      <c r="J336" s="10">
        <v>1</v>
      </c>
      <c r="K336" s="10">
        <v>0.18</v>
      </c>
      <c r="L336" s="51">
        <v>0.19700000000000001</v>
      </c>
      <c r="M336" s="10">
        <v>0.59</v>
      </c>
      <c r="N336" s="10">
        <v>0.16420000000000001</v>
      </c>
      <c r="O336" s="10">
        <v>2</v>
      </c>
      <c r="P336" s="10">
        <v>57</v>
      </c>
      <c r="Q336" s="10">
        <v>59</v>
      </c>
      <c r="R336" s="10" t="str">
        <f>VLOOKUP(Cleaned_datasetB[[#This Row],[Weather_Code]],Lookup_Tables!$E$9:$F$13,2,FALSE)</f>
        <v>Clear</v>
      </c>
      <c r="S336" s="10" t="str">
        <f>INDEX(Lookup_Tables!$I$10:$I$16,MATCH(Cleaned_datasetB[[#This Row],[Day_Code]],Lookup_Tables!$H$10:$H$16,0))</f>
        <v>Saturday</v>
      </c>
      <c r="T336" s="10" t="str">
        <f>VLOOKUP(Cleaned_datasetB[[#This Row],[Month]], Lookup_Tables!$K$8:$L$19, 2, FALSE)</f>
        <v>January</v>
      </c>
      <c r="U336" s="10" t="str">
        <f>IF(AND(Cleaned_datasetB[[#This Row],[Day_Type]]="Weekday",Cleaned_datasetB[[#This Row],[Is_Holiday]]=FALSE),"Working Day","Non-Working Day")</f>
        <v>Non-Working Day</v>
      </c>
    </row>
    <row r="337" spans="1:21">
      <c r="A337" s="10">
        <v>336</v>
      </c>
      <c r="B337" s="23">
        <v>40558</v>
      </c>
      <c r="C337" s="10">
        <v>1</v>
      </c>
      <c r="D337" s="10">
        <v>0</v>
      </c>
      <c r="E337" s="10">
        <v>1</v>
      </c>
      <c r="F337" s="10">
        <v>11</v>
      </c>
      <c r="G337" s="10" t="b">
        <v>0</v>
      </c>
      <c r="H337" s="10">
        <v>6</v>
      </c>
      <c r="I337" s="10" t="str">
        <f>IF(OR(Cleaned_datasetB[[#This Row],[Day_Code]]=0,Cleaned_datasetB[[#This Row],[Day_Code]]=6),"Weekend","Weekday")</f>
        <v>Weekend</v>
      </c>
      <c r="J337" s="10">
        <v>1</v>
      </c>
      <c r="K337" s="10">
        <v>0.2</v>
      </c>
      <c r="L337" s="51">
        <v>0.19700000000000001</v>
      </c>
      <c r="M337" s="10">
        <v>0.55000000000000004</v>
      </c>
      <c r="N337" s="10">
        <v>0.22389999999999999</v>
      </c>
      <c r="O337" s="10">
        <v>18</v>
      </c>
      <c r="P337" s="10">
        <v>54</v>
      </c>
      <c r="Q337" s="10">
        <v>72</v>
      </c>
      <c r="R337" s="10" t="str">
        <f>VLOOKUP(Cleaned_datasetB[[#This Row],[Weather_Code]],Lookup_Tables!$E$9:$F$13,2,FALSE)</f>
        <v>Clear</v>
      </c>
      <c r="S337" s="10" t="str">
        <f>INDEX(Lookup_Tables!$I$10:$I$16,MATCH(Cleaned_datasetB[[#This Row],[Day_Code]],Lookup_Tables!$H$10:$H$16,0))</f>
        <v>Saturday</v>
      </c>
      <c r="T337" s="10" t="str">
        <f>VLOOKUP(Cleaned_datasetB[[#This Row],[Month]], Lookup_Tables!$K$8:$L$19, 2, FALSE)</f>
        <v>January</v>
      </c>
      <c r="U337" s="10" t="str">
        <f>IF(AND(Cleaned_datasetB[[#This Row],[Day_Type]]="Weekday",Cleaned_datasetB[[#This Row],[Is_Holiday]]=FALSE),"Working Day","Non-Working Day")</f>
        <v>Non-Working Day</v>
      </c>
    </row>
    <row r="338" spans="1:21">
      <c r="A338" s="10">
        <v>337</v>
      </c>
      <c r="B338" s="23">
        <v>40558</v>
      </c>
      <c r="C338" s="10">
        <v>1</v>
      </c>
      <c r="D338" s="10">
        <v>0</v>
      </c>
      <c r="E338" s="10">
        <v>1</v>
      </c>
      <c r="F338" s="10">
        <v>12</v>
      </c>
      <c r="G338" s="10" t="b">
        <v>0</v>
      </c>
      <c r="H338" s="10">
        <v>6</v>
      </c>
      <c r="I338" s="10" t="str">
        <f>IF(OR(Cleaned_datasetB[[#This Row],[Day_Code]]=0,Cleaned_datasetB[[#This Row],[Day_Code]]=6),"Weekend","Weekday")</f>
        <v>Weekend</v>
      </c>
      <c r="J338" s="10">
        <v>1</v>
      </c>
      <c r="K338" s="10">
        <v>0.24</v>
      </c>
      <c r="L338" s="51">
        <v>0.2273</v>
      </c>
      <c r="M338" s="10">
        <v>0.48</v>
      </c>
      <c r="N338" s="10">
        <v>0.22389999999999999</v>
      </c>
      <c r="O338" s="10">
        <v>15</v>
      </c>
      <c r="P338" s="10">
        <v>74</v>
      </c>
      <c r="Q338" s="10">
        <v>89</v>
      </c>
      <c r="R338" s="10" t="str">
        <f>VLOOKUP(Cleaned_datasetB[[#This Row],[Weather_Code]],Lookup_Tables!$E$9:$F$13,2,FALSE)</f>
        <v>Clear</v>
      </c>
      <c r="S338" s="10" t="str">
        <f>INDEX(Lookup_Tables!$I$10:$I$16,MATCH(Cleaned_datasetB[[#This Row],[Day_Code]],Lookup_Tables!$H$10:$H$16,0))</f>
        <v>Saturday</v>
      </c>
      <c r="T338" s="10" t="str">
        <f>VLOOKUP(Cleaned_datasetB[[#This Row],[Month]], Lookup_Tables!$K$8:$L$19, 2, FALSE)</f>
        <v>January</v>
      </c>
      <c r="U338" s="10" t="str">
        <f>IF(AND(Cleaned_datasetB[[#This Row],[Day_Type]]="Weekday",Cleaned_datasetB[[#This Row],[Is_Holiday]]=FALSE),"Working Day","Non-Working Day")</f>
        <v>Non-Working Day</v>
      </c>
    </row>
    <row r="339" spans="1:21">
      <c r="A339" s="10">
        <v>338</v>
      </c>
      <c r="B339" s="23">
        <v>40558</v>
      </c>
      <c r="C339" s="10">
        <v>1</v>
      </c>
      <c r="D339" s="10">
        <v>0</v>
      </c>
      <c r="E339" s="10">
        <v>1</v>
      </c>
      <c r="F339" s="10">
        <v>13</v>
      </c>
      <c r="G339" s="10" t="b">
        <v>0</v>
      </c>
      <c r="H339" s="10">
        <v>6</v>
      </c>
      <c r="I339" s="10" t="str">
        <f>IF(OR(Cleaned_datasetB[[#This Row],[Day_Code]]=0,Cleaned_datasetB[[#This Row],[Day_Code]]=6),"Weekend","Weekday")</f>
        <v>Weekend</v>
      </c>
      <c r="J339" s="10">
        <v>1</v>
      </c>
      <c r="K339" s="10">
        <v>0.28000000000000003</v>
      </c>
      <c r="L339" s="51">
        <v>0.2576</v>
      </c>
      <c r="M339" s="10">
        <v>0.38</v>
      </c>
      <c r="N339" s="10">
        <v>0.29849999999999999</v>
      </c>
      <c r="O339" s="10">
        <v>21</v>
      </c>
      <c r="P339" s="10">
        <v>80</v>
      </c>
      <c r="Q339" s="10">
        <v>101</v>
      </c>
      <c r="R339" s="10" t="str">
        <f>VLOOKUP(Cleaned_datasetB[[#This Row],[Weather_Code]],Lookup_Tables!$E$9:$F$13,2,FALSE)</f>
        <v>Clear</v>
      </c>
      <c r="S339" s="10" t="str">
        <f>INDEX(Lookup_Tables!$I$10:$I$16,MATCH(Cleaned_datasetB[[#This Row],[Day_Code]],Lookup_Tables!$H$10:$H$16,0))</f>
        <v>Saturday</v>
      </c>
      <c r="T339" s="10" t="str">
        <f>VLOOKUP(Cleaned_datasetB[[#This Row],[Month]], Lookup_Tables!$K$8:$L$19, 2, FALSE)</f>
        <v>January</v>
      </c>
      <c r="U339" s="10" t="str">
        <f>IF(AND(Cleaned_datasetB[[#This Row],[Day_Type]]="Weekday",Cleaned_datasetB[[#This Row],[Is_Holiday]]=FALSE),"Working Day","Non-Working Day")</f>
        <v>Non-Working Day</v>
      </c>
    </row>
    <row r="340" spans="1:21">
      <c r="A340" s="10">
        <v>339</v>
      </c>
      <c r="B340" s="23">
        <v>40558</v>
      </c>
      <c r="C340" s="10">
        <v>1</v>
      </c>
      <c r="D340" s="10">
        <v>0</v>
      </c>
      <c r="E340" s="10">
        <v>1</v>
      </c>
      <c r="F340" s="10">
        <v>14</v>
      </c>
      <c r="G340" s="10" t="b">
        <v>0</v>
      </c>
      <c r="H340" s="10">
        <v>6</v>
      </c>
      <c r="I340" s="10" t="str">
        <f>IF(OR(Cleaned_datasetB[[#This Row],[Day_Code]]=0,Cleaned_datasetB[[#This Row],[Day_Code]]=6),"Weekend","Weekday")</f>
        <v>Weekend</v>
      </c>
      <c r="J340" s="10">
        <v>1</v>
      </c>
      <c r="K340" s="10">
        <v>0.3</v>
      </c>
      <c r="L340" s="51">
        <v>0.28789999999999999</v>
      </c>
      <c r="M340" s="10">
        <v>0.39</v>
      </c>
      <c r="N340" s="10">
        <v>0.28360000000000002</v>
      </c>
      <c r="O340" s="10">
        <v>26</v>
      </c>
      <c r="P340" s="10">
        <v>92</v>
      </c>
      <c r="Q340" s="10">
        <v>118</v>
      </c>
      <c r="R340" s="10" t="str">
        <f>VLOOKUP(Cleaned_datasetB[[#This Row],[Weather_Code]],Lookup_Tables!$E$9:$F$13,2,FALSE)</f>
        <v>Clear</v>
      </c>
      <c r="S340" s="10" t="str">
        <f>INDEX(Lookup_Tables!$I$10:$I$16,MATCH(Cleaned_datasetB[[#This Row],[Day_Code]],Lookup_Tables!$H$10:$H$16,0))</f>
        <v>Saturday</v>
      </c>
      <c r="T340" s="10" t="str">
        <f>VLOOKUP(Cleaned_datasetB[[#This Row],[Month]], Lookup_Tables!$K$8:$L$19, 2, FALSE)</f>
        <v>January</v>
      </c>
      <c r="U340" s="10" t="str">
        <f>IF(AND(Cleaned_datasetB[[#This Row],[Day_Type]]="Weekday",Cleaned_datasetB[[#This Row],[Is_Holiday]]=FALSE),"Working Day","Non-Working Day")</f>
        <v>Non-Working Day</v>
      </c>
    </row>
    <row r="341" spans="1:21">
      <c r="A341" s="10">
        <v>340</v>
      </c>
      <c r="B341" s="23">
        <v>40558</v>
      </c>
      <c r="C341" s="10">
        <v>1</v>
      </c>
      <c r="D341" s="10">
        <v>0</v>
      </c>
      <c r="E341" s="10">
        <v>1</v>
      </c>
      <c r="F341" s="10">
        <v>15</v>
      </c>
      <c r="G341" s="10" t="b">
        <v>0</v>
      </c>
      <c r="H341" s="10">
        <v>6</v>
      </c>
      <c r="I341" s="10" t="str">
        <f>IF(OR(Cleaned_datasetB[[#This Row],[Day_Code]]=0,Cleaned_datasetB[[#This Row],[Day_Code]]=6),"Weekend","Weekday")</f>
        <v>Weekend</v>
      </c>
      <c r="J341" s="10">
        <v>2</v>
      </c>
      <c r="K341" s="10">
        <v>0.32</v>
      </c>
      <c r="L341" s="51">
        <v>0.31819999999999998</v>
      </c>
      <c r="M341" s="10">
        <v>0.36</v>
      </c>
      <c r="N341" s="10">
        <v>0.19400000000000001</v>
      </c>
      <c r="O341" s="10">
        <v>21</v>
      </c>
      <c r="P341" s="10">
        <v>108</v>
      </c>
      <c r="Q341" s="10">
        <v>129</v>
      </c>
      <c r="R341" s="10" t="str">
        <f>VLOOKUP(Cleaned_datasetB[[#This Row],[Weather_Code]],Lookup_Tables!$E$9:$F$13,2,FALSE)</f>
        <v>Cloudy</v>
      </c>
      <c r="S341" s="10" t="str">
        <f>INDEX(Lookup_Tables!$I$10:$I$16,MATCH(Cleaned_datasetB[[#This Row],[Day_Code]],Lookup_Tables!$H$10:$H$16,0))</f>
        <v>Saturday</v>
      </c>
      <c r="T341" s="10" t="str">
        <f>VLOOKUP(Cleaned_datasetB[[#This Row],[Month]], Lookup_Tables!$K$8:$L$19, 2, FALSE)</f>
        <v>January</v>
      </c>
      <c r="U341" s="10" t="str">
        <f>IF(AND(Cleaned_datasetB[[#This Row],[Day_Type]]="Weekday",Cleaned_datasetB[[#This Row],[Is_Holiday]]=FALSE),"Working Day","Non-Working Day")</f>
        <v>Non-Working Day</v>
      </c>
    </row>
    <row r="342" spans="1:21">
      <c r="A342" s="10">
        <v>341</v>
      </c>
      <c r="B342" s="23">
        <v>40558</v>
      </c>
      <c r="C342" s="10">
        <v>1</v>
      </c>
      <c r="D342" s="10">
        <v>0</v>
      </c>
      <c r="E342" s="10">
        <v>1</v>
      </c>
      <c r="F342" s="10">
        <v>16</v>
      </c>
      <c r="G342" s="10" t="b">
        <v>0</v>
      </c>
      <c r="H342" s="10">
        <v>6</v>
      </c>
      <c r="I342" s="10" t="str">
        <f>IF(OR(Cleaned_datasetB[[#This Row],[Day_Code]]=0,Cleaned_datasetB[[#This Row],[Day_Code]]=6),"Weekend","Weekday")</f>
        <v>Weekend</v>
      </c>
      <c r="J342" s="10">
        <v>2</v>
      </c>
      <c r="K342" s="10">
        <v>0.34</v>
      </c>
      <c r="L342" s="51">
        <v>0.33329999999999999</v>
      </c>
      <c r="M342" s="10">
        <v>0.34</v>
      </c>
      <c r="N342" s="10">
        <v>0.19400000000000001</v>
      </c>
      <c r="O342" s="10">
        <v>33</v>
      </c>
      <c r="P342" s="10">
        <v>95</v>
      </c>
      <c r="Q342" s="10">
        <v>128</v>
      </c>
      <c r="R342" s="10" t="str">
        <f>VLOOKUP(Cleaned_datasetB[[#This Row],[Weather_Code]],Lookup_Tables!$E$9:$F$13,2,FALSE)</f>
        <v>Cloudy</v>
      </c>
      <c r="S342" s="10" t="str">
        <f>INDEX(Lookup_Tables!$I$10:$I$16,MATCH(Cleaned_datasetB[[#This Row],[Day_Code]],Lookup_Tables!$H$10:$H$16,0))</f>
        <v>Saturday</v>
      </c>
      <c r="T342" s="10" t="str">
        <f>VLOOKUP(Cleaned_datasetB[[#This Row],[Month]], Lookup_Tables!$K$8:$L$19, 2, FALSE)</f>
        <v>January</v>
      </c>
      <c r="U342" s="10" t="str">
        <f>IF(AND(Cleaned_datasetB[[#This Row],[Day_Type]]="Weekday",Cleaned_datasetB[[#This Row],[Is_Holiday]]=FALSE),"Working Day","Non-Working Day")</f>
        <v>Non-Working Day</v>
      </c>
    </row>
    <row r="343" spans="1:21">
      <c r="A343" s="10">
        <v>342</v>
      </c>
      <c r="B343" s="23">
        <v>40558</v>
      </c>
      <c r="C343" s="10">
        <v>1</v>
      </c>
      <c r="D343" s="10">
        <v>0</v>
      </c>
      <c r="E343" s="10">
        <v>1</v>
      </c>
      <c r="F343" s="10">
        <v>17</v>
      </c>
      <c r="G343" s="10" t="b">
        <v>0</v>
      </c>
      <c r="H343" s="10">
        <v>6</v>
      </c>
      <c r="I343" s="10" t="str">
        <f>IF(OR(Cleaned_datasetB[[#This Row],[Day_Code]]=0,Cleaned_datasetB[[#This Row],[Day_Code]]=6),"Weekend","Weekday")</f>
        <v>Weekend</v>
      </c>
      <c r="J343" s="10">
        <v>2</v>
      </c>
      <c r="K343" s="10">
        <v>0.32</v>
      </c>
      <c r="L343" s="51">
        <v>0.30299999999999999</v>
      </c>
      <c r="M343" s="10">
        <v>0.36</v>
      </c>
      <c r="N343" s="10">
        <v>0.28360000000000002</v>
      </c>
      <c r="O343" s="10">
        <v>29</v>
      </c>
      <c r="P343" s="10">
        <v>54</v>
      </c>
      <c r="Q343" s="10">
        <v>83</v>
      </c>
      <c r="R343" s="10" t="str">
        <f>VLOOKUP(Cleaned_datasetB[[#This Row],[Weather_Code]],Lookup_Tables!$E$9:$F$13,2,FALSE)</f>
        <v>Cloudy</v>
      </c>
      <c r="S343" s="10" t="str">
        <f>INDEX(Lookup_Tables!$I$10:$I$16,MATCH(Cleaned_datasetB[[#This Row],[Day_Code]],Lookup_Tables!$H$10:$H$16,0))</f>
        <v>Saturday</v>
      </c>
      <c r="T343" s="10" t="str">
        <f>VLOOKUP(Cleaned_datasetB[[#This Row],[Month]], Lookup_Tables!$K$8:$L$19, 2, FALSE)</f>
        <v>January</v>
      </c>
      <c r="U343" s="10" t="str">
        <f>IF(AND(Cleaned_datasetB[[#This Row],[Day_Type]]="Weekday",Cleaned_datasetB[[#This Row],[Is_Holiday]]=FALSE),"Working Day","Non-Working Day")</f>
        <v>Non-Working Day</v>
      </c>
    </row>
    <row r="344" spans="1:21">
      <c r="A344" s="10">
        <v>343</v>
      </c>
      <c r="B344" s="23">
        <v>40558</v>
      </c>
      <c r="C344" s="10">
        <v>1</v>
      </c>
      <c r="D344" s="10">
        <v>0</v>
      </c>
      <c r="E344" s="10">
        <v>1</v>
      </c>
      <c r="F344" s="10">
        <v>18</v>
      </c>
      <c r="G344" s="10" t="b">
        <v>0</v>
      </c>
      <c r="H344" s="10">
        <v>6</v>
      </c>
      <c r="I344" s="10" t="str">
        <f>IF(OR(Cleaned_datasetB[[#This Row],[Day_Code]]=0,Cleaned_datasetB[[#This Row],[Day_Code]]=6),"Weekend","Weekday")</f>
        <v>Weekend</v>
      </c>
      <c r="J344" s="10">
        <v>2</v>
      </c>
      <c r="K344" s="10">
        <v>0.3</v>
      </c>
      <c r="L344" s="51">
        <v>0.28789999999999999</v>
      </c>
      <c r="M344" s="10">
        <v>0.45</v>
      </c>
      <c r="N344" s="10">
        <v>0.25369999999999998</v>
      </c>
      <c r="O344" s="10">
        <v>15</v>
      </c>
      <c r="P344" s="10">
        <v>69</v>
      </c>
      <c r="Q344" s="10">
        <v>84</v>
      </c>
      <c r="R344" s="10" t="str">
        <f>VLOOKUP(Cleaned_datasetB[[#This Row],[Weather_Code]],Lookup_Tables!$E$9:$F$13,2,FALSE)</f>
        <v>Cloudy</v>
      </c>
      <c r="S344" s="10" t="str">
        <f>INDEX(Lookup_Tables!$I$10:$I$16,MATCH(Cleaned_datasetB[[#This Row],[Day_Code]],Lookup_Tables!$H$10:$H$16,0))</f>
        <v>Saturday</v>
      </c>
      <c r="T344" s="10" t="str">
        <f>VLOOKUP(Cleaned_datasetB[[#This Row],[Month]], Lookup_Tables!$K$8:$L$19, 2, FALSE)</f>
        <v>January</v>
      </c>
      <c r="U344" s="10" t="str">
        <f>IF(AND(Cleaned_datasetB[[#This Row],[Day_Type]]="Weekday",Cleaned_datasetB[[#This Row],[Is_Holiday]]=FALSE),"Working Day","Non-Working Day")</f>
        <v>Non-Working Day</v>
      </c>
    </row>
    <row r="345" spans="1:21">
      <c r="A345" s="10">
        <v>344</v>
      </c>
      <c r="B345" s="23">
        <v>40558</v>
      </c>
      <c r="C345" s="10">
        <v>1</v>
      </c>
      <c r="D345" s="10">
        <v>0</v>
      </c>
      <c r="E345" s="10">
        <v>1</v>
      </c>
      <c r="F345" s="10">
        <v>19</v>
      </c>
      <c r="G345" s="10" t="b">
        <v>0</v>
      </c>
      <c r="H345" s="10">
        <v>6</v>
      </c>
      <c r="I345" s="10" t="str">
        <f>IF(OR(Cleaned_datasetB[[#This Row],[Day_Code]]=0,Cleaned_datasetB[[#This Row],[Day_Code]]=6),"Weekend","Weekday")</f>
        <v>Weekend</v>
      </c>
      <c r="J345" s="10">
        <v>2</v>
      </c>
      <c r="K345" s="10">
        <v>0.32</v>
      </c>
      <c r="L345" s="51">
        <v>0.30299999999999999</v>
      </c>
      <c r="M345" s="10">
        <v>0.39</v>
      </c>
      <c r="N345" s="10">
        <v>0.25369999999999998</v>
      </c>
      <c r="O345" s="10">
        <v>14</v>
      </c>
      <c r="P345" s="10">
        <v>60</v>
      </c>
      <c r="Q345" s="10">
        <v>74</v>
      </c>
      <c r="R345" s="10" t="str">
        <f>VLOOKUP(Cleaned_datasetB[[#This Row],[Weather_Code]],Lookup_Tables!$E$9:$F$13,2,FALSE)</f>
        <v>Cloudy</v>
      </c>
      <c r="S345" s="10" t="str">
        <f>INDEX(Lookup_Tables!$I$10:$I$16,MATCH(Cleaned_datasetB[[#This Row],[Day_Code]],Lookup_Tables!$H$10:$H$16,0))</f>
        <v>Saturday</v>
      </c>
      <c r="T345" s="10" t="str">
        <f>VLOOKUP(Cleaned_datasetB[[#This Row],[Month]], Lookup_Tables!$K$8:$L$19, 2, FALSE)</f>
        <v>January</v>
      </c>
      <c r="U345" s="10" t="str">
        <f>IF(AND(Cleaned_datasetB[[#This Row],[Day_Type]]="Weekday",Cleaned_datasetB[[#This Row],[Is_Holiday]]=FALSE),"Working Day","Non-Working Day")</f>
        <v>Non-Working Day</v>
      </c>
    </row>
    <row r="346" spans="1:21">
      <c r="A346" s="10">
        <v>345</v>
      </c>
      <c r="B346" s="23">
        <v>40558</v>
      </c>
      <c r="C346" s="10">
        <v>1</v>
      </c>
      <c r="D346" s="10">
        <v>0</v>
      </c>
      <c r="E346" s="10">
        <v>1</v>
      </c>
      <c r="F346" s="10">
        <v>20</v>
      </c>
      <c r="G346" s="10" t="b">
        <v>0</v>
      </c>
      <c r="H346" s="10">
        <v>6</v>
      </c>
      <c r="I346" s="10" t="str">
        <f>IF(OR(Cleaned_datasetB[[#This Row],[Day_Code]]=0,Cleaned_datasetB[[#This Row],[Day_Code]]=6),"Weekend","Weekday")</f>
        <v>Weekend</v>
      </c>
      <c r="J346" s="10">
        <v>2</v>
      </c>
      <c r="K346" s="10">
        <v>0.32</v>
      </c>
      <c r="L346" s="51">
        <v>0.30299999999999999</v>
      </c>
      <c r="M346" s="10">
        <v>0.39</v>
      </c>
      <c r="N346" s="10">
        <v>0.25369999999999998</v>
      </c>
      <c r="O346" s="10">
        <v>6</v>
      </c>
      <c r="P346" s="10">
        <v>35</v>
      </c>
      <c r="Q346" s="10">
        <v>41</v>
      </c>
      <c r="R346" s="10" t="str">
        <f>VLOOKUP(Cleaned_datasetB[[#This Row],[Weather_Code]],Lookup_Tables!$E$9:$F$13,2,FALSE)</f>
        <v>Cloudy</v>
      </c>
      <c r="S346" s="10" t="str">
        <f>INDEX(Lookup_Tables!$I$10:$I$16,MATCH(Cleaned_datasetB[[#This Row],[Day_Code]],Lookup_Tables!$H$10:$H$16,0))</f>
        <v>Saturday</v>
      </c>
      <c r="T346" s="10" t="str">
        <f>VLOOKUP(Cleaned_datasetB[[#This Row],[Month]], Lookup_Tables!$K$8:$L$19, 2, FALSE)</f>
        <v>January</v>
      </c>
      <c r="U346" s="10" t="str">
        <f>IF(AND(Cleaned_datasetB[[#This Row],[Day_Type]]="Weekday",Cleaned_datasetB[[#This Row],[Is_Holiday]]=FALSE),"Working Day","Non-Working Day")</f>
        <v>Non-Working Day</v>
      </c>
    </row>
    <row r="347" spans="1:21">
      <c r="A347" s="10">
        <v>346</v>
      </c>
      <c r="B347" s="23">
        <v>40558</v>
      </c>
      <c r="C347" s="10">
        <v>1</v>
      </c>
      <c r="D347" s="10">
        <v>0</v>
      </c>
      <c r="E347" s="10">
        <v>1</v>
      </c>
      <c r="F347" s="10">
        <v>21</v>
      </c>
      <c r="G347" s="10" t="b">
        <v>0</v>
      </c>
      <c r="H347" s="10">
        <v>6</v>
      </c>
      <c r="I347" s="10" t="str">
        <f>IF(OR(Cleaned_datasetB[[#This Row],[Day_Code]]=0,Cleaned_datasetB[[#This Row],[Day_Code]]=6),"Weekend","Weekday")</f>
        <v>Weekend</v>
      </c>
      <c r="J347" s="10">
        <v>2</v>
      </c>
      <c r="K347" s="10">
        <v>0.32</v>
      </c>
      <c r="L347" s="51">
        <v>0.30299999999999999</v>
      </c>
      <c r="M347" s="10">
        <v>0.39</v>
      </c>
      <c r="N347" s="10">
        <v>0.22389999999999999</v>
      </c>
      <c r="O347" s="10">
        <v>6</v>
      </c>
      <c r="P347" s="10">
        <v>51</v>
      </c>
      <c r="Q347" s="10">
        <v>57</v>
      </c>
      <c r="R347" s="10" t="str">
        <f>VLOOKUP(Cleaned_datasetB[[#This Row],[Weather_Code]],Lookup_Tables!$E$9:$F$13,2,FALSE)</f>
        <v>Cloudy</v>
      </c>
      <c r="S347" s="10" t="str">
        <f>INDEX(Lookup_Tables!$I$10:$I$16,MATCH(Cleaned_datasetB[[#This Row],[Day_Code]],Lookup_Tables!$H$10:$H$16,0))</f>
        <v>Saturday</v>
      </c>
      <c r="T347" s="10" t="str">
        <f>VLOOKUP(Cleaned_datasetB[[#This Row],[Month]], Lookup_Tables!$K$8:$L$19, 2, FALSE)</f>
        <v>January</v>
      </c>
      <c r="U347" s="10" t="str">
        <f>IF(AND(Cleaned_datasetB[[#This Row],[Day_Type]]="Weekday",Cleaned_datasetB[[#This Row],[Is_Holiday]]=FALSE),"Working Day","Non-Working Day")</f>
        <v>Non-Working Day</v>
      </c>
    </row>
    <row r="348" spans="1:21">
      <c r="A348" s="10">
        <v>347</v>
      </c>
      <c r="B348" s="23">
        <v>40558</v>
      </c>
      <c r="C348" s="10">
        <v>1</v>
      </c>
      <c r="D348" s="10">
        <v>0</v>
      </c>
      <c r="E348" s="10">
        <v>1</v>
      </c>
      <c r="F348" s="10">
        <v>22</v>
      </c>
      <c r="G348" s="10" t="b">
        <v>0</v>
      </c>
      <c r="H348" s="10">
        <v>6</v>
      </c>
      <c r="I348" s="10" t="str">
        <f>IF(OR(Cleaned_datasetB[[#This Row],[Day_Code]]=0,Cleaned_datasetB[[#This Row],[Day_Code]]=6),"Weekend","Weekday")</f>
        <v>Weekend</v>
      </c>
      <c r="J348" s="10">
        <v>2</v>
      </c>
      <c r="K348" s="10">
        <v>0.3</v>
      </c>
      <c r="L348" s="51">
        <v>0.31819999999999998</v>
      </c>
      <c r="M348" s="10">
        <v>0.42</v>
      </c>
      <c r="N348" s="10">
        <v>0.1045</v>
      </c>
      <c r="O348" s="10">
        <v>0</v>
      </c>
      <c r="P348" s="10">
        <v>26</v>
      </c>
      <c r="Q348" s="10">
        <v>26</v>
      </c>
      <c r="R348" s="10" t="str">
        <f>VLOOKUP(Cleaned_datasetB[[#This Row],[Weather_Code]],Lookup_Tables!$E$9:$F$13,2,FALSE)</f>
        <v>Cloudy</v>
      </c>
      <c r="S348" s="10" t="str">
        <f>INDEX(Lookup_Tables!$I$10:$I$16,MATCH(Cleaned_datasetB[[#This Row],[Day_Code]],Lookup_Tables!$H$10:$H$16,0))</f>
        <v>Saturday</v>
      </c>
      <c r="T348" s="10" t="str">
        <f>VLOOKUP(Cleaned_datasetB[[#This Row],[Month]], Lookup_Tables!$K$8:$L$19, 2, FALSE)</f>
        <v>January</v>
      </c>
      <c r="U348" s="10" t="str">
        <f>IF(AND(Cleaned_datasetB[[#This Row],[Day_Type]]="Weekday",Cleaned_datasetB[[#This Row],[Is_Holiday]]=FALSE),"Working Day","Non-Working Day")</f>
        <v>Non-Working Day</v>
      </c>
    </row>
    <row r="349" spans="1:21">
      <c r="A349" s="10">
        <v>348</v>
      </c>
      <c r="B349" s="23">
        <v>40558</v>
      </c>
      <c r="C349" s="10">
        <v>1</v>
      </c>
      <c r="D349" s="10">
        <v>0</v>
      </c>
      <c r="E349" s="10">
        <v>1</v>
      </c>
      <c r="F349" s="10">
        <v>23</v>
      </c>
      <c r="G349" s="10" t="b">
        <v>0</v>
      </c>
      <c r="H349" s="10">
        <v>6</v>
      </c>
      <c r="I349" s="10" t="str">
        <f>IF(OR(Cleaned_datasetB[[#This Row],[Day_Code]]=0,Cleaned_datasetB[[#This Row],[Day_Code]]=6),"Weekend","Weekday")</f>
        <v>Weekend</v>
      </c>
      <c r="J349" s="10">
        <v>1</v>
      </c>
      <c r="K349" s="10">
        <v>0.3</v>
      </c>
      <c r="L349" s="51">
        <v>0.28789999999999999</v>
      </c>
      <c r="M349" s="10">
        <v>0.45</v>
      </c>
      <c r="N349" s="10">
        <v>0.28360000000000002</v>
      </c>
      <c r="O349" s="10">
        <v>5</v>
      </c>
      <c r="P349" s="10">
        <v>39</v>
      </c>
      <c r="Q349" s="10">
        <v>44</v>
      </c>
      <c r="R349" s="10" t="str">
        <f>VLOOKUP(Cleaned_datasetB[[#This Row],[Weather_Code]],Lookup_Tables!$E$9:$F$13,2,FALSE)</f>
        <v>Clear</v>
      </c>
      <c r="S349" s="10" t="str">
        <f>INDEX(Lookup_Tables!$I$10:$I$16,MATCH(Cleaned_datasetB[[#This Row],[Day_Code]],Lookup_Tables!$H$10:$H$16,0))</f>
        <v>Saturday</v>
      </c>
      <c r="T349" s="10" t="str">
        <f>VLOOKUP(Cleaned_datasetB[[#This Row],[Month]], Lookup_Tables!$K$8:$L$19, 2, FALSE)</f>
        <v>January</v>
      </c>
      <c r="U349" s="10" t="str">
        <f>IF(AND(Cleaned_datasetB[[#This Row],[Day_Type]]="Weekday",Cleaned_datasetB[[#This Row],[Is_Holiday]]=FALSE),"Working Day","Non-Working Day")</f>
        <v>Non-Working Day</v>
      </c>
    </row>
    <row r="350" spans="1:21">
      <c r="A350" s="10">
        <v>349</v>
      </c>
      <c r="B350" s="23">
        <v>40559</v>
      </c>
      <c r="C350" s="10">
        <v>1</v>
      </c>
      <c r="D350" s="10">
        <v>0</v>
      </c>
      <c r="E350" s="10">
        <v>1</v>
      </c>
      <c r="F350" s="10">
        <v>0</v>
      </c>
      <c r="G350" s="10" t="b">
        <v>0</v>
      </c>
      <c r="H350" s="10">
        <v>0</v>
      </c>
      <c r="I350" s="10" t="str">
        <f>IF(OR(Cleaned_datasetB[[#This Row],[Day_Code]]=0,Cleaned_datasetB[[#This Row],[Day_Code]]=6),"Weekend","Weekday")</f>
        <v>Weekend</v>
      </c>
      <c r="J350" s="10">
        <v>1</v>
      </c>
      <c r="K350" s="10">
        <v>0.26</v>
      </c>
      <c r="L350" s="51">
        <v>0.30299999999999999</v>
      </c>
      <c r="M350" s="10">
        <v>0.56000000000000005</v>
      </c>
      <c r="N350" s="10">
        <v>0</v>
      </c>
      <c r="O350" s="10">
        <v>6</v>
      </c>
      <c r="P350" s="10">
        <v>33</v>
      </c>
      <c r="Q350" s="10">
        <v>39</v>
      </c>
      <c r="R350" s="10" t="str">
        <f>VLOOKUP(Cleaned_datasetB[[#This Row],[Weather_Code]],Lookup_Tables!$E$9:$F$13,2,FALSE)</f>
        <v>Clear</v>
      </c>
      <c r="S350" s="10" t="str">
        <f>INDEX(Lookup_Tables!$I$10:$I$16,MATCH(Cleaned_datasetB[[#This Row],[Day_Code]],Lookup_Tables!$H$10:$H$16,0))</f>
        <v>Sunday</v>
      </c>
      <c r="T350" s="10" t="str">
        <f>VLOOKUP(Cleaned_datasetB[[#This Row],[Month]], Lookup_Tables!$K$8:$L$19, 2, FALSE)</f>
        <v>January</v>
      </c>
      <c r="U350" s="10" t="str">
        <f>IF(AND(Cleaned_datasetB[[#This Row],[Day_Type]]="Weekday",Cleaned_datasetB[[#This Row],[Is_Holiday]]=FALSE),"Working Day","Non-Working Day")</f>
        <v>Non-Working Day</v>
      </c>
    </row>
    <row r="351" spans="1:21">
      <c r="A351" s="10">
        <v>350</v>
      </c>
      <c r="B351" s="23">
        <v>40559</v>
      </c>
      <c r="C351" s="10">
        <v>1</v>
      </c>
      <c r="D351" s="10">
        <v>0</v>
      </c>
      <c r="E351" s="10">
        <v>1</v>
      </c>
      <c r="F351" s="10">
        <v>1</v>
      </c>
      <c r="G351" s="10" t="b">
        <v>0</v>
      </c>
      <c r="H351" s="10">
        <v>0</v>
      </c>
      <c r="I351" s="10" t="str">
        <f>IF(OR(Cleaned_datasetB[[#This Row],[Day_Code]]=0,Cleaned_datasetB[[#This Row],[Day_Code]]=6),"Weekend","Weekday")</f>
        <v>Weekend</v>
      </c>
      <c r="J351" s="10">
        <v>1</v>
      </c>
      <c r="K351" s="10">
        <v>0.26</v>
      </c>
      <c r="L351" s="51">
        <v>0.2727</v>
      </c>
      <c r="M351" s="10">
        <v>0.56000000000000005</v>
      </c>
      <c r="N351" s="10">
        <v>0.1343</v>
      </c>
      <c r="O351" s="10">
        <v>4</v>
      </c>
      <c r="P351" s="10">
        <v>19</v>
      </c>
      <c r="Q351" s="10">
        <v>23</v>
      </c>
      <c r="R351" s="10" t="str">
        <f>VLOOKUP(Cleaned_datasetB[[#This Row],[Weather_Code]],Lookup_Tables!$E$9:$F$13,2,FALSE)</f>
        <v>Clear</v>
      </c>
      <c r="S351" s="10" t="str">
        <f>INDEX(Lookup_Tables!$I$10:$I$16,MATCH(Cleaned_datasetB[[#This Row],[Day_Code]],Lookup_Tables!$H$10:$H$16,0))</f>
        <v>Sunday</v>
      </c>
      <c r="T351" s="10" t="str">
        <f>VLOOKUP(Cleaned_datasetB[[#This Row],[Month]], Lookup_Tables!$K$8:$L$19, 2, FALSE)</f>
        <v>January</v>
      </c>
      <c r="U351" s="10" t="str">
        <f>IF(AND(Cleaned_datasetB[[#This Row],[Day_Type]]="Weekday",Cleaned_datasetB[[#This Row],[Is_Holiday]]=FALSE),"Working Day","Non-Working Day")</f>
        <v>Non-Working Day</v>
      </c>
    </row>
    <row r="352" spans="1:21">
      <c r="A352" s="10">
        <v>351</v>
      </c>
      <c r="B352" s="23">
        <v>40559</v>
      </c>
      <c r="C352" s="10">
        <v>1</v>
      </c>
      <c r="D352" s="10">
        <v>0</v>
      </c>
      <c r="E352" s="10">
        <v>1</v>
      </c>
      <c r="F352" s="10">
        <v>2</v>
      </c>
      <c r="G352" s="10" t="b">
        <v>0</v>
      </c>
      <c r="H352" s="10">
        <v>0</v>
      </c>
      <c r="I352" s="10" t="str">
        <f>IF(OR(Cleaned_datasetB[[#This Row],[Day_Code]]=0,Cleaned_datasetB[[#This Row],[Day_Code]]=6),"Weekend","Weekday")</f>
        <v>Weekend</v>
      </c>
      <c r="J352" s="10">
        <v>1</v>
      </c>
      <c r="K352" s="10">
        <v>0.26</v>
      </c>
      <c r="L352" s="51">
        <v>0.28789999999999999</v>
      </c>
      <c r="M352" s="10">
        <v>0.56000000000000005</v>
      </c>
      <c r="N352" s="10">
        <v>8.9599999999999999E-2</v>
      </c>
      <c r="O352" s="10">
        <v>3</v>
      </c>
      <c r="P352" s="10">
        <v>13</v>
      </c>
      <c r="Q352" s="10">
        <v>16</v>
      </c>
      <c r="R352" s="10" t="str">
        <f>VLOOKUP(Cleaned_datasetB[[#This Row],[Weather_Code]],Lookup_Tables!$E$9:$F$13,2,FALSE)</f>
        <v>Clear</v>
      </c>
      <c r="S352" s="10" t="str">
        <f>INDEX(Lookup_Tables!$I$10:$I$16,MATCH(Cleaned_datasetB[[#This Row],[Day_Code]],Lookup_Tables!$H$10:$H$16,0))</f>
        <v>Sunday</v>
      </c>
      <c r="T352" s="10" t="str">
        <f>VLOOKUP(Cleaned_datasetB[[#This Row],[Month]], Lookup_Tables!$K$8:$L$19, 2, FALSE)</f>
        <v>January</v>
      </c>
      <c r="U352" s="10" t="str">
        <f>IF(AND(Cleaned_datasetB[[#This Row],[Day_Type]]="Weekday",Cleaned_datasetB[[#This Row],[Is_Holiday]]=FALSE),"Working Day","Non-Working Day")</f>
        <v>Non-Working Day</v>
      </c>
    </row>
    <row r="353" spans="1:21">
      <c r="A353" s="10">
        <v>352</v>
      </c>
      <c r="B353" s="23">
        <v>40559</v>
      </c>
      <c r="C353" s="10">
        <v>1</v>
      </c>
      <c r="D353" s="10">
        <v>0</v>
      </c>
      <c r="E353" s="10">
        <v>1</v>
      </c>
      <c r="F353" s="10">
        <v>3</v>
      </c>
      <c r="G353" s="10" t="b">
        <v>0</v>
      </c>
      <c r="H353" s="10">
        <v>0</v>
      </c>
      <c r="I353" s="10" t="str">
        <f>IF(OR(Cleaned_datasetB[[#This Row],[Day_Code]]=0,Cleaned_datasetB[[#This Row],[Day_Code]]=6),"Weekend","Weekday")</f>
        <v>Weekend</v>
      </c>
      <c r="J353" s="10">
        <v>1</v>
      </c>
      <c r="K353" s="10">
        <v>0.22</v>
      </c>
      <c r="L353" s="51">
        <v>0.2727</v>
      </c>
      <c r="M353" s="10">
        <v>0.69</v>
      </c>
      <c r="N353" s="10">
        <v>0</v>
      </c>
      <c r="O353" s="10">
        <v>9</v>
      </c>
      <c r="P353" s="10">
        <v>6</v>
      </c>
      <c r="Q353" s="10">
        <v>15</v>
      </c>
      <c r="R353" s="10" t="str">
        <f>VLOOKUP(Cleaned_datasetB[[#This Row],[Weather_Code]],Lookup_Tables!$E$9:$F$13,2,FALSE)</f>
        <v>Clear</v>
      </c>
      <c r="S353" s="10" t="str">
        <f>INDEX(Lookup_Tables!$I$10:$I$16,MATCH(Cleaned_datasetB[[#This Row],[Day_Code]],Lookup_Tables!$H$10:$H$16,0))</f>
        <v>Sunday</v>
      </c>
      <c r="T353" s="10" t="str">
        <f>VLOOKUP(Cleaned_datasetB[[#This Row],[Month]], Lookup_Tables!$K$8:$L$19, 2, FALSE)</f>
        <v>January</v>
      </c>
      <c r="U353" s="10" t="str">
        <f>IF(AND(Cleaned_datasetB[[#This Row],[Day_Type]]="Weekday",Cleaned_datasetB[[#This Row],[Is_Holiday]]=FALSE),"Working Day","Non-Working Day")</f>
        <v>Non-Working Day</v>
      </c>
    </row>
    <row r="354" spans="1:21">
      <c r="A354" s="10">
        <v>353</v>
      </c>
      <c r="B354" s="23">
        <v>40559</v>
      </c>
      <c r="C354" s="10">
        <v>1</v>
      </c>
      <c r="D354" s="10">
        <v>0</v>
      </c>
      <c r="E354" s="10">
        <v>1</v>
      </c>
      <c r="F354" s="10">
        <v>4</v>
      </c>
      <c r="G354" s="10" t="b">
        <v>0</v>
      </c>
      <c r="H354" s="10">
        <v>0</v>
      </c>
      <c r="I354" s="10" t="str">
        <f>IF(OR(Cleaned_datasetB[[#This Row],[Day_Code]]=0,Cleaned_datasetB[[#This Row],[Day_Code]]=6),"Weekend","Weekday")</f>
        <v>Weekend</v>
      </c>
      <c r="J354" s="10">
        <v>1</v>
      </c>
      <c r="K354" s="10">
        <v>0.26</v>
      </c>
      <c r="L354" s="51">
        <v>0.2576</v>
      </c>
      <c r="M354" s="10">
        <v>0.56000000000000005</v>
      </c>
      <c r="N354" s="10">
        <v>0.16420000000000001</v>
      </c>
      <c r="O354" s="10">
        <v>0</v>
      </c>
      <c r="P354" s="10">
        <v>1</v>
      </c>
      <c r="Q354" s="10">
        <v>1</v>
      </c>
      <c r="R354" s="10" t="str">
        <f>VLOOKUP(Cleaned_datasetB[[#This Row],[Weather_Code]],Lookup_Tables!$E$9:$F$13,2,FALSE)</f>
        <v>Clear</v>
      </c>
      <c r="S354" s="10" t="str">
        <f>INDEX(Lookup_Tables!$I$10:$I$16,MATCH(Cleaned_datasetB[[#This Row],[Day_Code]],Lookup_Tables!$H$10:$H$16,0))</f>
        <v>Sunday</v>
      </c>
      <c r="T354" s="10" t="str">
        <f>VLOOKUP(Cleaned_datasetB[[#This Row],[Month]], Lookup_Tables!$K$8:$L$19, 2, FALSE)</f>
        <v>January</v>
      </c>
      <c r="U354" s="10" t="str">
        <f>IF(AND(Cleaned_datasetB[[#This Row],[Day_Type]]="Weekday",Cleaned_datasetB[[#This Row],[Is_Holiday]]=FALSE),"Working Day","Non-Working Day")</f>
        <v>Non-Working Day</v>
      </c>
    </row>
    <row r="355" spans="1:21">
      <c r="A355" s="10">
        <v>354</v>
      </c>
      <c r="B355" s="23">
        <v>40559</v>
      </c>
      <c r="C355" s="10">
        <v>1</v>
      </c>
      <c r="D355" s="10">
        <v>0</v>
      </c>
      <c r="E355" s="10">
        <v>1</v>
      </c>
      <c r="F355" s="10">
        <v>5</v>
      </c>
      <c r="G355" s="10" t="b">
        <v>0</v>
      </c>
      <c r="H355" s="10">
        <v>0</v>
      </c>
      <c r="I355" s="10" t="str">
        <f>IF(OR(Cleaned_datasetB[[#This Row],[Day_Code]]=0,Cleaned_datasetB[[#This Row],[Day_Code]]=6),"Weekend","Weekday")</f>
        <v>Weekend</v>
      </c>
      <c r="J355" s="10">
        <v>2</v>
      </c>
      <c r="K355" s="10">
        <v>0.26</v>
      </c>
      <c r="L355" s="51">
        <v>0.2576</v>
      </c>
      <c r="M355" s="10">
        <v>0.56000000000000005</v>
      </c>
      <c r="N355" s="10">
        <v>0.16420000000000001</v>
      </c>
      <c r="O355" s="10">
        <v>1</v>
      </c>
      <c r="P355" s="10">
        <v>1</v>
      </c>
      <c r="Q355" s="10">
        <v>2</v>
      </c>
      <c r="R355" s="10" t="str">
        <f>VLOOKUP(Cleaned_datasetB[[#This Row],[Weather_Code]],Lookup_Tables!$E$9:$F$13,2,FALSE)</f>
        <v>Cloudy</v>
      </c>
      <c r="S355" s="10" t="str">
        <f>INDEX(Lookup_Tables!$I$10:$I$16,MATCH(Cleaned_datasetB[[#This Row],[Day_Code]],Lookup_Tables!$H$10:$H$16,0))</f>
        <v>Sunday</v>
      </c>
      <c r="T355" s="10" t="str">
        <f>VLOOKUP(Cleaned_datasetB[[#This Row],[Month]], Lookup_Tables!$K$8:$L$19, 2, FALSE)</f>
        <v>January</v>
      </c>
      <c r="U355" s="10" t="str">
        <f>IF(AND(Cleaned_datasetB[[#This Row],[Day_Type]]="Weekday",Cleaned_datasetB[[#This Row],[Is_Holiday]]=FALSE),"Working Day","Non-Working Day")</f>
        <v>Non-Working Day</v>
      </c>
    </row>
    <row r="356" spans="1:21">
      <c r="A356" s="10">
        <v>355</v>
      </c>
      <c r="B356" s="23">
        <v>40559</v>
      </c>
      <c r="C356" s="10">
        <v>1</v>
      </c>
      <c r="D356" s="10">
        <v>0</v>
      </c>
      <c r="E356" s="10">
        <v>1</v>
      </c>
      <c r="F356" s="10">
        <v>6</v>
      </c>
      <c r="G356" s="10" t="b">
        <v>0</v>
      </c>
      <c r="H356" s="10">
        <v>0</v>
      </c>
      <c r="I356" s="10" t="str">
        <f>IF(OR(Cleaned_datasetB[[#This Row],[Day_Code]]=0,Cleaned_datasetB[[#This Row],[Day_Code]]=6),"Weekend","Weekday")</f>
        <v>Weekend</v>
      </c>
      <c r="J356" s="10">
        <v>2</v>
      </c>
      <c r="K356" s="10">
        <v>0.26</v>
      </c>
      <c r="L356" s="51">
        <v>0.2576</v>
      </c>
      <c r="M356" s="10">
        <v>0.56000000000000005</v>
      </c>
      <c r="N356" s="10">
        <v>0.16420000000000001</v>
      </c>
      <c r="O356" s="10">
        <v>0</v>
      </c>
      <c r="P356" s="10">
        <v>1</v>
      </c>
      <c r="Q356" s="10">
        <v>1</v>
      </c>
      <c r="R356" s="10" t="str">
        <f>VLOOKUP(Cleaned_datasetB[[#This Row],[Weather_Code]],Lookup_Tables!$E$9:$F$13,2,FALSE)</f>
        <v>Cloudy</v>
      </c>
      <c r="S356" s="10" t="str">
        <f>INDEX(Lookup_Tables!$I$10:$I$16,MATCH(Cleaned_datasetB[[#This Row],[Day_Code]],Lookup_Tables!$H$10:$H$16,0))</f>
        <v>Sunday</v>
      </c>
      <c r="T356" s="10" t="str">
        <f>VLOOKUP(Cleaned_datasetB[[#This Row],[Month]], Lookup_Tables!$K$8:$L$19, 2, FALSE)</f>
        <v>January</v>
      </c>
      <c r="U356" s="10" t="str">
        <f>IF(AND(Cleaned_datasetB[[#This Row],[Day_Type]]="Weekday",Cleaned_datasetB[[#This Row],[Is_Holiday]]=FALSE),"Working Day","Non-Working Day")</f>
        <v>Non-Working Day</v>
      </c>
    </row>
    <row r="357" spans="1:21">
      <c r="A357" s="10">
        <v>356</v>
      </c>
      <c r="B357" s="23">
        <v>40559</v>
      </c>
      <c r="C357" s="10">
        <v>1</v>
      </c>
      <c r="D357" s="10">
        <v>0</v>
      </c>
      <c r="E357" s="10">
        <v>1</v>
      </c>
      <c r="F357" s="10">
        <v>7</v>
      </c>
      <c r="G357" s="10" t="b">
        <v>0</v>
      </c>
      <c r="H357" s="10">
        <v>0</v>
      </c>
      <c r="I357" s="10" t="str">
        <f>IF(OR(Cleaned_datasetB[[#This Row],[Day_Code]]=0,Cleaned_datasetB[[#This Row],[Day_Code]]=6),"Weekend","Weekday")</f>
        <v>Weekend</v>
      </c>
      <c r="J357" s="10">
        <v>2</v>
      </c>
      <c r="K357" s="10">
        <v>0.24</v>
      </c>
      <c r="L357" s="51">
        <v>0.21210000000000001</v>
      </c>
      <c r="M357" s="10">
        <v>0.56000000000000005</v>
      </c>
      <c r="N357" s="10">
        <v>0.29849999999999999</v>
      </c>
      <c r="O357" s="10">
        <v>0</v>
      </c>
      <c r="P357" s="10">
        <v>3</v>
      </c>
      <c r="Q357" s="10">
        <v>3</v>
      </c>
      <c r="R357" s="10" t="str">
        <f>VLOOKUP(Cleaned_datasetB[[#This Row],[Weather_Code]],Lookup_Tables!$E$9:$F$13,2,FALSE)</f>
        <v>Cloudy</v>
      </c>
      <c r="S357" s="10" t="str">
        <f>INDEX(Lookup_Tables!$I$10:$I$16,MATCH(Cleaned_datasetB[[#This Row],[Day_Code]],Lookup_Tables!$H$10:$H$16,0))</f>
        <v>Sunday</v>
      </c>
      <c r="T357" s="10" t="str">
        <f>VLOOKUP(Cleaned_datasetB[[#This Row],[Month]], Lookup_Tables!$K$8:$L$19, 2, FALSE)</f>
        <v>January</v>
      </c>
      <c r="U357" s="10" t="str">
        <f>IF(AND(Cleaned_datasetB[[#This Row],[Day_Type]]="Weekday",Cleaned_datasetB[[#This Row],[Is_Holiday]]=FALSE),"Working Day","Non-Working Day")</f>
        <v>Non-Working Day</v>
      </c>
    </row>
    <row r="358" spans="1:21">
      <c r="A358" s="10">
        <v>357</v>
      </c>
      <c r="B358" s="23">
        <v>40559</v>
      </c>
      <c r="C358" s="10">
        <v>1</v>
      </c>
      <c r="D358" s="10">
        <v>0</v>
      </c>
      <c r="E358" s="10">
        <v>1</v>
      </c>
      <c r="F358" s="10">
        <v>8</v>
      </c>
      <c r="G358" s="10" t="b">
        <v>0</v>
      </c>
      <c r="H358" s="10">
        <v>0</v>
      </c>
      <c r="I358" s="10" t="str">
        <f>IF(OR(Cleaned_datasetB[[#This Row],[Day_Code]]=0,Cleaned_datasetB[[#This Row],[Day_Code]]=6),"Weekend","Weekday")</f>
        <v>Weekend</v>
      </c>
      <c r="J358" s="10">
        <v>1</v>
      </c>
      <c r="K358" s="10">
        <v>0.22</v>
      </c>
      <c r="L358" s="51">
        <v>0.21210000000000001</v>
      </c>
      <c r="M358" s="10">
        <v>0.55000000000000004</v>
      </c>
      <c r="N358" s="10">
        <v>0.28360000000000002</v>
      </c>
      <c r="O358" s="10">
        <v>0</v>
      </c>
      <c r="P358" s="10">
        <v>18</v>
      </c>
      <c r="Q358" s="10">
        <v>18</v>
      </c>
      <c r="R358" s="10" t="str">
        <f>VLOOKUP(Cleaned_datasetB[[#This Row],[Weather_Code]],Lookup_Tables!$E$9:$F$13,2,FALSE)</f>
        <v>Clear</v>
      </c>
      <c r="S358" s="10" t="str">
        <f>INDEX(Lookup_Tables!$I$10:$I$16,MATCH(Cleaned_datasetB[[#This Row],[Day_Code]],Lookup_Tables!$H$10:$H$16,0))</f>
        <v>Sunday</v>
      </c>
      <c r="T358" s="10" t="str">
        <f>VLOOKUP(Cleaned_datasetB[[#This Row],[Month]], Lookup_Tables!$K$8:$L$19, 2, FALSE)</f>
        <v>January</v>
      </c>
      <c r="U358" s="10" t="str">
        <f>IF(AND(Cleaned_datasetB[[#This Row],[Day_Type]]="Weekday",Cleaned_datasetB[[#This Row],[Is_Holiday]]=FALSE),"Working Day","Non-Working Day")</f>
        <v>Non-Working Day</v>
      </c>
    </row>
    <row r="359" spans="1:21">
      <c r="A359" s="10">
        <v>358</v>
      </c>
      <c r="B359" s="23">
        <v>40559</v>
      </c>
      <c r="C359" s="10">
        <v>1</v>
      </c>
      <c r="D359" s="10">
        <v>0</v>
      </c>
      <c r="E359" s="10">
        <v>1</v>
      </c>
      <c r="F359" s="10">
        <v>9</v>
      </c>
      <c r="G359" s="10" t="b">
        <v>0</v>
      </c>
      <c r="H359" s="10">
        <v>0</v>
      </c>
      <c r="I359" s="10" t="str">
        <f>IF(OR(Cleaned_datasetB[[#This Row],[Day_Code]]=0,Cleaned_datasetB[[#This Row],[Day_Code]]=6),"Weekend","Weekday")</f>
        <v>Weekend</v>
      </c>
      <c r="J359" s="10">
        <v>1</v>
      </c>
      <c r="K359" s="10">
        <v>0.22</v>
      </c>
      <c r="L359" s="51">
        <v>0.21210000000000001</v>
      </c>
      <c r="M359" s="10">
        <v>0.51</v>
      </c>
      <c r="N359" s="10">
        <v>0.25369999999999998</v>
      </c>
      <c r="O359" s="10">
        <v>3</v>
      </c>
      <c r="P359" s="10">
        <v>29</v>
      </c>
      <c r="Q359" s="10">
        <v>32</v>
      </c>
      <c r="R359" s="10" t="str">
        <f>VLOOKUP(Cleaned_datasetB[[#This Row],[Weather_Code]],Lookup_Tables!$E$9:$F$13,2,FALSE)</f>
        <v>Clear</v>
      </c>
      <c r="S359" s="10" t="str">
        <f>INDEX(Lookup_Tables!$I$10:$I$16,MATCH(Cleaned_datasetB[[#This Row],[Day_Code]],Lookup_Tables!$H$10:$H$16,0))</f>
        <v>Sunday</v>
      </c>
      <c r="T359" s="10" t="str">
        <f>VLOOKUP(Cleaned_datasetB[[#This Row],[Month]], Lookup_Tables!$K$8:$L$19, 2, FALSE)</f>
        <v>January</v>
      </c>
      <c r="U359" s="10" t="str">
        <f>IF(AND(Cleaned_datasetB[[#This Row],[Day_Type]]="Weekday",Cleaned_datasetB[[#This Row],[Is_Holiday]]=FALSE),"Working Day","Non-Working Day")</f>
        <v>Non-Working Day</v>
      </c>
    </row>
    <row r="360" spans="1:21">
      <c r="A360" s="10">
        <v>359</v>
      </c>
      <c r="B360" s="23">
        <v>40559</v>
      </c>
      <c r="C360" s="10">
        <v>1</v>
      </c>
      <c r="D360" s="10">
        <v>0</v>
      </c>
      <c r="E360" s="10">
        <v>1</v>
      </c>
      <c r="F360" s="10">
        <v>10</v>
      </c>
      <c r="G360" s="10" t="b">
        <v>0</v>
      </c>
      <c r="H360" s="10">
        <v>0</v>
      </c>
      <c r="I360" s="10" t="str">
        <f>IF(OR(Cleaned_datasetB[[#This Row],[Day_Code]]=0,Cleaned_datasetB[[#This Row],[Day_Code]]=6),"Weekend","Weekday")</f>
        <v>Weekend</v>
      </c>
      <c r="J360" s="10">
        <v>1</v>
      </c>
      <c r="K360" s="10">
        <v>0.22</v>
      </c>
      <c r="L360" s="51">
        <v>0.21210000000000001</v>
      </c>
      <c r="M360" s="10">
        <v>0.51</v>
      </c>
      <c r="N360" s="10">
        <v>0.28360000000000002</v>
      </c>
      <c r="O360" s="10">
        <v>8</v>
      </c>
      <c r="P360" s="10">
        <v>71</v>
      </c>
      <c r="Q360" s="10">
        <v>79</v>
      </c>
      <c r="R360" s="10" t="str">
        <f>VLOOKUP(Cleaned_datasetB[[#This Row],[Weather_Code]],Lookup_Tables!$E$9:$F$13,2,FALSE)</f>
        <v>Clear</v>
      </c>
      <c r="S360" s="10" t="str">
        <f>INDEX(Lookup_Tables!$I$10:$I$16,MATCH(Cleaned_datasetB[[#This Row],[Day_Code]],Lookup_Tables!$H$10:$H$16,0))</f>
        <v>Sunday</v>
      </c>
      <c r="T360" s="10" t="str">
        <f>VLOOKUP(Cleaned_datasetB[[#This Row],[Month]], Lookup_Tables!$K$8:$L$19, 2, FALSE)</f>
        <v>January</v>
      </c>
      <c r="U360" s="10" t="str">
        <f>IF(AND(Cleaned_datasetB[[#This Row],[Day_Type]]="Weekday",Cleaned_datasetB[[#This Row],[Is_Holiday]]=FALSE),"Working Day","Non-Working Day")</f>
        <v>Non-Working Day</v>
      </c>
    </row>
    <row r="361" spans="1:21">
      <c r="A361" s="10">
        <v>360</v>
      </c>
      <c r="B361" s="23">
        <v>40559</v>
      </c>
      <c r="C361" s="10">
        <v>1</v>
      </c>
      <c r="D361" s="10">
        <v>0</v>
      </c>
      <c r="E361" s="10">
        <v>1</v>
      </c>
      <c r="F361" s="10">
        <v>11</v>
      </c>
      <c r="G361" s="10" t="b">
        <v>0</v>
      </c>
      <c r="H361" s="10">
        <v>0</v>
      </c>
      <c r="I361" s="10" t="str">
        <f>IF(OR(Cleaned_datasetB[[#This Row],[Day_Code]]=0,Cleaned_datasetB[[#This Row],[Day_Code]]=6),"Weekend","Weekday")</f>
        <v>Weekend</v>
      </c>
      <c r="J361" s="10">
        <v>1</v>
      </c>
      <c r="K361" s="10">
        <v>0.24</v>
      </c>
      <c r="L361" s="51">
        <v>0.2273</v>
      </c>
      <c r="M361" s="10">
        <v>0.44</v>
      </c>
      <c r="N361" s="10">
        <v>0.25369999999999998</v>
      </c>
      <c r="O361" s="10">
        <v>23</v>
      </c>
      <c r="P361" s="10">
        <v>70</v>
      </c>
      <c r="Q361" s="10">
        <v>93</v>
      </c>
      <c r="R361" s="10" t="str">
        <f>VLOOKUP(Cleaned_datasetB[[#This Row],[Weather_Code]],Lookup_Tables!$E$9:$F$13,2,FALSE)</f>
        <v>Clear</v>
      </c>
      <c r="S361" s="10" t="str">
        <f>INDEX(Lookup_Tables!$I$10:$I$16,MATCH(Cleaned_datasetB[[#This Row],[Day_Code]],Lookup_Tables!$H$10:$H$16,0))</f>
        <v>Sunday</v>
      </c>
      <c r="T361" s="10" t="str">
        <f>VLOOKUP(Cleaned_datasetB[[#This Row],[Month]], Lookup_Tables!$K$8:$L$19, 2, FALSE)</f>
        <v>January</v>
      </c>
      <c r="U361" s="10" t="str">
        <f>IF(AND(Cleaned_datasetB[[#This Row],[Day_Type]]="Weekday",Cleaned_datasetB[[#This Row],[Is_Holiday]]=FALSE),"Working Day","Non-Working Day")</f>
        <v>Non-Working Day</v>
      </c>
    </row>
    <row r="362" spans="1:21">
      <c r="A362" s="10">
        <v>361</v>
      </c>
      <c r="B362" s="23">
        <v>40559</v>
      </c>
      <c r="C362" s="10">
        <v>1</v>
      </c>
      <c r="D362" s="10">
        <v>0</v>
      </c>
      <c r="E362" s="10">
        <v>1</v>
      </c>
      <c r="F362" s="10">
        <v>12</v>
      </c>
      <c r="G362" s="10" t="b">
        <v>0</v>
      </c>
      <c r="H362" s="10">
        <v>0</v>
      </c>
      <c r="I362" s="10" t="str">
        <f>IF(OR(Cleaned_datasetB[[#This Row],[Day_Code]]=0,Cleaned_datasetB[[#This Row],[Day_Code]]=6),"Weekend","Weekday")</f>
        <v>Weekend</v>
      </c>
      <c r="J362" s="10">
        <v>1</v>
      </c>
      <c r="K362" s="10">
        <v>0.24</v>
      </c>
      <c r="L362" s="51">
        <v>0.21210000000000001</v>
      </c>
      <c r="M362" s="10">
        <v>0.41</v>
      </c>
      <c r="N362" s="10">
        <v>0.28360000000000002</v>
      </c>
      <c r="O362" s="10">
        <v>29</v>
      </c>
      <c r="P362" s="10">
        <v>75</v>
      </c>
      <c r="Q362" s="10">
        <v>104</v>
      </c>
      <c r="R362" s="10" t="str">
        <f>VLOOKUP(Cleaned_datasetB[[#This Row],[Weather_Code]],Lookup_Tables!$E$9:$F$13,2,FALSE)</f>
        <v>Clear</v>
      </c>
      <c r="S362" s="10" t="str">
        <f>INDEX(Lookup_Tables!$I$10:$I$16,MATCH(Cleaned_datasetB[[#This Row],[Day_Code]],Lookup_Tables!$H$10:$H$16,0))</f>
        <v>Sunday</v>
      </c>
      <c r="T362" s="10" t="str">
        <f>VLOOKUP(Cleaned_datasetB[[#This Row],[Month]], Lookup_Tables!$K$8:$L$19, 2, FALSE)</f>
        <v>January</v>
      </c>
      <c r="U362" s="10" t="str">
        <f>IF(AND(Cleaned_datasetB[[#This Row],[Day_Type]]="Weekday",Cleaned_datasetB[[#This Row],[Is_Holiday]]=FALSE),"Working Day","Non-Working Day")</f>
        <v>Non-Working Day</v>
      </c>
    </row>
    <row r="363" spans="1:21">
      <c r="A363" s="10">
        <v>362</v>
      </c>
      <c r="B363" s="23">
        <v>40559</v>
      </c>
      <c r="C363" s="10">
        <v>1</v>
      </c>
      <c r="D363" s="10">
        <v>0</v>
      </c>
      <c r="E363" s="10">
        <v>1</v>
      </c>
      <c r="F363" s="10">
        <v>13</v>
      </c>
      <c r="G363" s="10" t="b">
        <v>0</v>
      </c>
      <c r="H363" s="10">
        <v>0</v>
      </c>
      <c r="I363" s="10" t="str">
        <f>IF(OR(Cleaned_datasetB[[#This Row],[Day_Code]]=0,Cleaned_datasetB[[#This Row],[Day_Code]]=6),"Weekend","Weekday")</f>
        <v>Weekend</v>
      </c>
      <c r="J363" s="10">
        <v>1</v>
      </c>
      <c r="K363" s="10">
        <v>0.26</v>
      </c>
      <c r="L363" s="51">
        <v>0.2273</v>
      </c>
      <c r="M363" s="10">
        <v>0.35</v>
      </c>
      <c r="N363" s="10">
        <v>0.29849999999999999</v>
      </c>
      <c r="O363" s="10">
        <v>23</v>
      </c>
      <c r="P363" s="10">
        <v>95</v>
      </c>
      <c r="Q363" s="10">
        <v>118</v>
      </c>
      <c r="R363" s="10" t="str">
        <f>VLOOKUP(Cleaned_datasetB[[#This Row],[Weather_Code]],Lookup_Tables!$E$9:$F$13,2,FALSE)</f>
        <v>Clear</v>
      </c>
      <c r="S363" s="10" t="str">
        <f>INDEX(Lookup_Tables!$I$10:$I$16,MATCH(Cleaned_datasetB[[#This Row],[Day_Code]],Lookup_Tables!$H$10:$H$16,0))</f>
        <v>Sunday</v>
      </c>
      <c r="T363" s="10" t="str">
        <f>VLOOKUP(Cleaned_datasetB[[#This Row],[Month]], Lookup_Tables!$K$8:$L$19, 2, FALSE)</f>
        <v>January</v>
      </c>
      <c r="U363" s="10" t="str">
        <f>IF(AND(Cleaned_datasetB[[#This Row],[Day_Type]]="Weekday",Cleaned_datasetB[[#This Row],[Is_Holiday]]=FALSE),"Working Day","Non-Working Day")</f>
        <v>Non-Working Day</v>
      </c>
    </row>
    <row r="364" spans="1:21">
      <c r="A364" s="10">
        <v>363</v>
      </c>
      <c r="B364" s="23">
        <v>40559</v>
      </c>
      <c r="C364" s="10">
        <v>1</v>
      </c>
      <c r="D364" s="10">
        <v>0</v>
      </c>
      <c r="E364" s="10">
        <v>1</v>
      </c>
      <c r="F364" s="10">
        <v>14</v>
      </c>
      <c r="G364" s="10" t="b">
        <v>0</v>
      </c>
      <c r="H364" s="10">
        <v>0</v>
      </c>
      <c r="I364" s="10" t="str">
        <f>IF(OR(Cleaned_datasetB[[#This Row],[Day_Code]]=0,Cleaned_datasetB[[#This Row],[Day_Code]]=6),"Weekend","Weekday")</f>
        <v>Weekend</v>
      </c>
      <c r="J364" s="10">
        <v>1</v>
      </c>
      <c r="K364" s="10">
        <v>0.28000000000000003</v>
      </c>
      <c r="L364" s="51">
        <v>0.2727</v>
      </c>
      <c r="M364" s="10">
        <v>0.36</v>
      </c>
      <c r="N364" s="10">
        <v>0.25369999999999998</v>
      </c>
      <c r="O364" s="10">
        <v>22</v>
      </c>
      <c r="P364" s="10">
        <v>69</v>
      </c>
      <c r="Q364" s="10">
        <v>91</v>
      </c>
      <c r="R364" s="10" t="str">
        <f>VLOOKUP(Cleaned_datasetB[[#This Row],[Weather_Code]],Lookup_Tables!$E$9:$F$13,2,FALSE)</f>
        <v>Clear</v>
      </c>
      <c r="S364" s="10" t="str">
        <f>INDEX(Lookup_Tables!$I$10:$I$16,MATCH(Cleaned_datasetB[[#This Row],[Day_Code]],Lookup_Tables!$H$10:$H$16,0))</f>
        <v>Sunday</v>
      </c>
      <c r="T364" s="10" t="str">
        <f>VLOOKUP(Cleaned_datasetB[[#This Row],[Month]], Lookup_Tables!$K$8:$L$19, 2, FALSE)</f>
        <v>January</v>
      </c>
      <c r="U364" s="10" t="str">
        <f>IF(AND(Cleaned_datasetB[[#This Row],[Day_Type]]="Weekday",Cleaned_datasetB[[#This Row],[Is_Holiday]]=FALSE),"Working Day","Non-Working Day")</f>
        <v>Non-Working Day</v>
      </c>
    </row>
    <row r="365" spans="1:21">
      <c r="A365" s="10">
        <v>364</v>
      </c>
      <c r="B365" s="23">
        <v>40559</v>
      </c>
      <c r="C365" s="10">
        <v>1</v>
      </c>
      <c r="D365" s="10">
        <v>0</v>
      </c>
      <c r="E365" s="10">
        <v>1</v>
      </c>
      <c r="F365" s="10">
        <v>15</v>
      </c>
      <c r="G365" s="10" t="b">
        <v>0</v>
      </c>
      <c r="H365" s="10">
        <v>0</v>
      </c>
      <c r="I365" s="10" t="str">
        <f>IF(OR(Cleaned_datasetB[[#This Row],[Day_Code]]=0,Cleaned_datasetB[[#This Row],[Day_Code]]=6),"Weekend","Weekday")</f>
        <v>Weekend</v>
      </c>
      <c r="J365" s="10">
        <v>1</v>
      </c>
      <c r="K365" s="10">
        <v>0.26</v>
      </c>
      <c r="L365" s="51">
        <v>0.2424</v>
      </c>
      <c r="M365" s="10">
        <v>0.38</v>
      </c>
      <c r="N365" s="10">
        <v>0.25369999999999998</v>
      </c>
      <c r="O365" s="10">
        <v>35</v>
      </c>
      <c r="P365" s="10">
        <v>78</v>
      </c>
      <c r="Q365" s="10">
        <v>113</v>
      </c>
      <c r="R365" s="10" t="str">
        <f>VLOOKUP(Cleaned_datasetB[[#This Row],[Weather_Code]],Lookup_Tables!$E$9:$F$13,2,FALSE)</f>
        <v>Clear</v>
      </c>
      <c r="S365" s="10" t="str">
        <f>INDEX(Lookup_Tables!$I$10:$I$16,MATCH(Cleaned_datasetB[[#This Row],[Day_Code]],Lookup_Tables!$H$10:$H$16,0))</f>
        <v>Sunday</v>
      </c>
      <c r="T365" s="10" t="str">
        <f>VLOOKUP(Cleaned_datasetB[[#This Row],[Month]], Lookup_Tables!$K$8:$L$19, 2, FALSE)</f>
        <v>January</v>
      </c>
      <c r="U365" s="10" t="str">
        <f>IF(AND(Cleaned_datasetB[[#This Row],[Day_Type]]="Weekday",Cleaned_datasetB[[#This Row],[Is_Holiday]]=FALSE),"Working Day","Non-Working Day")</f>
        <v>Non-Working Day</v>
      </c>
    </row>
    <row r="366" spans="1:21">
      <c r="A366" s="10">
        <v>365</v>
      </c>
      <c r="B366" s="23">
        <v>40559</v>
      </c>
      <c r="C366" s="10">
        <v>1</v>
      </c>
      <c r="D366" s="10">
        <v>0</v>
      </c>
      <c r="E366" s="10">
        <v>1</v>
      </c>
      <c r="F366" s="10">
        <v>16</v>
      </c>
      <c r="G366" s="10" t="b">
        <v>0</v>
      </c>
      <c r="H366" s="10">
        <v>0</v>
      </c>
      <c r="I366" s="10" t="str">
        <f>IF(OR(Cleaned_datasetB[[#This Row],[Day_Code]]=0,Cleaned_datasetB[[#This Row],[Day_Code]]=6),"Weekend","Weekday")</f>
        <v>Weekend</v>
      </c>
      <c r="J366" s="10">
        <v>1</v>
      </c>
      <c r="K366" s="10">
        <v>0.24</v>
      </c>
      <c r="L366" s="51">
        <v>0.2273</v>
      </c>
      <c r="M366" s="10">
        <v>0.38</v>
      </c>
      <c r="N366" s="10">
        <v>0.22389999999999999</v>
      </c>
      <c r="O366" s="10">
        <v>22</v>
      </c>
      <c r="P366" s="10">
        <v>77</v>
      </c>
      <c r="Q366" s="10">
        <v>99</v>
      </c>
      <c r="R366" s="10" t="str">
        <f>VLOOKUP(Cleaned_datasetB[[#This Row],[Weather_Code]],Lookup_Tables!$E$9:$F$13,2,FALSE)</f>
        <v>Clear</v>
      </c>
      <c r="S366" s="10" t="str">
        <f>INDEX(Lookup_Tables!$I$10:$I$16,MATCH(Cleaned_datasetB[[#This Row],[Day_Code]],Lookup_Tables!$H$10:$H$16,0))</f>
        <v>Sunday</v>
      </c>
      <c r="T366" s="10" t="str">
        <f>VLOOKUP(Cleaned_datasetB[[#This Row],[Month]], Lookup_Tables!$K$8:$L$19, 2, FALSE)</f>
        <v>January</v>
      </c>
      <c r="U366" s="10" t="str">
        <f>IF(AND(Cleaned_datasetB[[#This Row],[Day_Type]]="Weekday",Cleaned_datasetB[[#This Row],[Is_Holiday]]=FALSE),"Working Day","Non-Working Day")</f>
        <v>Non-Working Day</v>
      </c>
    </row>
    <row r="367" spans="1:21">
      <c r="A367" s="10">
        <v>366</v>
      </c>
      <c r="B367" s="23">
        <v>40559</v>
      </c>
      <c r="C367" s="10">
        <v>1</v>
      </c>
      <c r="D367" s="10">
        <v>0</v>
      </c>
      <c r="E367" s="10">
        <v>1</v>
      </c>
      <c r="F367" s="10">
        <v>17</v>
      </c>
      <c r="G367" s="10" t="b">
        <v>0</v>
      </c>
      <c r="H367" s="10">
        <v>0</v>
      </c>
      <c r="I367" s="10" t="str">
        <f>IF(OR(Cleaned_datasetB[[#This Row],[Day_Code]]=0,Cleaned_datasetB[[#This Row],[Day_Code]]=6),"Weekend","Weekday")</f>
        <v>Weekend</v>
      </c>
      <c r="J367" s="10">
        <v>1</v>
      </c>
      <c r="K367" s="10">
        <v>0.22</v>
      </c>
      <c r="L367" s="51">
        <v>0.21210000000000001</v>
      </c>
      <c r="M367" s="10">
        <v>0.37</v>
      </c>
      <c r="N367" s="10">
        <v>0.25369999999999998</v>
      </c>
      <c r="O367" s="10">
        <v>23</v>
      </c>
      <c r="P367" s="10">
        <v>82</v>
      </c>
      <c r="Q367" s="10">
        <v>105</v>
      </c>
      <c r="R367" s="10" t="str">
        <f>VLOOKUP(Cleaned_datasetB[[#This Row],[Weather_Code]],Lookup_Tables!$E$9:$F$13,2,FALSE)</f>
        <v>Clear</v>
      </c>
      <c r="S367" s="10" t="str">
        <f>INDEX(Lookup_Tables!$I$10:$I$16,MATCH(Cleaned_datasetB[[#This Row],[Day_Code]],Lookup_Tables!$H$10:$H$16,0))</f>
        <v>Sunday</v>
      </c>
      <c r="T367" s="10" t="str">
        <f>VLOOKUP(Cleaned_datasetB[[#This Row],[Month]], Lookup_Tables!$K$8:$L$19, 2, FALSE)</f>
        <v>January</v>
      </c>
      <c r="U367" s="10" t="str">
        <f>IF(AND(Cleaned_datasetB[[#This Row],[Day_Type]]="Weekday",Cleaned_datasetB[[#This Row],[Is_Holiday]]=FALSE),"Working Day","Non-Working Day")</f>
        <v>Non-Working Day</v>
      </c>
    </row>
    <row r="368" spans="1:21">
      <c r="A368" s="10">
        <v>367</v>
      </c>
      <c r="B368" s="23">
        <v>40559</v>
      </c>
      <c r="C368" s="10">
        <v>1</v>
      </c>
      <c r="D368" s="10">
        <v>0</v>
      </c>
      <c r="E368" s="10">
        <v>1</v>
      </c>
      <c r="F368" s="10">
        <v>18</v>
      </c>
      <c r="G368" s="10" t="b">
        <v>0</v>
      </c>
      <c r="H368" s="10">
        <v>0</v>
      </c>
      <c r="I368" s="10" t="str">
        <f>IF(OR(Cleaned_datasetB[[#This Row],[Day_Code]]=0,Cleaned_datasetB[[#This Row],[Day_Code]]=6),"Weekend","Weekday")</f>
        <v>Weekend</v>
      </c>
      <c r="J368" s="10">
        <v>1</v>
      </c>
      <c r="K368" s="10">
        <v>0.2</v>
      </c>
      <c r="L368" s="51">
        <v>0.21210000000000001</v>
      </c>
      <c r="M368" s="10">
        <v>0.4</v>
      </c>
      <c r="N368" s="10">
        <v>0.16420000000000001</v>
      </c>
      <c r="O368" s="10">
        <v>11</v>
      </c>
      <c r="P368" s="10">
        <v>56</v>
      </c>
      <c r="Q368" s="10">
        <v>67</v>
      </c>
      <c r="R368" s="10" t="str">
        <f>VLOOKUP(Cleaned_datasetB[[#This Row],[Weather_Code]],Lookup_Tables!$E$9:$F$13,2,FALSE)</f>
        <v>Clear</v>
      </c>
      <c r="S368" s="10" t="str">
        <f>INDEX(Lookup_Tables!$I$10:$I$16,MATCH(Cleaned_datasetB[[#This Row],[Day_Code]],Lookup_Tables!$H$10:$H$16,0))</f>
        <v>Sunday</v>
      </c>
      <c r="T368" s="10" t="str">
        <f>VLOOKUP(Cleaned_datasetB[[#This Row],[Month]], Lookup_Tables!$K$8:$L$19, 2, FALSE)</f>
        <v>January</v>
      </c>
      <c r="U368" s="10" t="str">
        <f>IF(AND(Cleaned_datasetB[[#This Row],[Day_Type]]="Weekday",Cleaned_datasetB[[#This Row],[Is_Holiday]]=FALSE),"Working Day","Non-Working Day")</f>
        <v>Non-Working Day</v>
      </c>
    </row>
    <row r="369" spans="1:21">
      <c r="A369" s="10">
        <v>368</v>
      </c>
      <c r="B369" s="23">
        <v>40559</v>
      </c>
      <c r="C369" s="10">
        <v>1</v>
      </c>
      <c r="D369" s="10">
        <v>0</v>
      </c>
      <c r="E369" s="10">
        <v>1</v>
      </c>
      <c r="F369" s="10">
        <v>19</v>
      </c>
      <c r="G369" s="10" t="b">
        <v>0</v>
      </c>
      <c r="H369" s="10">
        <v>0</v>
      </c>
      <c r="I369" s="10" t="str">
        <f>IF(OR(Cleaned_datasetB[[#This Row],[Day_Code]]=0,Cleaned_datasetB[[#This Row],[Day_Code]]=6),"Weekend","Weekday")</f>
        <v>Weekend</v>
      </c>
      <c r="J369" s="10">
        <v>1</v>
      </c>
      <c r="K369" s="10">
        <v>0.18</v>
      </c>
      <c r="L369" s="51">
        <v>0.19700000000000001</v>
      </c>
      <c r="M369" s="10">
        <v>0.47</v>
      </c>
      <c r="N369" s="10">
        <v>0.1343</v>
      </c>
      <c r="O369" s="10">
        <v>14</v>
      </c>
      <c r="P369" s="10">
        <v>47</v>
      </c>
      <c r="Q369" s="10">
        <v>61</v>
      </c>
      <c r="R369" s="10" t="str">
        <f>VLOOKUP(Cleaned_datasetB[[#This Row],[Weather_Code]],Lookup_Tables!$E$9:$F$13,2,FALSE)</f>
        <v>Clear</v>
      </c>
      <c r="S369" s="10" t="str">
        <f>INDEX(Lookup_Tables!$I$10:$I$16,MATCH(Cleaned_datasetB[[#This Row],[Day_Code]],Lookup_Tables!$H$10:$H$16,0))</f>
        <v>Sunday</v>
      </c>
      <c r="T369" s="10" t="str">
        <f>VLOOKUP(Cleaned_datasetB[[#This Row],[Month]], Lookup_Tables!$K$8:$L$19, 2, FALSE)</f>
        <v>January</v>
      </c>
      <c r="U369" s="10" t="str">
        <f>IF(AND(Cleaned_datasetB[[#This Row],[Day_Type]]="Weekday",Cleaned_datasetB[[#This Row],[Is_Holiday]]=FALSE),"Working Day","Non-Working Day")</f>
        <v>Non-Working Day</v>
      </c>
    </row>
    <row r="370" spans="1:21">
      <c r="A370" s="10">
        <v>369</v>
      </c>
      <c r="B370" s="23">
        <v>40559</v>
      </c>
      <c r="C370" s="10">
        <v>1</v>
      </c>
      <c r="D370" s="10">
        <v>0</v>
      </c>
      <c r="E370" s="10">
        <v>1</v>
      </c>
      <c r="F370" s="10">
        <v>20</v>
      </c>
      <c r="G370" s="10" t="b">
        <v>0</v>
      </c>
      <c r="H370" s="10">
        <v>0</v>
      </c>
      <c r="I370" s="10" t="str">
        <f>IF(OR(Cleaned_datasetB[[#This Row],[Day_Code]]=0,Cleaned_datasetB[[#This Row],[Day_Code]]=6),"Weekend","Weekday")</f>
        <v>Weekend</v>
      </c>
      <c r="J370" s="10">
        <v>1</v>
      </c>
      <c r="K370" s="10">
        <v>0.18</v>
      </c>
      <c r="L370" s="51">
        <v>0.19700000000000001</v>
      </c>
      <c r="M370" s="10">
        <v>0.47</v>
      </c>
      <c r="N370" s="10">
        <v>0.16420000000000001</v>
      </c>
      <c r="O370" s="10">
        <v>7</v>
      </c>
      <c r="P370" s="10">
        <v>50</v>
      </c>
      <c r="Q370" s="10">
        <v>57</v>
      </c>
      <c r="R370" s="10" t="str">
        <f>VLOOKUP(Cleaned_datasetB[[#This Row],[Weather_Code]],Lookup_Tables!$E$9:$F$13,2,FALSE)</f>
        <v>Clear</v>
      </c>
      <c r="S370" s="10" t="str">
        <f>INDEX(Lookup_Tables!$I$10:$I$16,MATCH(Cleaned_datasetB[[#This Row],[Day_Code]],Lookup_Tables!$H$10:$H$16,0))</f>
        <v>Sunday</v>
      </c>
      <c r="T370" s="10" t="str">
        <f>VLOOKUP(Cleaned_datasetB[[#This Row],[Month]], Lookup_Tables!$K$8:$L$19, 2, FALSE)</f>
        <v>January</v>
      </c>
      <c r="U370" s="10" t="str">
        <f>IF(AND(Cleaned_datasetB[[#This Row],[Day_Type]]="Weekday",Cleaned_datasetB[[#This Row],[Is_Holiday]]=FALSE),"Working Day","Non-Working Day")</f>
        <v>Non-Working Day</v>
      </c>
    </row>
    <row r="371" spans="1:21">
      <c r="A371" s="10">
        <v>370</v>
      </c>
      <c r="B371" s="23">
        <v>40559</v>
      </c>
      <c r="C371" s="10">
        <v>1</v>
      </c>
      <c r="D371" s="10">
        <v>0</v>
      </c>
      <c r="E371" s="10">
        <v>1</v>
      </c>
      <c r="F371" s="10">
        <v>21</v>
      </c>
      <c r="G371" s="10" t="b">
        <v>0</v>
      </c>
      <c r="H371" s="10">
        <v>0</v>
      </c>
      <c r="I371" s="10" t="str">
        <f>IF(OR(Cleaned_datasetB[[#This Row],[Day_Code]]=0,Cleaned_datasetB[[#This Row],[Day_Code]]=6),"Weekend","Weekday")</f>
        <v>Weekend</v>
      </c>
      <c r="J371" s="10">
        <v>1</v>
      </c>
      <c r="K371" s="10">
        <v>0.18</v>
      </c>
      <c r="L371" s="51">
        <v>0.19700000000000001</v>
      </c>
      <c r="M371" s="10">
        <v>0.51</v>
      </c>
      <c r="N371" s="10">
        <v>0.16420000000000001</v>
      </c>
      <c r="O371" s="10">
        <v>6</v>
      </c>
      <c r="P371" s="10">
        <v>22</v>
      </c>
      <c r="Q371" s="10">
        <v>28</v>
      </c>
      <c r="R371" s="10" t="str">
        <f>VLOOKUP(Cleaned_datasetB[[#This Row],[Weather_Code]],Lookup_Tables!$E$9:$F$13,2,FALSE)</f>
        <v>Clear</v>
      </c>
      <c r="S371" s="10" t="str">
        <f>INDEX(Lookup_Tables!$I$10:$I$16,MATCH(Cleaned_datasetB[[#This Row],[Day_Code]],Lookup_Tables!$H$10:$H$16,0))</f>
        <v>Sunday</v>
      </c>
      <c r="T371" s="10" t="str">
        <f>VLOOKUP(Cleaned_datasetB[[#This Row],[Month]], Lookup_Tables!$K$8:$L$19, 2, FALSE)</f>
        <v>January</v>
      </c>
      <c r="U371" s="10" t="str">
        <f>IF(AND(Cleaned_datasetB[[#This Row],[Day_Type]]="Weekday",Cleaned_datasetB[[#This Row],[Is_Holiday]]=FALSE),"Working Day","Non-Working Day")</f>
        <v>Non-Working Day</v>
      </c>
    </row>
    <row r="372" spans="1:21">
      <c r="A372" s="10">
        <v>371</v>
      </c>
      <c r="B372" s="23">
        <v>40559</v>
      </c>
      <c r="C372" s="10">
        <v>1</v>
      </c>
      <c r="D372" s="10">
        <v>0</v>
      </c>
      <c r="E372" s="10">
        <v>1</v>
      </c>
      <c r="F372" s="10">
        <v>22</v>
      </c>
      <c r="G372" s="10" t="b">
        <v>0</v>
      </c>
      <c r="H372" s="10">
        <v>0</v>
      </c>
      <c r="I372" s="10" t="str">
        <f>IF(OR(Cleaned_datasetB[[#This Row],[Day_Code]]=0,Cleaned_datasetB[[#This Row],[Day_Code]]=6),"Weekend","Weekday")</f>
        <v>Weekend</v>
      </c>
      <c r="J372" s="10">
        <v>2</v>
      </c>
      <c r="K372" s="10">
        <v>0.2</v>
      </c>
      <c r="L372" s="51">
        <v>0.21210000000000001</v>
      </c>
      <c r="M372" s="10">
        <v>0.49</v>
      </c>
      <c r="N372" s="10">
        <v>0.1343</v>
      </c>
      <c r="O372" s="10">
        <v>2</v>
      </c>
      <c r="P372" s="10">
        <v>19</v>
      </c>
      <c r="Q372" s="10">
        <v>21</v>
      </c>
      <c r="R372" s="10" t="str">
        <f>VLOOKUP(Cleaned_datasetB[[#This Row],[Weather_Code]],Lookup_Tables!$E$9:$F$13,2,FALSE)</f>
        <v>Cloudy</v>
      </c>
      <c r="S372" s="10" t="str">
        <f>INDEX(Lookup_Tables!$I$10:$I$16,MATCH(Cleaned_datasetB[[#This Row],[Day_Code]],Lookup_Tables!$H$10:$H$16,0))</f>
        <v>Sunday</v>
      </c>
      <c r="T372" s="10" t="str">
        <f>VLOOKUP(Cleaned_datasetB[[#This Row],[Month]], Lookup_Tables!$K$8:$L$19, 2, FALSE)</f>
        <v>January</v>
      </c>
      <c r="U372" s="10" t="str">
        <f>IF(AND(Cleaned_datasetB[[#This Row],[Day_Type]]="Weekday",Cleaned_datasetB[[#This Row],[Is_Holiday]]=FALSE),"Working Day","Non-Working Day")</f>
        <v>Non-Working Day</v>
      </c>
    </row>
    <row r="373" spans="1:21">
      <c r="A373" s="10">
        <v>372</v>
      </c>
      <c r="B373" s="23">
        <v>40559</v>
      </c>
      <c r="C373" s="10">
        <v>1</v>
      </c>
      <c r="D373" s="10">
        <v>0</v>
      </c>
      <c r="E373" s="10">
        <v>1</v>
      </c>
      <c r="F373" s="10">
        <v>23</v>
      </c>
      <c r="G373" s="10" t="b">
        <v>0</v>
      </c>
      <c r="H373" s="10">
        <v>0</v>
      </c>
      <c r="I373" s="10" t="str">
        <f>IF(OR(Cleaned_datasetB[[#This Row],[Day_Code]]=0,Cleaned_datasetB[[#This Row],[Day_Code]]=6),"Weekend","Weekday")</f>
        <v>Weekend</v>
      </c>
      <c r="J373" s="10">
        <v>2</v>
      </c>
      <c r="K373" s="10">
        <v>0.2</v>
      </c>
      <c r="L373" s="51">
        <v>0.2273</v>
      </c>
      <c r="M373" s="10">
        <v>0.4</v>
      </c>
      <c r="N373" s="10">
        <v>0.1045</v>
      </c>
      <c r="O373" s="10">
        <v>0</v>
      </c>
      <c r="P373" s="10">
        <v>18</v>
      </c>
      <c r="Q373" s="10">
        <v>18</v>
      </c>
      <c r="R373" s="10" t="str">
        <f>VLOOKUP(Cleaned_datasetB[[#This Row],[Weather_Code]],Lookup_Tables!$E$9:$F$13,2,FALSE)</f>
        <v>Cloudy</v>
      </c>
      <c r="S373" s="10" t="str">
        <f>INDEX(Lookup_Tables!$I$10:$I$16,MATCH(Cleaned_datasetB[[#This Row],[Day_Code]],Lookup_Tables!$H$10:$H$16,0))</f>
        <v>Sunday</v>
      </c>
      <c r="T373" s="10" t="str">
        <f>VLOOKUP(Cleaned_datasetB[[#This Row],[Month]], Lookup_Tables!$K$8:$L$19, 2, FALSE)</f>
        <v>January</v>
      </c>
      <c r="U373" s="10" t="str">
        <f>IF(AND(Cleaned_datasetB[[#This Row],[Day_Type]]="Weekday",Cleaned_datasetB[[#This Row],[Is_Holiday]]=FALSE),"Working Day","Non-Working Day")</f>
        <v>Non-Working Day</v>
      </c>
    </row>
    <row r="374" spans="1:21">
      <c r="A374" s="10">
        <v>373</v>
      </c>
      <c r="B374" s="23">
        <v>40560</v>
      </c>
      <c r="C374" s="10">
        <v>1</v>
      </c>
      <c r="D374" s="10">
        <v>0</v>
      </c>
      <c r="E374" s="10">
        <v>1</v>
      </c>
      <c r="F374" s="10">
        <v>0</v>
      </c>
      <c r="G374" s="10" t="b">
        <v>1</v>
      </c>
      <c r="H374" s="10">
        <v>1</v>
      </c>
      <c r="I374" s="10" t="str">
        <f>IF(OR(Cleaned_datasetB[[#This Row],[Day_Code]]=0,Cleaned_datasetB[[#This Row],[Day_Code]]=6),"Weekend","Weekday")</f>
        <v>Weekday</v>
      </c>
      <c r="J374" s="10">
        <v>2</v>
      </c>
      <c r="K374" s="10">
        <v>0.2</v>
      </c>
      <c r="L374" s="51">
        <v>0.19700000000000001</v>
      </c>
      <c r="M374" s="10">
        <v>0.47</v>
      </c>
      <c r="N374" s="10">
        <v>0.22389999999999999</v>
      </c>
      <c r="O374" s="10">
        <v>1</v>
      </c>
      <c r="P374" s="10">
        <v>16</v>
      </c>
      <c r="Q374" s="10">
        <v>17</v>
      </c>
      <c r="R374" s="10" t="str">
        <f>VLOOKUP(Cleaned_datasetB[[#This Row],[Weather_Code]],Lookup_Tables!$E$9:$F$13,2,FALSE)</f>
        <v>Cloudy</v>
      </c>
      <c r="S374" s="10" t="str">
        <f>INDEX(Lookup_Tables!$I$10:$I$16,MATCH(Cleaned_datasetB[[#This Row],[Day_Code]],Lookup_Tables!$H$10:$H$16,0))</f>
        <v>Monday</v>
      </c>
      <c r="T374" s="10" t="str">
        <f>VLOOKUP(Cleaned_datasetB[[#This Row],[Month]], Lookup_Tables!$K$8:$L$19, 2, FALSE)</f>
        <v>January</v>
      </c>
      <c r="U374" s="10" t="str">
        <f>IF(AND(Cleaned_datasetB[[#This Row],[Day_Type]]="Weekday",Cleaned_datasetB[[#This Row],[Is_Holiday]]=FALSE),"Working Day","Non-Working Day")</f>
        <v>Non-Working Day</v>
      </c>
    </row>
    <row r="375" spans="1:21">
      <c r="A375" s="10">
        <v>374</v>
      </c>
      <c r="B375" s="23">
        <v>40560</v>
      </c>
      <c r="C375" s="10">
        <v>1</v>
      </c>
      <c r="D375" s="10">
        <v>0</v>
      </c>
      <c r="E375" s="10">
        <v>1</v>
      </c>
      <c r="F375" s="10">
        <v>1</v>
      </c>
      <c r="G375" s="10" t="b">
        <v>1</v>
      </c>
      <c r="H375" s="10">
        <v>1</v>
      </c>
      <c r="I375" s="10" t="str">
        <f>IF(OR(Cleaned_datasetB[[#This Row],[Day_Code]]=0,Cleaned_datasetB[[#This Row],[Day_Code]]=6),"Weekend","Weekday")</f>
        <v>Weekday</v>
      </c>
      <c r="J375" s="10">
        <v>2</v>
      </c>
      <c r="K375" s="10">
        <v>0.2</v>
      </c>
      <c r="L375" s="51">
        <v>0.19700000000000001</v>
      </c>
      <c r="M375" s="10">
        <v>0.44</v>
      </c>
      <c r="N375" s="10">
        <v>0.19400000000000001</v>
      </c>
      <c r="O375" s="10">
        <v>1</v>
      </c>
      <c r="P375" s="10">
        <v>15</v>
      </c>
      <c r="Q375" s="10">
        <v>16</v>
      </c>
      <c r="R375" s="10" t="str">
        <f>VLOOKUP(Cleaned_datasetB[[#This Row],[Weather_Code]],Lookup_Tables!$E$9:$F$13,2,FALSE)</f>
        <v>Cloudy</v>
      </c>
      <c r="S375" s="10" t="str">
        <f>INDEX(Lookup_Tables!$I$10:$I$16,MATCH(Cleaned_datasetB[[#This Row],[Day_Code]],Lookup_Tables!$H$10:$H$16,0))</f>
        <v>Monday</v>
      </c>
      <c r="T375" s="10" t="str">
        <f>VLOOKUP(Cleaned_datasetB[[#This Row],[Month]], Lookup_Tables!$K$8:$L$19, 2, FALSE)</f>
        <v>January</v>
      </c>
      <c r="U375" s="10" t="str">
        <f>IF(AND(Cleaned_datasetB[[#This Row],[Day_Type]]="Weekday",Cleaned_datasetB[[#This Row],[Is_Holiday]]=FALSE),"Working Day","Non-Working Day")</f>
        <v>Non-Working Day</v>
      </c>
    </row>
    <row r="376" spans="1:21">
      <c r="A376" s="10">
        <v>375</v>
      </c>
      <c r="B376" s="23">
        <v>40560</v>
      </c>
      <c r="C376" s="10">
        <v>1</v>
      </c>
      <c r="D376" s="10">
        <v>0</v>
      </c>
      <c r="E376" s="10">
        <v>1</v>
      </c>
      <c r="F376" s="10">
        <v>2</v>
      </c>
      <c r="G376" s="10" t="b">
        <v>1</v>
      </c>
      <c r="H376" s="10">
        <v>1</v>
      </c>
      <c r="I376" s="10" t="str">
        <f>IF(OR(Cleaned_datasetB[[#This Row],[Day_Code]]=0,Cleaned_datasetB[[#This Row],[Day_Code]]=6),"Weekend","Weekday")</f>
        <v>Weekday</v>
      </c>
      <c r="J376" s="10">
        <v>2</v>
      </c>
      <c r="K376" s="10">
        <v>0.18</v>
      </c>
      <c r="L376" s="51">
        <v>0.16669999999999999</v>
      </c>
      <c r="M376" s="10">
        <v>0.43</v>
      </c>
      <c r="N376" s="10">
        <v>0.25369999999999998</v>
      </c>
      <c r="O376" s="10">
        <v>0</v>
      </c>
      <c r="P376" s="10">
        <v>8</v>
      </c>
      <c r="Q376" s="10">
        <v>8</v>
      </c>
      <c r="R376" s="10" t="str">
        <f>VLOOKUP(Cleaned_datasetB[[#This Row],[Weather_Code]],Lookup_Tables!$E$9:$F$13,2,FALSE)</f>
        <v>Cloudy</v>
      </c>
      <c r="S376" s="10" t="str">
        <f>INDEX(Lookup_Tables!$I$10:$I$16,MATCH(Cleaned_datasetB[[#This Row],[Day_Code]],Lookup_Tables!$H$10:$H$16,0))</f>
        <v>Monday</v>
      </c>
      <c r="T376" s="10" t="str">
        <f>VLOOKUP(Cleaned_datasetB[[#This Row],[Month]], Lookup_Tables!$K$8:$L$19, 2, FALSE)</f>
        <v>January</v>
      </c>
      <c r="U376" s="10" t="str">
        <f>IF(AND(Cleaned_datasetB[[#This Row],[Day_Type]]="Weekday",Cleaned_datasetB[[#This Row],[Is_Holiday]]=FALSE),"Working Day","Non-Working Day")</f>
        <v>Non-Working Day</v>
      </c>
    </row>
    <row r="377" spans="1:21">
      <c r="A377" s="10">
        <v>376</v>
      </c>
      <c r="B377" s="23">
        <v>40560</v>
      </c>
      <c r="C377" s="10">
        <v>1</v>
      </c>
      <c r="D377" s="10">
        <v>0</v>
      </c>
      <c r="E377" s="10">
        <v>1</v>
      </c>
      <c r="F377" s="10">
        <v>3</v>
      </c>
      <c r="G377" s="10" t="b">
        <v>1</v>
      </c>
      <c r="H377" s="10">
        <v>1</v>
      </c>
      <c r="I377" s="10" t="str">
        <f>IF(OR(Cleaned_datasetB[[#This Row],[Day_Code]]=0,Cleaned_datasetB[[#This Row],[Day_Code]]=6),"Weekend","Weekday")</f>
        <v>Weekday</v>
      </c>
      <c r="J377" s="10">
        <v>2</v>
      </c>
      <c r="K377" s="10">
        <v>0.18</v>
      </c>
      <c r="L377" s="51">
        <v>0.18179999999999999</v>
      </c>
      <c r="M377" s="10">
        <v>0.43</v>
      </c>
      <c r="N377" s="10">
        <v>0.19400000000000001</v>
      </c>
      <c r="O377" s="10">
        <v>0</v>
      </c>
      <c r="P377" s="10">
        <v>2</v>
      </c>
      <c r="Q377" s="10">
        <v>2</v>
      </c>
      <c r="R377" s="10" t="str">
        <f>VLOOKUP(Cleaned_datasetB[[#This Row],[Weather_Code]],Lookup_Tables!$E$9:$F$13,2,FALSE)</f>
        <v>Cloudy</v>
      </c>
      <c r="S377" s="10" t="str">
        <f>INDEX(Lookup_Tables!$I$10:$I$16,MATCH(Cleaned_datasetB[[#This Row],[Day_Code]],Lookup_Tables!$H$10:$H$16,0))</f>
        <v>Monday</v>
      </c>
      <c r="T377" s="10" t="str">
        <f>VLOOKUP(Cleaned_datasetB[[#This Row],[Month]], Lookup_Tables!$K$8:$L$19, 2, FALSE)</f>
        <v>January</v>
      </c>
      <c r="U377" s="10" t="str">
        <f>IF(AND(Cleaned_datasetB[[#This Row],[Day_Type]]="Weekday",Cleaned_datasetB[[#This Row],[Is_Holiday]]=FALSE),"Working Day","Non-Working Day")</f>
        <v>Non-Working Day</v>
      </c>
    </row>
    <row r="378" spans="1:21">
      <c r="A378" s="10">
        <v>377</v>
      </c>
      <c r="B378" s="23">
        <v>40560</v>
      </c>
      <c r="C378" s="10">
        <v>1</v>
      </c>
      <c r="D378" s="10">
        <v>0</v>
      </c>
      <c r="E378" s="10">
        <v>1</v>
      </c>
      <c r="F378" s="10">
        <v>4</v>
      </c>
      <c r="G378" s="10" t="b">
        <v>1</v>
      </c>
      <c r="H378" s="10">
        <v>1</v>
      </c>
      <c r="I378" s="10" t="str">
        <f>IF(OR(Cleaned_datasetB[[#This Row],[Day_Code]]=0,Cleaned_datasetB[[#This Row],[Day_Code]]=6),"Weekend","Weekday")</f>
        <v>Weekday</v>
      </c>
      <c r="J378" s="10">
        <v>2</v>
      </c>
      <c r="K378" s="10">
        <v>0.18</v>
      </c>
      <c r="L378" s="51">
        <v>0.19700000000000001</v>
      </c>
      <c r="M378" s="10">
        <v>0.43</v>
      </c>
      <c r="N378" s="10">
        <v>0.1343</v>
      </c>
      <c r="O378" s="10">
        <v>1</v>
      </c>
      <c r="P378" s="10">
        <v>2</v>
      </c>
      <c r="Q378" s="10">
        <v>3</v>
      </c>
      <c r="R378" s="10" t="str">
        <f>VLOOKUP(Cleaned_datasetB[[#This Row],[Weather_Code]],Lookup_Tables!$E$9:$F$13,2,FALSE)</f>
        <v>Cloudy</v>
      </c>
      <c r="S378" s="10" t="str">
        <f>INDEX(Lookup_Tables!$I$10:$I$16,MATCH(Cleaned_datasetB[[#This Row],[Day_Code]],Lookup_Tables!$H$10:$H$16,0))</f>
        <v>Monday</v>
      </c>
      <c r="T378" s="10" t="str">
        <f>VLOOKUP(Cleaned_datasetB[[#This Row],[Month]], Lookup_Tables!$K$8:$L$19, 2, FALSE)</f>
        <v>January</v>
      </c>
      <c r="U378" s="10" t="str">
        <f>IF(AND(Cleaned_datasetB[[#This Row],[Day_Type]]="Weekday",Cleaned_datasetB[[#This Row],[Is_Holiday]]=FALSE),"Working Day","Non-Working Day")</f>
        <v>Non-Working Day</v>
      </c>
    </row>
    <row r="379" spans="1:21">
      <c r="A379" s="10">
        <v>378</v>
      </c>
      <c r="B379" s="23">
        <v>40560</v>
      </c>
      <c r="C379" s="10">
        <v>1</v>
      </c>
      <c r="D379" s="10">
        <v>0</v>
      </c>
      <c r="E379" s="10">
        <v>1</v>
      </c>
      <c r="F379" s="10">
        <v>5</v>
      </c>
      <c r="G379" s="10" t="b">
        <v>1</v>
      </c>
      <c r="H379" s="10">
        <v>1</v>
      </c>
      <c r="I379" s="10" t="str">
        <f>IF(OR(Cleaned_datasetB[[#This Row],[Day_Code]]=0,Cleaned_datasetB[[#This Row],[Day_Code]]=6),"Weekend","Weekday")</f>
        <v>Weekday</v>
      </c>
      <c r="J379" s="10">
        <v>2</v>
      </c>
      <c r="K379" s="10">
        <v>0.18</v>
      </c>
      <c r="L379" s="51">
        <v>0.19700000000000001</v>
      </c>
      <c r="M379" s="10">
        <v>0.43</v>
      </c>
      <c r="N379" s="10">
        <v>0.16420000000000001</v>
      </c>
      <c r="O379" s="10">
        <v>0</v>
      </c>
      <c r="P379" s="10">
        <v>1</v>
      </c>
      <c r="Q379" s="10">
        <v>1</v>
      </c>
      <c r="R379" s="10" t="str">
        <f>VLOOKUP(Cleaned_datasetB[[#This Row],[Weather_Code]],Lookup_Tables!$E$9:$F$13,2,FALSE)</f>
        <v>Cloudy</v>
      </c>
      <c r="S379" s="10" t="str">
        <f>INDEX(Lookup_Tables!$I$10:$I$16,MATCH(Cleaned_datasetB[[#This Row],[Day_Code]],Lookup_Tables!$H$10:$H$16,0))</f>
        <v>Monday</v>
      </c>
      <c r="T379" s="10" t="str">
        <f>VLOOKUP(Cleaned_datasetB[[#This Row],[Month]], Lookup_Tables!$K$8:$L$19, 2, FALSE)</f>
        <v>January</v>
      </c>
      <c r="U379" s="10" t="str">
        <f>IF(AND(Cleaned_datasetB[[#This Row],[Day_Type]]="Weekday",Cleaned_datasetB[[#This Row],[Is_Holiday]]=FALSE),"Working Day","Non-Working Day")</f>
        <v>Non-Working Day</v>
      </c>
    </row>
    <row r="380" spans="1:21">
      <c r="A380" s="10">
        <v>379</v>
      </c>
      <c r="B380" s="23">
        <v>40560</v>
      </c>
      <c r="C380" s="10">
        <v>1</v>
      </c>
      <c r="D380" s="10">
        <v>0</v>
      </c>
      <c r="E380" s="10">
        <v>1</v>
      </c>
      <c r="F380" s="10">
        <v>6</v>
      </c>
      <c r="G380" s="10" t="b">
        <v>1</v>
      </c>
      <c r="H380" s="10">
        <v>1</v>
      </c>
      <c r="I380" s="10" t="str">
        <f>IF(OR(Cleaned_datasetB[[#This Row],[Day_Code]]=0,Cleaned_datasetB[[#This Row],[Day_Code]]=6),"Weekend","Weekday")</f>
        <v>Weekday</v>
      </c>
      <c r="J380" s="10">
        <v>2</v>
      </c>
      <c r="K380" s="10">
        <v>0.18</v>
      </c>
      <c r="L380" s="51">
        <v>0.18179999999999999</v>
      </c>
      <c r="M380" s="10">
        <v>0.43</v>
      </c>
      <c r="N380" s="10">
        <v>0.19400000000000001</v>
      </c>
      <c r="O380" s="10">
        <v>0</v>
      </c>
      <c r="P380" s="10">
        <v>5</v>
      </c>
      <c r="Q380" s="10">
        <v>5</v>
      </c>
      <c r="R380" s="10" t="str">
        <f>VLOOKUP(Cleaned_datasetB[[#This Row],[Weather_Code]],Lookup_Tables!$E$9:$F$13,2,FALSE)</f>
        <v>Cloudy</v>
      </c>
      <c r="S380" s="10" t="str">
        <f>INDEX(Lookup_Tables!$I$10:$I$16,MATCH(Cleaned_datasetB[[#This Row],[Day_Code]],Lookup_Tables!$H$10:$H$16,0))</f>
        <v>Monday</v>
      </c>
      <c r="T380" s="10" t="str">
        <f>VLOOKUP(Cleaned_datasetB[[#This Row],[Month]], Lookup_Tables!$K$8:$L$19, 2, FALSE)</f>
        <v>January</v>
      </c>
      <c r="U380" s="10" t="str">
        <f>IF(AND(Cleaned_datasetB[[#This Row],[Day_Type]]="Weekday",Cleaned_datasetB[[#This Row],[Is_Holiday]]=FALSE),"Working Day","Non-Working Day")</f>
        <v>Non-Working Day</v>
      </c>
    </row>
    <row r="381" spans="1:21">
      <c r="A381" s="10">
        <v>380</v>
      </c>
      <c r="B381" s="23">
        <v>40560</v>
      </c>
      <c r="C381" s="10">
        <v>1</v>
      </c>
      <c r="D381" s="10">
        <v>0</v>
      </c>
      <c r="E381" s="10">
        <v>1</v>
      </c>
      <c r="F381" s="10">
        <v>7</v>
      </c>
      <c r="G381" s="10" t="b">
        <v>1</v>
      </c>
      <c r="H381" s="10">
        <v>1</v>
      </c>
      <c r="I381" s="10" t="str">
        <f>IF(OR(Cleaned_datasetB[[#This Row],[Day_Code]]=0,Cleaned_datasetB[[#This Row],[Day_Code]]=6),"Weekend","Weekday")</f>
        <v>Weekday</v>
      </c>
      <c r="J381" s="10">
        <v>2</v>
      </c>
      <c r="K381" s="10">
        <v>0.16</v>
      </c>
      <c r="L381" s="51">
        <v>0.18179999999999999</v>
      </c>
      <c r="M381" s="10">
        <v>0.5</v>
      </c>
      <c r="N381" s="10">
        <v>0.1343</v>
      </c>
      <c r="O381" s="10">
        <v>4</v>
      </c>
      <c r="P381" s="10">
        <v>9</v>
      </c>
      <c r="Q381" s="10">
        <v>13</v>
      </c>
      <c r="R381" s="10" t="str">
        <f>VLOOKUP(Cleaned_datasetB[[#This Row],[Weather_Code]],Lookup_Tables!$E$9:$F$13,2,FALSE)</f>
        <v>Cloudy</v>
      </c>
      <c r="S381" s="10" t="str">
        <f>INDEX(Lookup_Tables!$I$10:$I$16,MATCH(Cleaned_datasetB[[#This Row],[Day_Code]],Lookup_Tables!$H$10:$H$16,0))</f>
        <v>Monday</v>
      </c>
      <c r="T381" s="10" t="str">
        <f>VLOOKUP(Cleaned_datasetB[[#This Row],[Month]], Lookup_Tables!$K$8:$L$19, 2, FALSE)</f>
        <v>January</v>
      </c>
      <c r="U381" s="10" t="str">
        <f>IF(AND(Cleaned_datasetB[[#This Row],[Day_Type]]="Weekday",Cleaned_datasetB[[#This Row],[Is_Holiday]]=FALSE),"Working Day","Non-Working Day")</f>
        <v>Non-Working Day</v>
      </c>
    </row>
    <row r="382" spans="1:21">
      <c r="A382" s="10">
        <v>381</v>
      </c>
      <c r="B382" s="23">
        <v>40560</v>
      </c>
      <c r="C382" s="10">
        <v>1</v>
      </c>
      <c r="D382" s="10">
        <v>0</v>
      </c>
      <c r="E382" s="10">
        <v>1</v>
      </c>
      <c r="F382" s="10">
        <v>8</v>
      </c>
      <c r="G382" s="10" t="b">
        <v>1</v>
      </c>
      <c r="H382" s="10">
        <v>1</v>
      </c>
      <c r="I382" s="10" t="str">
        <f>IF(OR(Cleaned_datasetB[[#This Row],[Day_Code]]=0,Cleaned_datasetB[[#This Row],[Day_Code]]=6),"Weekend","Weekday")</f>
        <v>Weekday</v>
      </c>
      <c r="J382" s="10">
        <v>2</v>
      </c>
      <c r="K382" s="10">
        <v>0.16</v>
      </c>
      <c r="L382" s="51">
        <v>0.1515</v>
      </c>
      <c r="M382" s="10">
        <v>0.47</v>
      </c>
      <c r="N382" s="10">
        <v>0.22389999999999999</v>
      </c>
      <c r="O382" s="10">
        <v>3</v>
      </c>
      <c r="P382" s="10">
        <v>30</v>
      </c>
      <c r="Q382" s="10">
        <v>33</v>
      </c>
      <c r="R382" s="10" t="str">
        <f>VLOOKUP(Cleaned_datasetB[[#This Row],[Weather_Code]],Lookup_Tables!$E$9:$F$13,2,FALSE)</f>
        <v>Cloudy</v>
      </c>
      <c r="S382" s="10" t="str">
        <f>INDEX(Lookup_Tables!$I$10:$I$16,MATCH(Cleaned_datasetB[[#This Row],[Day_Code]],Lookup_Tables!$H$10:$H$16,0))</f>
        <v>Monday</v>
      </c>
      <c r="T382" s="10" t="str">
        <f>VLOOKUP(Cleaned_datasetB[[#This Row],[Month]], Lookup_Tables!$K$8:$L$19, 2, FALSE)</f>
        <v>January</v>
      </c>
      <c r="U382" s="10" t="str">
        <f>IF(AND(Cleaned_datasetB[[#This Row],[Day_Type]]="Weekday",Cleaned_datasetB[[#This Row],[Is_Holiday]]=FALSE),"Working Day","Non-Working Day")</f>
        <v>Non-Working Day</v>
      </c>
    </row>
    <row r="383" spans="1:21">
      <c r="A383" s="10">
        <v>382</v>
      </c>
      <c r="B383" s="23">
        <v>40560</v>
      </c>
      <c r="C383" s="10">
        <v>1</v>
      </c>
      <c r="D383" s="10">
        <v>0</v>
      </c>
      <c r="E383" s="10">
        <v>1</v>
      </c>
      <c r="F383" s="10">
        <v>9</v>
      </c>
      <c r="G383" s="10" t="b">
        <v>1</v>
      </c>
      <c r="H383" s="10">
        <v>1</v>
      </c>
      <c r="I383" s="10" t="str">
        <f>IF(OR(Cleaned_datasetB[[#This Row],[Day_Code]]=0,Cleaned_datasetB[[#This Row],[Day_Code]]=6),"Weekend","Weekday")</f>
        <v>Weekday</v>
      </c>
      <c r="J383" s="10">
        <v>2</v>
      </c>
      <c r="K383" s="10">
        <v>0.16</v>
      </c>
      <c r="L383" s="51">
        <v>0.1515</v>
      </c>
      <c r="M383" s="10">
        <v>0.47</v>
      </c>
      <c r="N383" s="10">
        <v>0.22389999999999999</v>
      </c>
      <c r="O383" s="10">
        <v>8</v>
      </c>
      <c r="P383" s="10">
        <v>39</v>
      </c>
      <c r="Q383" s="10">
        <v>47</v>
      </c>
      <c r="R383" s="10" t="str">
        <f>VLOOKUP(Cleaned_datasetB[[#This Row],[Weather_Code]],Lookup_Tables!$E$9:$F$13,2,FALSE)</f>
        <v>Cloudy</v>
      </c>
      <c r="S383" s="10" t="str">
        <f>INDEX(Lookup_Tables!$I$10:$I$16,MATCH(Cleaned_datasetB[[#This Row],[Day_Code]],Lookup_Tables!$H$10:$H$16,0))</f>
        <v>Monday</v>
      </c>
      <c r="T383" s="10" t="str">
        <f>VLOOKUP(Cleaned_datasetB[[#This Row],[Month]], Lookup_Tables!$K$8:$L$19, 2, FALSE)</f>
        <v>January</v>
      </c>
      <c r="U383" s="10" t="str">
        <f>IF(AND(Cleaned_datasetB[[#This Row],[Day_Type]]="Weekday",Cleaned_datasetB[[#This Row],[Is_Holiday]]=FALSE),"Working Day","Non-Working Day")</f>
        <v>Non-Working Day</v>
      </c>
    </row>
    <row r="384" spans="1:21">
      <c r="A384" s="10">
        <v>383</v>
      </c>
      <c r="B384" s="23">
        <v>40560</v>
      </c>
      <c r="C384" s="10">
        <v>1</v>
      </c>
      <c r="D384" s="10">
        <v>0</v>
      </c>
      <c r="E384" s="10">
        <v>1</v>
      </c>
      <c r="F384" s="10">
        <v>10</v>
      </c>
      <c r="G384" s="10" t="b">
        <v>1</v>
      </c>
      <c r="H384" s="10">
        <v>1</v>
      </c>
      <c r="I384" s="10" t="str">
        <f>IF(OR(Cleaned_datasetB[[#This Row],[Day_Code]]=0,Cleaned_datasetB[[#This Row],[Day_Code]]=6),"Weekend","Weekday")</f>
        <v>Weekday</v>
      </c>
      <c r="J384" s="10">
        <v>2</v>
      </c>
      <c r="K384" s="10">
        <v>0.16</v>
      </c>
      <c r="L384" s="51">
        <v>0.1515</v>
      </c>
      <c r="M384" s="10">
        <v>0.5</v>
      </c>
      <c r="N384" s="10">
        <v>0.25369999999999998</v>
      </c>
      <c r="O384" s="10">
        <v>7</v>
      </c>
      <c r="P384" s="10">
        <v>50</v>
      </c>
      <c r="Q384" s="10">
        <v>57</v>
      </c>
      <c r="R384" s="10" t="str">
        <f>VLOOKUP(Cleaned_datasetB[[#This Row],[Weather_Code]],Lookup_Tables!$E$9:$F$13,2,FALSE)</f>
        <v>Cloudy</v>
      </c>
      <c r="S384" s="10" t="str">
        <f>INDEX(Lookup_Tables!$I$10:$I$16,MATCH(Cleaned_datasetB[[#This Row],[Day_Code]],Lookup_Tables!$H$10:$H$16,0))</f>
        <v>Monday</v>
      </c>
      <c r="T384" s="10" t="str">
        <f>VLOOKUP(Cleaned_datasetB[[#This Row],[Month]], Lookup_Tables!$K$8:$L$19, 2, FALSE)</f>
        <v>January</v>
      </c>
      <c r="U384" s="10" t="str">
        <f>IF(AND(Cleaned_datasetB[[#This Row],[Day_Type]]="Weekday",Cleaned_datasetB[[#This Row],[Is_Holiday]]=FALSE),"Working Day","Non-Working Day")</f>
        <v>Non-Working Day</v>
      </c>
    </row>
    <row r="385" spans="1:21">
      <c r="A385" s="10">
        <v>384</v>
      </c>
      <c r="B385" s="23">
        <v>40560</v>
      </c>
      <c r="C385" s="10">
        <v>1</v>
      </c>
      <c r="D385" s="10">
        <v>0</v>
      </c>
      <c r="E385" s="10">
        <v>1</v>
      </c>
      <c r="F385" s="10">
        <v>11</v>
      </c>
      <c r="G385" s="10" t="b">
        <v>1</v>
      </c>
      <c r="H385" s="10">
        <v>1</v>
      </c>
      <c r="I385" s="10" t="str">
        <f>IF(OR(Cleaned_datasetB[[#This Row],[Day_Code]]=0,Cleaned_datasetB[[#This Row],[Day_Code]]=6),"Weekend","Weekday")</f>
        <v>Weekday</v>
      </c>
      <c r="J385" s="10">
        <v>2</v>
      </c>
      <c r="K385" s="10">
        <v>0.16</v>
      </c>
      <c r="L385" s="51">
        <v>0.1515</v>
      </c>
      <c r="M385" s="10">
        <v>0.55000000000000004</v>
      </c>
      <c r="N385" s="10">
        <v>0.19400000000000001</v>
      </c>
      <c r="O385" s="10">
        <v>9</v>
      </c>
      <c r="P385" s="10">
        <v>55</v>
      </c>
      <c r="Q385" s="10">
        <v>64</v>
      </c>
      <c r="R385" s="10" t="str">
        <f>VLOOKUP(Cleaned_datasetB[[#This Row],[Weather_Code]],Lookup_Tables!$E$9:$F$13,2,FALSE)</f>
        <v>Cloudy</v>
      </c>
      <c r="S385" s="10" t="str">
        <f>INDEX(Lookup_Tables!$I$10:$I$16,MATCH(Cleaned_datasetB[[#This Row],[Day_Code]],Lookup_Tables!$H$10:$H$16,0))</f>
        <v>Monday</v>
      </c>
      <c r="T385" s="10" t="str">
        <f>VLOOKUP(Cleaned_datasetB[[#This Row],[Month]], Lookup_Tables!$K$8:$L$19, 2, FALSE)</f>
        <v>January</v>
      </c>
      <c r="U385" s="10" t="str">
        <f>IF(AND(Cleaned_datasetB[[#This Row],[Day_Type]]="Weekday",Cleaned_datasetB[[#This Row],[Is_Holiday]]=FALSE),"Working Day","Non-Working Day")</f>
        <v>Non-Working Day</v>
      </c>
    </row>
    <row r="386" spans="1:21">
      <c r="A386" s="10">
        <v>385</v>
      </c>
      <c r="B386" s="23">
        <v>40560</v>
      </c>
      <c r="C386" s="10">
        <v>1</v>
      </c>
      <c r="D386" s="10">
        <v>0</v>
      </c>
      <c r="E386" s="10">
        <v>1</v>
      </c>
      <c r="F386" s="10">
        <v>12</v>
      </c>
      <c r="G386" s="10" t="b">
        <v>1</v>
      </c>
      <c r="H386" s="10">
        <v>1</v>
      </c>
      <c r="I386" s="10" t="str">
        <f>IF(OR(Cleaned_datasetB[[#This Row],[Day_Code]]=0,Cleaned_datasetB[[#This Row],[Day_Code]]=6),"Weekend","Weekday")</f>
        <v>Weekday</v>
      </c>
      <c r="J386" s="10">
        <v>2</v>
      </c>
      <c r="K386" s="10">
        <v>0.18</v>
      </c>
      <c r="L386" s="51">
        <v>0.19700000000000001</v>
      </c>
      <c r="M386" s="10">
        <v>0.47</v>
      </c>
      <c r="N386" s="10">
        <v>0.1343</v>
      </c>
      <c r="O386" s="10">
        <v>10</v>
      </c>
      <c r="P386" s="10">
        <v>70</v>
      </c>
      <c r="Q386" s="10">
        <v>80</v>
      </c>
      <c r="R386" s="10" t="str">
        <f>VLOOKUP(Cleaned_datasetB[[#This Row],[Weather_Code]],Lookup_Tables!$E$9:$F$13,2,FALSE)</f>
        <v>Cloudy</v>
      </c>
      <c r="S386" s="10" t="str">
        <f>INDEX(Lookup_Tables!$I$10:$I$16,MATCH(Cleaned_datasetB[[#This Row],[Day_Code]],Lookup_Tables!$H$10:$H$16,0))</f>
        <v>Monday</v>
      </c>
      <c r="T386" s="10" t="str">
        <f>VLOOKUP(Cleaned_datasetB[[#This Row],[Month]], Lookup_Tables!$K$8:$L$19, 2, FALSE)</f>
        <v>January</v>
      </c>
      <c r="U386" s="10" t="str">
        <f>IF(AND(Cleaned_datasetB[[#This Row],[Day_Type]]="Weekday",Cleaned_datasetB[[#This Row],[Is_Holiday]]=FALSE),"Working Day","Non-Working Day")</f>
        <v>Non-Working Day</v>
      </c>
    </row>
    <row r="387" spans="1:21">
      <c r="A387" s="10">
        <v>386</v>
      </c>
      <c r="B387" s="23">
        <v>40560</v>
      </c>
      <c r="C387" s="10">
        <v>1</v>
      </c>
      <c r="D387" s="10">
        <v>0</v>
      </c>
      <c r="E387" s="10">
        <v>1</v>
      </c>
      <c r="F387" s="10">
        <v>13</v>
      </c>
      <c r="G387" s="10" t="b">
        <v>1</v>
      </c>
      <c r="H387" s="10">
        <v>1</v>
      </c>
      <c r="I387" s="10" t="str">
        <f>IF(OR(Cleaned_datasetB[[#This Row],[Day_Code]]=0,Cleaned_datasetB[[#This Row],[Day_Code]]=6),"Weekend","Weekday")</f>
        <v>Weekday</v>
      </c>
      <c r="J387" s="10">
        <v>2</v>
      </c>
      <c r="K387" s="10">
        <v>0.18</v>
      </c>
      <c r="L387" s="51">
        <v>0.19700000000000001</v>
      </c>
      <c r="M387" s="10">
        <v>0.47</v>
      </c>
      <c r="N387" s="10">
        <v>0.1343</v>
      </c>
      <c r="O387" s="10">
        <v>13</v>
      </c>
      <c r="P387" s="10">
        <v>80</v>
      </c>
      <c r="Q387" s="10">
        <v>93</v>
      </c>
      <c r="R387" s="10" t="str">
        <f>VLOOKUP(Cleaned_datasetB[[#This Row],[Weather_Code]],Lookup_Tables!$E$9:$F$13,2,FALSE)</f>
        <v>Cloudy</v>
      </c>
      <c r="S387" s="10" t="str">
        <f>INDEX(Lookup_Tables!$I$10:$I$16,MATCH(Cleaned_datasetB[[#This Row],[Day_Code]],Lookup_Tables!$H$10:$H$16,0))</f>
        <v>Monday</v>
      </c>
      <c r="T387" s="10" t="str">
        <f>VLOOKUP(Cleaned_datasetB[[#This Row],[Month]], Lookup_Tables!$K$8:$L$19, 2, FALSE)</f>
        <v>January</v>
      </c>
      <c r="U387" s="10" t="str">
        <f>IF(AND(Cleaned_datasetB[[#This Row],[Day_Type]]="Weekday",Cleaned_datasetB[[#This Row],[Is_Holiday]]=FALSE),"Working Day","Non-Working Day")</f>
        <v>Non-Working Day</v>
      </c>
    </row>
    <row r="388" spans="1:21">
      <c r="A388" s="10">
        <v>387</v>
      </c>
      <c r="B388" s="23">
        <v>40560</v>
      </c>
      <c r="C388" s="10">
        <v>1</v>
      </c>
      <c r="D388" s="10">
        <v>0</v>
      </c>
      <c r="E388" s="10">
        <v>1</v>
      </c>
      <c r="F388" s="10">
        <v>14</v>
      </c>
      <c r="G388" s="10" t="b">
        <v>1</v>
      </c>
      <c r="H388" s="10">
        <v>1</v>
      </c>
      <c r="I388" s="10" t="str">
        <f>IF(OR(Cleaned_datasetB[[#This Row],[Day_Code]]=0,Cleaned_datasetB[[#This Row],[Day_Code]]=6),"Weekend","Weekday")</f>
        <v>Weekday</v>
      </c>
      <c r="J388" s="10">
        <v>2</v>
      </c>
      <c r="K388" s="10">
        <v>0.18</v>
      </c>
      <c r="L388" s="51">
        <v>0.21210000000000001</v>
      </c>
      <c r="M388" s="10">
        <v>0.43</v>
      </c>
      <c r="N388" s="10">
        <v>0.1045</v>
      </c>
      <c r="O388" s="10">
        <v>12</v>
      </c>
      <c r="P388" s="10">
        <v>74</v>
      </c>
      <c r="Q388" s="10">
        <v>86</v>
      </c>
      <c r="R388" s="10" t="str">
        <f>VLOOKUP(Cleaned_datasetB[[#This Row],[Weather_Code]],Lookup_Tables!$E$9:$F$13,2,FALSE)</f>
        <v>Cloudy</v>
      </c>
      <c r="S388" s="10" t="str">
        <f>INDEX(Lookup_Tables!$I$10:$I$16,MATCH(Cleaned_datasetB[[#This Row],[Day_Code]],Lookup_Tables!$H$10:$H$16,0))</f>
        <v>Monday</v>
      </c>
      <c r="T388" s="10" t="str">
        <f>VLOOKUP(Cleaned_datasetB[[#This Row],[Month]], Lookup_Tables!$K$8:$L$19, 2, FALSE)</f>
        <v>January</v>
      </c>
      <c r="U388" s="10" t="str">
        <f>IF(AND(Cleaned_datasetB[[#This Row],[Day_Type]]="Weekday",Cleaned_datasetB[[#This Row],[Is_Holiday]]=FALSE),"Working Day","Non-Working Day")</f>
        <v>Non-Working Day</v>
      </c>
    </row>
    <row r="389" spans="1:21">
      <c r="A389" s="10">
        <v>388</v>
      </c>
      <c r="B389" s="23">
        <v>40560</v>
      </c>
      <c r="C389" s="10">
        <v>1</v>
      </c>
      <c r="D389" s="10">
        <v>0</v>
      </c>
      <c r="E389" s="10">
        <v>1</v>
      </c>
      <c r="F389" s="10">
        <v>15</v>
      </c>
      <c r="G389" s="10" t="b">
        <v>1</v>
      </c>
      <c r="H389" s="10">
        <v>1</v>
      </c>
      <c r="I389" s="10" t="str">
        <f>IF(OR(Cleaned_datasetB[[#This Row],[Day_Code]]=0,Cleaned_datasetB[[#This Row],[Day_Code]]=6),"Weekend","Weekday")</f>
        <v>Weekday</v>
      </c>
      <c r="J389" s="10">
        <v>2</v>
      </c>
      <c r="K389" s="10">
        <v>0.2</v>
      </c>
      <c r="L389" s="51">
        <v>0.21210000000000001</v>
      </c>
      <c r="M389" s="10">
        <v>0.47</v>
      </c>
      <c r="N389" s="10">
        <v>0.16420000000000001</v>
      </c>
      <c r="O389" s="10">
        <v>21</v>
      </c>
      <c r="P389" s="10">
        <v>72</v>
      </c>
      <c r="Q389" s="10">
        <v>93</v>
      </c>
      <c r="R389" s="10" t="str">
        <f>VLOOKUP(Cleaned_datasetB[[#This Row],[Weather_Code]],Lookup_Tables!$E$9:$F$13,2,FALSE)</f>
        <v>Cloudy</v>
      </c>
      <c r="S389" s="10" t="str">
        <f>INDEX(Lookup_Tables!$I$10:$I$16,MATCH(Cleaned_datasetB[[#This Row],[Day_Code]],Lookup_Tables!$H$10:$H$16,0))</f>
        <v>Monday</v>
      </c>
      <c r="T389" s="10" t="str">
        <f>VLOOKUP(Cleaned_datasetB[[#This Row],[Month]], Lookup_Tables!$K$8:$L$19, 2, FALSE)</f>
        <v>January</v>
      </c>
      <c r="U389" s="10" t="str">
        <f>IF(AND(Cleaned_datasetB[[#This Row],[Day_Type]]="Weekday",Cleaned_datasetB[[#This Row],[Is_Holiday]]=FALSE),"Working Day","Non-Working Day")</f>
        <v>Non-Working Day</v>
      </c>
    </row>
    <row r="390" spans="1:21">
      <c r="A390" s="10">
        <v>389</v>
      </c>
      <c r="B390" s="23">
        <v>40560</v>
      </c>
      <c r="C390" s="10">
        <v>1</v>
      </c>
      <c r="D390" s="10">
        <v>0</v>
      </c>
      <c r="E390" s="10">
        <v>1</v>
      </c>
      <c r="F390" s="10">
        <v>16</v>
      </c>
      <c r="G390" s="10" t="b">
        <v>1</v>
      </c>
      <c r="H390" s="10">
        <v>1</v>
      </c>
      <c r="I390" s="10" t="str">
        <f>IF(OR(Cleaned_datasetB[[#This Row],[Day_Code]]=0,Cleaned_datasetB[[#This Row],[Day_Code]]=6),"Weekend","Weekday")</f>
        <v>Weekday</v>
      </c>
      <c r="J390" s="10">
        <v>2</v>
      </c>
      <c r="K390" s="10">
        <v>0.2</v>
      </c>
      <c r="L390" s="51">
        <v>0.21210000000000001</v>
      </c>
      <c r="M390" s="10">
        <v>0.47</v>
      </c>
      <c r="N390" s="10">
        <v>0.16420000000000001</v>
      </c>
      <c r="O390" s="10">
        <v>6</v>
      </c>
      <c r="P390" s="10">
        <v>76</v>
      </c>
      <c r="Q390" s="10">
        <v>82</v>
      </c>
      <c r="R390" s="10" t="str">
        <f>VLOOKUP(Cleaned_datasetB[[#This Row],[Weather_Code]],Lookup_Tables!$E$9:$F$13,2,FALSE)</f>
        <v>Cloudy</v>
      </c>
      <c r="S390" s="10" t="str">
        <f>INDEX(Lookup_Tables!$I$10:$I$16,MATCH(Cleaned_datasetB[[#This Row],[Day_Code]],Lookup_Tables!$H$10:$H$16,0))</f>
        <v>Monday</v>
      </c>
      <c r="T390" s="10" t="str">
        <f>VLOOKUP(Cleaned_datasetB[[#This Row],[Month]], Lookup_Tables!$K$8:$L$19, 2, FALSE)</f>
        <v>January</v>
      </c>
      <c r="U390" s="10" t="str">
        <f>IF(AND(Cleaned_datasetB[[#This Row],[Day_Type]]="Weekday",Cleaned_datasetB[[#This Row],[Is_Holiday]]=FALSE),"Working Day","Non-Working Day")</f>
        <v>Non-Working Day</v>
      </c>
    </row>
    <row r="391" spans="1:21">
      <c r="A391" s="10">
        <v>390</v>
      </c>
      <c r="B391" s="23">
        <v>40560</v>
      </c>
      <c r="C391" s="10">
        <v>1</v>
      </c>
      <c r="D391" s="10">
        <v>0</v>
      </c>
      <c r="E391" s="10">
        <v>1</v>
      </c>
      <c r="F391" s="10">
        <v>17</v>
      </c>
      <c r="G391" s="10" t="b">
        <v>1</v>
      </c>
      <c r="H391" s="10">
        <v>1</v>
      </c>
      <c r="I391" s="10" t="str">
        <f>IF(OR(Cleaned_datasetB[[#This Row],[Day_Code]]=0,Cleaned_datasetB[[#This Row],[Day_Code]]=6),"Weekend","Weekday")</f>
        <v>Weekday</v>
      </c>
      <c r="J391" s="10">
        <v>1</v>
      </c>
      <c r="K391" s="10">
        <v>0.2</v>
      </c>
      <c r="L391" s="51">
        <v>0.19700000000000001</v>
      </c>
      <c r="M391" s="10">
        <v>0.51</v>
      </c>
      <c r="N391" s="10">
        <v>0.19400000000000001</v>
      </c>
      <c r="O391" s="10">
        <v>4</v>
      </c>
      <c r="P391" s="10">
        <v>67</v>
      </c>
      <c r="Q391" s="10">
        <v>71</v>
      </c>
      <c r="R391" s="10" t="str">
        <f>VLOOKUP(Cleaned_datasetB[[#This Row],[Weather_Code]],Lookup_Tables!$E$9:$F$13,2,FALSE)</f>
        <v>Clear</v>
      </c>
      <c r="S391" s="10" t="str">
        <f>INDEX(Lookup_Tables!$I$10:$I$16,MATCH(Cleaned_datasetB[[#This Row],[Day_Code]],Lookup_Tables!$H$10:$H$16,0))</f>
        <v>Monday</v>
      </c>
      <c r="T391" s="10" t="str">
        <f>VLOOKUP(Cleaned_datasetB[[#This Row],[Month]], Lookup_Tables!$K$8:$L$19, 2, FALSE)</f>
        <v>January</v>
      </c>
      <c r="U391" s="10" t="str">
        <f>IF(AND(Cleaned_datasetB[[#This Row],[Day_Type]]="Weekday",Cleaned_datasetB[[#This Row],[Is_Holiday]]=FALSE),"Working Day","Non-Working Day")</f>
        <v>Non-Working Day</v>
      </c>
    </row>
    <row r="392" spans="1:21">
      <c r="A392" s="10">
        <v>391</v>
      </c>
      <c r="B392" s="23">
        <v>40560</v>
      </c>
      <c r="C392" s="10">
        <v>1</v>
      </c>
      <c r="D392" s="10">
        <v>0</v>
      </c>
      <c r="E392" s="10">
        <v>1</v>
      </c>
      <c r="F392" s="10">
        <v>18</v>
      </c>
      <c r="G392" s="10" t="b">
        <v>1</v>
      </c>
      <c r="H392" s="10">
        <v>1</v>
      </c>
      <c r="I392" s="10" t="str">
        <f>IF(OR(Cleaned_datasetB[[#This Row],[Day_Code]]=0,Cleaned_datasetB[[#This Row],[Day_Code]]=6),"Weekend","Weekday")</f>
        <v>Weekday</v>
      </c>
      <c r="J392" s="10">
        <v>2</v>
      </c>
      <c r="K392" s="10">
        <v>0.18</v>
      </c>
      <c r="L392" s="51">
        <v>0.16669999999999999</v>
      </c>
      <c r="M392" s="10">
        <v>0.55000000000000004</v>
      </c>
      <c r="N392" s="10">
        <v>0.25369999999999998</v>
      </c>
      <c r="O392" s="10">
        <v>7</v>
      </c>
      <c r="P392" s="10">
        <v>85</v>
      </c>
      <c r="Q392" s="10">
        <v>92</v>
      </c>
      <c r="R392" s="10" t="str">
        <f>VLOOKUP(Cleaned_datasetB[[#This Row],[Weather_Code]],Lookup_Tables!$E$9:$F$13,2,FALSE)</f>
        <v>Cloudy</v>
      </c>
      <c r="S392" s="10" t="str">
        <f>INDEX(Lookup_Tables!$I$10:$I$16,MATCH(Cleaned_datasetB[[#This Row],[Day_Code]],Lookup_Tables!$H$10:$H$16,0))</f>
        <v>Monday</v>
      </c>
      <c r="T392" s="10" t="str">
        <f>VLOOKUP(Cleaned_datasetB[[#This Row],[Month]], Lookup_Tables!$K$8:$L$19, 2, FALSE)</f>
        <v>January</v>
      </c>
      <c r="U392" s="10" t="str">
        <f>IF(AND(Cleaned_datasetB[[#This Row],[Day_Type]]="Weekday",Cleaned_datasetB[[#This Row],[Is_Holiday]]=FALSE),"Working Day","Non-Working Day")</f>
        <v>Non-Working Day</v>
      </c>
    </row>
    <row r="393" spans="1:21">
      <c r="A393" s="10">
        <v>392</v>
      </c>
      <c r="B393" s="23">
        <v>40560</v>
      </c>
      <c r="C393" s="10">
        <v>1</v>
      </c>
      <c r="D393" s="10">
        <v>0</v>
      </c>
      <c r="E393" s="10">
        <v>1</v>
      </c>
      <c r="F393" s="10">
        <v>19</v>
      </c>
      <c r="G393" s="10" t="b">
        <v>1</v>
      </c>
      <c r="H393" s="10">
        <v>1</v>
      </c>
      <c r="I393" s="10" t="str">
        <f>IF(OR(Cleaned_datasetB[[#This Row],[Day_Code]]=0,Cleaned_datasetB[[#This Row],[Day_Code]]=6),"Weekend","Weekday")</f>
        <v>Weekday</v>
      </c>
      <c r="J393" s="10">
        <v>3</v>
      </c>
      <c r="K393" s="10">
        <v>0.18</v>
      </c>
      <c r="L393" s="51">
        <v>0.18179999999999999</v>
      </c>
      <c r="M393" s="10">
        <v>0.59</v>
      </c>
      <c r="N393" s="10">
        <v>0.19400000000000001</v>
      </c>
      <c r="O393" s="10">
        <v>2</v>
      </c>
      <c r="P393" s="10">
        <v>58</v>
      </c>
      <c r="Q393" s="10">
        <v>60</v>
      </c>
      <c r="R393" s="10" t="str">
        <f>VLOOKUP(Cleaned_datasetB[[#This Row],[Weather_Code]],Lookup_Tables!$E$9:$F$13,2,FALSE)</f>
        <v>Light Rain</v>
      </c>
      <c r="S393" s="10" t="str">
        <f>INDEX(Lookup_Tables!$I$10:$I$16,MATCH(Cleaned_datasetB[[#This Row],[Day_Code]],Lookup_Tables!$H$10:$H$16,0))</f>
        <v>Monday</v>
      </c>
      <c r="T393" s="10" t="str">
        <f>VLOOKUP(Cleaned_datasetB[[#This Row],[Month]], Lookup_Tables!$K$8:$L$19, 2, FALSE)</f>
        <v>January</v>
      </c>
      <c r="U393" s="10" t="str">
        <f>IF(AND(Cleaned_datasetB[[#This Row],[Day_Type]]="Weekday",Cleaned_datasetB[[#This Row],[Is_Holiday]]=FALSE),"Working Day","Non-Working Day")</f>
        <v>Non-Working Day</v>
      </c>
    </row>
    <row r="394" spans="1:21">
      <c r="A394" s="10">
        <v>393</v>
      </c>
      <c r="B394" s="23">
        <v>40560</v>
      </c>
      <c r="C394" s="10">
        <v>1</v>
      </c>
      <c r="D394" s="10">
        <v>0</v>
      </c>
      <c r="E394" s="10">
        <v>1</v>
      </c>
      <c r="F394" s="10">
        <v>20</v>
      </c>
      <c r="G394" s="10" t="b">
        <v>1</v>
      </c>
      <c r="H394" s="10">
        <v>1</v>
      </c>
      <c r="I394" s="10" t="str">
        <f>IF(OR(Cleaned_datasetB[[#This Row],[Day_Code]]=0,Cleaned_datasetB[[#This Row],[Day_Code]]=6),"Weekend","Weekday")</f>
        <v>Weekday</v>
      </c>
      <c r="J394" s="10">
        <v>3</v>
      </c>
      <c r="K394" s="10">
        <v>0.16</v>
      </c>
      <c r="L394" s="51">
        <v>0.1515</v>
      </c>
      <c r="M394" s="10">
        <v>0.8</v>
      </c>
      <c r="N394" s="10">
        <v>0.19400000000000001</v>
      </c>
      <c r="O394" s="10">
        <v>4</v>
      </c>
      <c r="P394" s="10">
        <v>29</v>
      </c>
      <c r="Q394" s="10">
        <v>33</v>
      </c>
      <c r="R394" s="10" t="str">
        <f>VLOOKUP(Cleaned_datasetB[[#This Row],[Weather_Code]],Lookup_Tables!$E$9:$F$13,2,FALSE)</f>
        <v>Light Rain</v>
      </c>
      <c r="S394" s="10" t="str">
        <f>INDEX(Lookup_Tables!$I$10:$I$16,MATCH(Cleaned_datasetB[[#This Row],[Day_Code]],Lookup_Tables!$H$10:$H$16,0))</f>
        <v>Monday</v>
      </c>
      <c r="T394" s="10" t="str">
        <f>VLOOKUP(Cleaned_datasetB[[#This Row],[Month]], Lookup_Tables!$K$8:$L$19, 2, FALSE)</f>
        <v>January</v>
      </c>
      <c r="U394" s="10" t="str">
        <f>IF(AND(Cleaned_datasetB[[#This Row],[Day_Type]]="Weekday",Cleaned_datasetB[[#This Row],[Is_Holiday]]=FALSE),"Working Day","Non-Working Day")</f>
        <v>Non-Working Day</v>
      </c>
    </row>
    <row r="395" spans="1:21">
      <c r="A395" s="10">
        <v>394</v>
      </c>
      <c r="B395" s="23">
        <v>40560</v>
      </c>
      <c r="C395" s="10">
        <v>1</v>
      </c>
      <c r="D395" s="10">
        <v>0</v>
      </c>
      <c r="E395" s="10">
        <v>1</v>
      </c>
      <c r="F395" s="10">
        <v>21</v>
      </c>
      <c r="G395" s="10" t="b">
        <v>1</v>
      </c>
      <c r="H395" s="10">
        <v>1</v>
      </c>
      <c r="I395" s="10" t="str">
        <f>IF(OR(Cleaned_datasetB[[#This Row],[Day_Code]]=0,Cleaned_datasetB[[#This Row],[Day_Code]]=6),"Weekend","Weekday")</f>
        <v>Weekday</v>
      </c>
      <c r="J395" s="10">
        <v>3</v>
      </c>
      <c r="K395" s="10">
        <v>0.16</v>
      </c>
      <c r="L395" s="51">
        <v>0.1515</v>
      </c>
      <c r="M395" s="10">
        <v>0.8</v>
      </c>
      <c r="N395" s="10">
        <v>0.19400000000000001</v>
      </c>
      <c r="O395" s="10">
        <v>3</v>
      </c>
      <c r="P395" s="10">
        <v>24</v>
      </c>
      <c r="Q395" s="10">
        <v>27</v>
      </c>
      <c r="R395" s="10" t="str">
        <f>VLOOKUP(Cleaned_datasetB[[#This Row],[Weather_Code]],Lookup_Tables!$E$9:$F$13,2,FALSE)</f>
        <v>Light Rain</v>
      </c>
      <c r="S395" s="10" t="str">
        <f>INDEX(Lookup_Tables!$I$10:$I$16,MATCH(Cleaned_datasetB[[#This Row],[Day_Code]],Lookup_Tables!$H$10:$H$16,0))</f>
        <v>Monday</v>
      </c>
      <c r="T395" s="10" t="str">
        <f>VLOOKUP(Cleaned_datasetB[[#This Row],[Month]], Lookup_Tables!$K$8:$L$19, 2, FALSE)</f>
        <v>January</v>
      </c>
      <c r="U395" s="10" t="str">
        <f>IF(AND(Cleaned_datasetB[[#This Row],[Day_Type]]="Weekday",Cleaned_datasetB[[#This Row],[Is_Holiday]]=FALSE),"Working Day","Non-Working Day")</f>
        <v>Non-Working Day</v>
      </c>
    </row>
    <row r="396" spans="1:21">
      <c r="A396" s="10">
        <v>395</v>
      </c>
      <c r="B396" s="23">
        <v>40560</v>
      </c>
      <c r="C396" s="10">
        <v>1</v>
      </c>
      <c r="D396" s="10">
        <v>0</v>
      </c>
      <c r="E396" s="10">
        <v>1</v>
      </c>
      <c r="F396" s="10">
        <v>22</v>
      </c>
      <c r="G396" s="10" t="b">
        <v>1</v>
      </c>
      <c r="H396" s="10">
        <v>1</v>
      </c>
      <c r="I396" s="10" t="str">
        <f>IF(OR(Cleaned_datasetB[[#This Row],[Day_Code]]=0,Cleaned_datasetB[[#This Row],[Day_Code]]=6),"Weekend","Weekday")</f>
        <v>Weekday</v>
      </c>
      <c r="J396" s="10">
        <v>3</v>
      </c>
      <c r="K396" s="10">
        <v>0.14000000000000001</v>
      </c>
      <c r="L396" s="51">
        <v>0.1212</v>
      </c>
      <c r="M396" s="10">
        <v>0.93</v>
      </c>
      <c r="N396" s="10">
        <v>0.25369999999999998</v>
      </c>
      <c r="O396" s="10">
        <v>0</v>
      </c>
      <c r="P396" s="10">
        <v>13</v>
      </c>
      <c r="Q396" s="10">
        <v>13</v>
      </c>
      <c r="R396" s="10" t="str">
        <f>VLOOKUP(Cleaned_datasetB[[#This Row],[Weather_Code]],Lookup_Tables!$E$9:$F$13,2,FALSE)</f>
        <v>Light Rain</v>
      </c>
      <c r="S396" s="10" t="str">
        <f>INDEX(Lookup_Tables!$I$10:$I$16,MATCH(Cleaned_datasetB[[#This Row],[Day_Code]],Lookup_Tables!$H$10:$H$16,0))</f>
        <v>Monday</v>
      </c>
      <c r="T396" s="10" t="str">
        <f>VLOOKUP(Cleaned_datasetB[[#This Row],[Month]], Lookup_Tables!$K$8:$L$19, 2, FALSE)</f>
        <v>January</v>
      </c>
      <c r="U396" s="10" t="str">
        <f>IF(AND(Cleaned_datasetB[[#This Row],[Day_Type]]="Weekday",Cleaned_datasetB[[#This Row],[Is_Holiday]]=FALSE),"Working Day","Non-Working Day")</f>
        <v>Non-Working Day</v>
      </c>
    </row>
    <row r="397" spans="1:21">
      <c r="A397" s="10">
        <v>396</v>
      </c>
      <c r="B397" s="23">
        <v>40560</v>
      </c>
      <c r="C397" s="10">
        <v>1</v>
      </c>
      <c r="D397" s="10">
        <v>0</v>
      </c>
      <c r="E397" s="10">
        <v>1</v>
      </c>
      <c r="F397" s="10">
        <v>23</v>
      </c>
      <c r="G397" s="10" t="b">
        <v>1</v>
      </c>
      <c r="H397" s="10">
        <v>1</v>
      </c>
      <c r="I397" s="10" t="str">
        <f>IF(OR(Cleaned_datasetB[[#This Row],[Day_Code]]=0,Cleaned_datasetB[[#This Row],[Day_Code]]=6),"Weekend","Weekday")</f>
        <v>Weekday</v>
      </c>
      <c r="J397" s="10">
        <v>3</v>
      </c>
      <c r="K397" s="10">
        <v>0.16</v>
      </c>
      <c r="L397" s="51">
        <v>0.13639999999999999</v>
      </c>
      <c r="M397" s="10">
        <v>0.86</v>
      </c>
      <c r="N397" s="10">
        <v>0.28360000000000002</v>
      </c>
      <c r="O397" s="10">
        <v>1</v>
      </c>
      <c r="P397" s="10">
        <v>3</v>
      </c>
      <c r="Q397" s="10">
        <v>4</v>
      </c>
      <c r="R397" s="10" t="str">
        <f>VLOOKUP(Cleaned_datasetB[[#This Row],[Weather_Code]],Lookup_Tables!$E$9:$F$13,2,FALSE)</f>
        <v>Light Rain</v>
      </c>
      <c r="S397" s="10" t="str">
        <f>INDEX(Lookup_Tables!$I$10:$I$16,MATCH(Cleaned_datasetB[[#This Row],[Day_Code]],Lookup_Tables!$H$10:$H$16,0))</f>
        <v>Monday</v>
      </c>
      <c r="T397" s="10" t="str">
        <f>VLOOKUP(Cleaned_datasetB[[#This Row],[Month]], Lookup_Tables!$K$8:$L$19, 2, FALSE)</f>
        <v>January</v>
      </c>
      <c r="U397" s="10" t="str">
        <f>IF(AND(Cleaned_datasetB[[#This Row],[Day_Type]]="Weekday",Cleaned_datasetB[[#This Row],[Is_Holiday]]=FALSE),"Working Day","Non-Working Day")</f>
        <v>Non-Working Day</v>
      </c>
    </row>
    <row r="398" spans="1:21">
      <c r="A398" s="10">
        <v>397</v>
      </c>
      <c r="B398" s="23">
        <v>40561</v>
      </c>
      <c r="C398" s="10">
        <v>1</v>
      </c>
      <c r="D398" s="10">
        <v>0</v>
      </c>
      <c r="E398" s="10">
        <v>1</v>
      </c>
      <c r="F398" s="10">
        <v>12</v>
      </c>
      <c r="G398" s="10" t="b">
        <v>0</v>
      </c>
      <c r="H398" s="10">
        <v>2</v>
      </c>
      <c r="I398" s="10" t="str">
        <f>IF(OR(Cleaned_datasetB[[#This Row],[Day_Code]]=0,Cleaned_datasetB[[#This Row],[Day_Code]]=6),"Weekend","Weekday")</f>
        <v>Weekday</v>
      </c>
      <c r="J398" s="10">
        <v>2</v>
      </c>
      <c r="K398" s="10">
        <v>0.2</v>
      </c>
      <c r="L398" s="51">
        <v>0.18179999999999999</v>
      </c>
      <c r="M398" s="10">
        <v>0.86</v>
      </c>
      <c r="N398" s="10">
        <v>0.32840000000000003</v>
      </c>
      <c r="O398" s="10">
        <v>0</v>
      </c>
      <c r="P398" s="10">
        <v>3</v>
      </c>
      <c r="Q398" s="10">
        <v>3</v>
      </c>
      <c r="R398" s="10" t="str">
        <f>VLOOKUP(Cleaned_datasetB[[#This Row],[Weather_Code]],Lookup_Tables!$E$9:$F$13,2,FALSE)</f>
        <v>Cloudy</v>
      </c>
      <c r="S398" s="10" t="str">
        <f>INDEX(Lookup_Tables!$I$10:$I$16,MATCH(Cleaned_datasetB[[#This Row],[Day_Code]],Lookup_Tables!$H$10:$H$16,0))</f>
        <v>Tuesday</v>
      </c>
      <c r="T398" s="10" t="str">
        <f>VLOOKUP(Cleaned_datasetB[[#This Row],[Month]], Lookup_Tables!$K$8:$L$19, 2, FALSE)</f>
        <v>January</v>
      </c>
      <c r="U398" s="10" t="str">
        <f>IF(AND(Cleaned_datasetB[[#This Row],[Day_Type]]="Weekday",Cleaned_datasetB[[#This Row],[Is_Holiday]]=FALSE),"Working Day","Non-Working Day")</f>
        <v>Working Day</v>
      </c>
    </row>
    <row r="399" spans="1:21">
      <c r="A399" s="10">
        <v>398</v>
      </c>
      <c r="B399" s="23">
        <v>40561</v>
      </c>
      <c r="C399" s="10">
        <v>1</v>
      </c>
      <c r="D399" s="10">
        <v>0</v>
      </c>
      <c r="E399" s="10">
        <v>1</v>
      </c>
      <c r="F399" s="10">
        <v>13</v>
      </c>
      <c r="G399" s="10" t="b">
        <v>0</v>
      </c>
      <c r="H399" s="10">
        <v>2</v>
      </c>
      <c r="I399" s="10" t="str">
        <f>IF(OR(Cleaned_datasetB[[#This Row],[Day_Code]]=0,Cleaned_datasetB[[#This Row],[Day_Code]]=6),"Weekend","Weekday")</f>
        <v>Weekday</v>
      </c>
      <c r="J399" s="10">
        <v>2</v>
      </c>
      <c r="K399" s="10">
        <v>0.2</v>
      </c>
      <c r="L399" s="51">
        <v>0.19700000000000001</v>
      </c>
      <c r="M399" s="10">
        <v>0.86</v>
      </c>
      <c r="N399" s="10">
        <v>0.22389999999999999</v>
      </c>
      <c r="O399" s="10">
        <v>0</v>
      </c>
      <c r="P399" s="10">
        <v>22</v>
      </c>
      <c r="Q399" s="10">
        <v>22</v>
      </c>
      <c r="R399" s="10" t="str">
        <f>VLOOKUP(Cleaned_datasetB[[#This Row],[Weather_Code]],Lookup_Tables!$E$9:$F$13,2,FALSE)</f>
        <v>Cloudy</v>
      </c>
      <c r="S399" s="10" t="str">
        <f>INDEX(Lookup_Tables!$I$10:$I$16,MATCH(Cleaned_datasetB[[#This Row],[Day_Code]],Lookup_Tables!$H$10:$H$16,0))</f>
        <v>Tuesday</v>
      </c>
      <c r="T399" s="10" t="str">
        <f>VLOOKUP(Cleaned_datasetB[[#This Row],[Month]], Lookup_Tables!$K$8:$L$19, 2, FALSE)</f>
        <v>January</v>
      </c>
      <c r="U399" s="10" t="str">
        <f>IF(AND(Cleaned_datasetB[[#This Row],[Day_Type]]="Weekday",Cleaned_datasetB[[#This Row],[Is_Holiday]]=FALSE),"Working Day","Non-Working Day")</f>
        <v>Working Day</v>
      </c>
    </row>
    <row r="400" spans="1:21">
      <c r="A400" s="10">
        <v>399</v>
      </c>
      <c r="B400" s="23">
        <v>40561</v>
      </c>
      <c r="C400" s="10">
        <v>1</v>
      </c>
      <c r="D400" s="10">
        <v>0</v>
      </c>
      <c r="E400" s="10">
        <v>1</v>
      </c>
      <c r="F400" s="10">
        <v>14</v>
      </c>
      <c r="G400" s="10" t="b">
        <v>0</v>
      </c>
      <c r="H400" s="10">
        <v>2</v>
      </c>
      <c r="I400" s="10" t="str">
        <f>IF(OR(Cleaned_datasetB[[#This Row],[Day_Code]]=0,Cleaned_datasetB[[#This Row],[Day_Code]]=6),"Weekend","Weekday")</f>
        <v>Weekday</v>
      </c>
      <c r="J400" s="10">
        <v>2</v>
      </c>
      <c r="K400" s="10">
        <v>0.22</v>
      </c>
      <c r="L400" s="51">
        <v>0.2273</v>
      </c>
      <c r="M400" s="10">
        <v>0.8</v>
      </c>
      <c r="N400" s="10">
        <v>0.16420000000000001</v>
      </c>
      <c r="O400" s="10">
        <v>2</v>
      </c>
      <c r="P400" s="10">
        <v>26</v>
      </c>
      <c r="Q400" s="10">
        <v>28</v>
      </c>
      <c r="R400" s="10" t="str">
        <f>VLOOKUP(Cleaned_datasetB[[#This Row],[Weather_Code]],Lookup_Tables!$E$9:$F$13,2,FALSE)</f>
        <v>Cloudy</v>
      </c>
      <c r="S400" s="10" t="str">
        <f>INDEX(Lookup_Tables!$I$10:$I$16,MATCH(Cleaned_datasetB[[#This Row],[Day_Code]],Lookup_Tables!$H$10:$H$16,0))</f>
        <v>Tuesday</v>
      </c>
      <c r="T400" s="10" t="str">
        <f>VLOOKUP(Cleaned_datasetB[[#This Row],[Month]], Lookup_Tables!$K$8:$L$19, 2, FALSE)</f>
        <v>January</v>
      </c>
      <c r="U400" s="10" t="str">
        <f>IF(AND(Cleaned_datasetB[[#This Row],[Day_Type]]="Weekday",Cleaned_datasetB[[#This Row],[Is_Holiday]]=FALSE),"Working Day","Non-Working Day")</f>
        <v>Working Day</v>
      </c>
    </row>
    <row r="401" spans="1:21">
      <c r="A401" s="10">
        <v>400</v>
      </c>
      <c r="B401" s="23">
        <v>40561</v>
      </c>
      <c r="C401" s="10">
        <v>1</v>
      </c>
      <c r="D401" s="10">
        <v>0</v>
      </c>
      <c r="E401" s="10">
        <v>1</v>
      </c>
      <c r="F401" s="10">
        <v>15</v>
      </c>
      <c r="G401" s="10" t="b">
        <v>0</v>
      </c>
      <c r="H401" s="10">
        <v>2</v>
      </c>
      <c r="I401" s="10" t="str">
        <f>IF(OR(Cleaned_datasetB[[#This Row],[Day_Code]]=0,Cleaned_datasetB[[#This Row],[Day_Code]]=6),"Weekend","Weekday")</f>
        <v>Weekday</v>
      </c>
      <c r="J401" s="10">
        <v>2</v>
      </c>
      <c r="K401" s="10">
        <v>0.22</v>
      </c>
      <c r="L401" s="51">
        <v>0.2273</v>
      </c>
      <c r="M401" s="10">
        <v>0.87</v>
      </c>
      <c r="N401" s="10">
        <v>0.16420000000000001</v>
      </c>
      <c r="O401" s="10">
        <v>3</v>
      </c>
      <c r="P401" s="10">
        <v>32</v>
      </c>
      <c r="Q401" s="10">
        <v>35</v>
      </c>
      <c r="R401" s="10" t="str">
        <f>VLOOKUP(Cleaned_datasetB[[#This Row],[Weather_Code]],Lookup_Tables!$E$9:$F$13,2,FALSE)</f>
        <v>Cloudy</v>
      </c>
      <c r="S401" s="10" t="str">
        <f>INDEX(Lookup_Tables!$I$10:$I$16,MATCH(Cleaned_datasetB[[#This Row],[Day_Code]],Lookup_Tables!$H$10:$H$16,0))</f>
        <v>Tuesday</v>
      </c>
      <c r="T401" s="10" t="str">
        <f>VLOOKUP(Cleaned_datasetB[[#This Row],[Month]], Lookup_Tables!$K$8:$L$19, 2, FALSE)</f>
        <v>January</v>
      </c>
      <c r="U401" s="10" t="str">
        <f>IF(AND(Cleaned_datasetB[[#This Row],[Day_Type]]="Weekday",Cleaned_datasetB[[#This Row],[Is_Holiday]]=FALSE),"Working Day","Non-Working Day")</f>
        <v>Working Day</v>
      </c>
    </row>
    <row r="402" spans="1:21">
      <c r="A402" s="10">
        <v>401</v>
      </c>
      <c r="B402" s="23">
        <v>40561</v>
      </c>
      <c r="C402" s="10">
        <v>1</v>
      </c>
      <c r="D402" s="10">
        <v>0</v>
      </c>
      <c r="E402" s="10">
        <v>1</v>
      </c>
      <c r="F402" s="10">
        <v>16</v>
      </c>
      <c r="G402" s="10" t="b">
        <v>0</v>
      </c>
      <c r="H402" s="10">
        <v>2</v>
      </c>
      <c r="I402" s="10" t="str">
        <f>IF(OR(Cleaned_datasetB[[#This Row],[Day_Code]]=0,Cleaned_datasetB[[#This Row],[Day_Code]]=6),"Weekend","Weekday")</f>
        <v>Weekday</v>
      </c>
      <c r="J402" s="10">
        <v>2</v>
      </c>
      <c r="K402" s="10">
        <v>0.22</v>
      </c>
      <c r="L402" s="51">
        <v>0.2273</v>
      </c>
      <c r="M402" s="10">
        <v>0.87</v>
      </c>
      <c r="N402" s="10">
        <v>0.19400000000000001</v>
      </c>
      <c r="O402" s="10">
        <v>0</v>
      </c>
      <c r="P402" s="10">
        <v>61</v>
      </c>
      <c r="Q402" s="10">
        <v>61</v>
      </c>
      <c r="R402" s="10" t="str">
        <f>VLOOKUP(Cleaned_datasetB[[#This Row],[Weather_Code]],Lookup_Tables!$E$9:$F$13,2,FALSE)</f>
        <v>Cloudy</v>
      </c>
      <c r="S402" s="10" t="str">
        <f>INDEX(Lookup_Tables!$I$10:$I$16,MATCH(Cleaned_datasetB[[#This Row],[Day_Code]],Lookup_Tables!$H$10:$H$16,0))</f>
        <v>Tuesday</v>
      </c>
      <c r="T402" s="10" t="str">
        <f>VLOOKUP(Cleaned_datasetB[[#This Row],[Month]], Lookup_Tables!$K$8:$L$19, 2, FALSE)</f>
        <v>January</v>
      </c>
      <c r="U402" s="10" t="str">
        <f>IF(AND(Cleaned_datasetB[[#This Row],[Day_Type]]="Weekday",Cleaned_datasetB[[#This Row],[Is_Holiday]]=FALSE),"Working Day","Non-Working Day")</f>
        <v>Working Day</v>
      </c>
    </row>
    <row r="403" spans="1:21">
      <c r="A403" s="10">
        <v>402</v>
      </c>
      <c r="B403" s="23">
        <v>40561</v>
      </c>
      <c r="C403" s="10">
        <v>1</v>
      </c>
      <c r="D403" s="10">
        <v>0</v>
      </c>
      <c r="E403" s="10">
        <v>1</v>
      </c>
      <c r="F403" s="10">
        <v>17</v>
      </c>
      <c r="G403" s="10" t="b">
        <v>0</v>
      </c>
      <c r="H403" s="10">
        <v>2</v>
      </c>
      <c r="I403" s="10" t="str">
        <f>IF(OR(Cleaned_datasetB[[#This Row],[Day_Code]]=0,Cleaned_datasetB[[#This Row],[Day_Code]]=6),"Weekend","Weekday")</f>
        <v>Weekday</v>
      </c>
      <c r="J403" s="10">
        <v>2</v>
      </c>
      <c r="K403" s="10">
        <v>0.22</v>
      </c>
      <c r="L403" s="51">
        <v>0.2273</v>
      </c>
      <c r="M403" s="10">
        <v>0.82</v>
      </c>
      <c r="N403" s="10">
        <v>0.19400000000000001</v>
      </c>
      <c r="O403" s="10">
        <v>1</v>
      </c>
      <c r="P403" s="10">
        <v>124</v>
      </c>
      <c r="Q403" s="10">
        <v>125</v>
      </c>
      <c r="R403" s="10" t="str">
        <f>VLOOKUP(Cleaned_datasetB[[#This Row],[Weather_Code]],Lookup_Tables!$E$9:$F$13,2,FALSE)</f>
        <v>Cloudy</v>
      </c>
      <c r="S403" s="10" t="str">
        <f>INDEX(Lookup_Tables!$I$10:$I$16,MATCH(Cleaned_datasetB[[#This Row],[Day_Code]],Lookup_Tables!$H$10:$H$16,0))</f>
        <v>Tuesday</v>
      </c>
      <c r="T403" s="10" t="str">
        <f>VLOOKUP(Cleaned_datasetB[[#This Row],[Month]], Lookup_Tables!$K$8:$L$19, 2, FALSE)</f>
        <v>January</v>
      </c>
      <c r="U403" s="10" t="str">
        <f>IF(AND(Cleaned_datasetB[[#This Row],[Day_Type]]="Weekday",Cleaned_datasetB[[#This Row],[Is_Holiday]]=FALSE),"Working Day","Non-Working Day")</f>
        <v>Working Day</v>
      </c>
    </row>
    <row r="404" spans="1:21">
      <c r="A404" s="10">
        <v>403</v>
      </c>
      <c r="B404" s="23">
        <v>40561</v>
      </c>
      <c r="C404" s="10">
        <v>1</v>
      </c>
      <c r="D404" s="10">
        <v>0</v>
      </c>
      <c r="E404" s="10">
        <v>1</v>
      </c>
      <c r="F404" s="10">
        <v>18</v>
      </c>
      <c r="G404" s="10" t="b">
        <v>0</v>
      </c>
      <c r="H404" s="10">
        <v>2</v>
      </c>
      <c r="I404" s="10" t="str">
        <f>IF(OR(Cleaned_datasetB[[#This Row],[Day_Code]]=0,Cleaned_datasetB[[#This Row],[Day_Code]]=6),"Weekend","Weekday")</f>
        <v>Weekday</v>
      </c>
      <c r="J404" s="10">
        <v>2</v>
      </c>
      <c r="K404" s="10">
        <v>0.22</v>
      </c>
      <c r="L404" s="51">
        <v>0.2273</v>
      </c>
      <c r="M404" s="10">
        <v>0.8</v>
      </c>
      <c r="N404" s="10">
        <v>0.16420000000000001</v>
      </c>
      <c r="O404" s="10">
        <v>1</v>
      </c>
      <c r="P404" s="10">
        <v>132</v>
      </c>
      <c r="Q404" s="10">
        <v>133</v>
      </c>
      <c r="R404" s="10" t="str">
        <f>VLOOKUP(Cleaned_datasetB[[#This Row],[Weather_Code]],Lookup_Tables!$E$9:$F$13,2,FALSE)</f>
        <v>Cloudy</v>
      </c>
      <c r="S404" s="10" t="str">
        <f>INDEX(Lookup_Tables!$I$10:$I$16,MATCH(Cleaned_datasetB[[#This Row],[Day_Code]],Lookup_Tables!$H$10:$H$16,0))</f>
        <v>Tuesday</v>
      </c>
      <c r="T404" s="10" t="str">
        <f>VLOOKUP(Cleaned_datasetB[[#This Row],[Month]], Lookup_Tables!$K$8:$L$19, 2, FALSE)</f>
        <v>January</v>
      </c>
      <c r="U404" s="10" t="str">
        <f>IF(AND(Cleaned_datasetB[[#This Row],[Day_Type]]="Weekday",Cleaned_datasetB[[#This Row],[Is_Holiday]]=FALSE),"Working Day","Non-Working Day")</f>
        <v>Working Day</v>
      </c>
    </row>
    <row r="405" spans="1:21">
      <c r="A405" s="10">
        <v>404</v>
      </c>
      <c r="B405" s="23">
        <v>40561</v>
      </c>
      <c r="C405" s="10">
        <v>1</v>
      </c>
      <c r="D405" s="10">
        <v>0</v>
      </c>
      <c r="E405" s="10">
        <v>1</v>
      </c>
      <c r="F405" s="10">
        <v>19</v>
      </c>
      <c r="G405" s="10" t="b">
        <v>0</v>
      </c>
      <c r="H405" s="10">
        <v>2</v>
      </c>
      <c r="I405" s="10" t="str">
        <f>IF(OR(Cleaned_datasetB[[#This Row],[Day_Code]]=0,Cleaned_datasetB[[#This Row],[Day_Code]]=6),"Weekend","Weekday")</f>
        <v>Weekday</v>
      </c>
      <c r="J405" s="10">
        <v>2</v>
      </c>
      <c r="K405" s="10">
        <v>0.22</v>
      </c>
      <c r="L405" s="51">
        <v>0.2273</v>
      </c>
      <c r="M405" s="10">
        <v>0.8</v>
      </c>
      <c r="N405" s="10">
        <v>0.1343</v>
      </c>
      <c r="O405" s="10">
        <v>1</v>
      </c>
      <c r="P405" s="10">
        <v>98</v>
      </c>
      <c r="Q405" s="10">
        <v>99</v>
      </c>
      <c r="R405" s="10" t="str">
        <f>VLOOKUP(Cleaned_datasetB[[#This Row],[Weather_Code]],Lookup_Tables!$E$9:$F$13,2,FALSE)</f>
        <v>Cloudy</v>
      </c>
      <c r="S405" s="10" t="str">
        <f>INDEX(Lookup_Tables!$I$10:$I$16,MATCH(Cleaned_datasetB[[#This Row],[Day_Code]],Lookup_Tables!$H$10:$H$16,0))</f>
        <v>Tuesday</v>
      </c>
      <c r="T405" s="10" t="str">
        <f>VLOOKUP(Cleaned_datasetB[[#This Row],[Month]], Lookup_Tables!$K$8:$L$19, 2, FALSE)</f>
        <v>January</v>
      </c>
      <c r="U405" s="10" t="str">
        <f>IF(AND(Cleaned_datasetB[[#This Row],[Day_Type]]="Weekday",Cleaned_datasetB[[#This Row],[Is_Holiday]]=FALSE),"Working Day","Non-Working Day")</f>
        <v>Working Day</v>
      </c>
    </row>
    <row r="406" spans="1:21">
      <c r="A406" s="10">
        <v>405</v>
      </c>
      <c r="B406" s="23">
        <v>40561</v>
      </c>
      <c r="C406" s="10">
        <v>1</v>
      </c>
      <c r="D406" s="10">
        <v>0</v>
      </c>
      <c r="E406" s="10">
        <v>1</v>
      </c>
      <c r="F406" s="10">
        <v>20</v>
      </c>
      <c r="G406" s="10" t="b">
        <v>0</v>
      </c>
      <c r="H406" s="10">
        <v>2</v>
      </c>
      <c r="I406" s="10" t="str">
        <f>IF(OR(Cleaned_datasetB[[#This Row],[Day_Code]]=0,Cleaned_datasetB[[#This Row],[Day_Code]]=6),"Weekend","Weekday")</f>
        <v>Weekday</v>
      </c>
      <c r="J406" s="10">
        <v>2</v>
      </c>
      <c r="K406" s="10">
        <v>0.22</v>
      </c>
      <c r="L406" s="51">
        <v>0.2727</v>
      </c>
      <c r="M406" s="10">
        <v>0.87</v>
      </c>
      <c r="N406" s="10">
        <v>0</v>
      </c>
      <c r="O406" s="10">
        <v>0</v>
      </c>
      <c r="P406" s="10">
        <v>83</v>
      </c>
      <c r="Q406" s="10">
        <v>83</v>
      </c>
      <c r="R406" s="10" t="str">
        <f>VLOOKUP(Cleaned_datasetB[[#This Row],[Weather_Code]],Lookup_Tables!$E$9:$F$13,2,FALSE)</f>
        <v>Cloudy</v>
      </c>
      <c r="S406" s="10" t="str">
        <f>INDEX(Lookup_Tables!$I$10:$I$16,MATCH(Cleaned_datasetB[[#This Row],[Day_Code]],Lookup_Tables!$H$10:$H$16,0))</f>
        <v>Tuesday</v>
      </c>
      <c r="T406" s="10" t="str">
        <f>VLOOKUP(Cleaned_datasetB[[#This Row],[Month]], Lookup_Tables!$K$8:$L$19, 2, FALSE)</f>
        <v>January</v>
      </c>
      <c r="U406" s="10" t="str">
        <f>IF(AND(Cleaned_datasetB[[#This Row],[Day_Type]]="Weekday",Cleaned_datasetB[[#This Row],[Is_Holiday]]=FALSE),"Working Day","Non-Working Day")</f>
        <v>Working Day</v>
      </c>
    </row>
    <row r="407" spans="1:21">
      <c r="A407" s="10">
        <v>406</v>
      </c>
      <c r="B407" s="23">
        <v>40561</v>
      </c>
      <c r="C407" s="10">
        <v>1</v>
      </c>
      <c r="D407" s="10">
        <v>0</v>
      </c>
      <c r="E407" s="10">
        <v>1</v>
      </c>
      <c r="F407" s="10">
        <v>21</v>
      </c>
      <c r="G407" s="10" t="b">
        <v>0</v>
      </c>
      <c r="H407" s="10">
        <v>2</v>
      </c>
      <c r="I407" s="10" t="str">
        <f>IF(OR(Cleaned_datasetB[[#This Row],[Day_Code]]=0,Cleaned_datasetB[[#This Row],[Day_Code]]=6),"Weekend","Weekday")</f>
        <v>Weekday</v>
      </c>
      <c r="J407" s="10">
        <v>2</v>
      </c>
      <c r="K407" s="10">
        <v>0.22</v>
      </c>
      <c r="L407" s="51">
        <v>0.2424</v>
      </c>
      <c r="M407" s="10">
        <v>0.93</v>
      </c>
      <c r="N407" s="10">
        <v>0.1045</v>
      </c>
      <c r="O407" s="10">
        <v>0</v>
      </c>
      <c r="P407" s="10">
        <v>41</v>
      </c>
      <c r="Q407" s="10">
        <v>41</v>
      </c>
      <c r="R407" s="10" t="str">
        <f>VLOOKUP(Cleaned_datasetB[[#This Row],[Weather_Code]],Lookup_Tables!$E$9:$F$13,2,FALSE)</f>
        <v>Cloudy</v>
      </c>
      <c r="S407" s="10" t="str">
        <f>INDEX(Lookup_Tables!$I$10:$I$16,MATCH(Cleaned_datasetB[[#This Row],[Day_Code]],Lookup_Tables!$H$10:$H$16,0))</f>
        <v>Tuesday</v>
      </c>
      <c r="T407" s="10" t="str">
        <f>VLOOKUP(Cleaned_datasetB[[#This Row],[Month]], Lookup_Tables!$K$8:$L$19, 2, FALSE)</f>
        <v>January</v>
      </c>
      <c r="U407" s="10" t="str">
        <f>IF(AND(Cleaned_datasetB[[#This Row],[Day_Type]]="Weekday",Cleaned_datasetB[[#This Row],[Is_Holiday]]=FALSE),"Working Day","Non-Working Day")</f>
        <v>Working Day</v>
      </c>
    </row>
    <row r="408" spans="1:21">
      <c r="A408" s="10">
        <v>407</v>
      </c>
      <c r="B408" s="23">
        <v>40561</v>
      </c>
      <c r="C408" s="10">
        <v>1</v>
      </c>
      <c r="D408" s="10">
        <v>0</v>
      </c>
      <c r="E408" s="10">
        <v>1</v>
      </c>
      <c r="F408" s="10">
        <v>22</v>
      </c>
      <c r="G408" s="10" t="b">
        <v>0</v>
      </c>
      <c r="H408" s="10">
        <v>2</v>
      </c>
      <c r="I408" s="10" t="str">
        <f>IF(OR(Cleaned_datasetB[[#This Row],[Day_Code]]=0,Cleaned_datasetB[[#This Row],[Day_Code]]=6),"Weekend","Weekday")</f>
        <v>Weekday</v>
      </c>
      <c r="J408" s="10">
        <v>2</v>
      </c>
      <c r="K408" s="10">
        <v>0.22</v>
      </c>
      <c r="L408" s="51">
        <v>0.2576</v>
      </c>
      <c r="M408" s="10">
        <v>0.93</v>
      </c>
      <c r="N408" s="10">
        <v>8.9599999999999999E-2</v>
      </c>
      <c r="O408" s="10">
        <v>0</v>
      </c>
      <c r="P408" s="10">
        <v>33</v>
      </c>
      <c r="Q408" s="10">
        <v>33</v>
      </c>
      <c r="R408" s="10" t="str">
        <f>VLOOKUP(Cleaned_datasetB[[#This Row],[Weather_Code]],Lookup_Tables!$E$9:$F$13,2,FALSE)</f>
        <v>Cloudy</v>
      </c>
      <c r="S408" s="10" t="str">
        <f>INDEX(Lookup_Tables!$I$10:$I$16,MATCH(Cleaned_datasetB[[#This Row],[Day_Code]],Lookup_Tables!$H$10:$H$16,0))</f>
        <v>Tuesday</v>
      </c>
      <c r="T408" s="10" t="str">
        <f>VLOOKUP(Cleaned_datasetB[[#This Row],[Month]], Lookup_Tables!$K$8:$L$19, 2, FALSE)</f>
        <v>January</v>
      </c>
      <c r="U408" s="10" t="str">
        <f>IF(AND(Cleaned_datasetB[[#This Row],[Day_Type]]="Weekday",Cleaned_datasetB[[#This Row],[Is_Holiday]]=FALSE),"Working Day","Non-Working Day")</f>
        <v>Working Day</v>
      </c>
    </row>
    <row r="409" spans="1:21">
      <c r="A409" s="10">
        <v>408</v>
      </c>
      <c r="B409" s="23">
        <v>40561</v>
      </c>
      <c r="C409" s="10">
        <v>1</v>
      </c>
      <c r="D409" s="10">
        <v>0</v>
      </c>
      <c r="E409" s="10">
        <v>1</v>
      </c>
      <c r="F409" s="10">
        <v>23</v>
      </c>
      <c r="G409" s="10" t="b">
        <v>0</v>
      </c>
      <c r="H409" s="10">
        <v>2</v>
      </c>
      <c r="I409" s="10" t="str">
        <f>IF(OR(Cleaned_datasetB[[#This Row],[Day_Code]]=0,Cleaned_datasetB[[#This Row],[Day_Code]]=6),"Weekend","Weekday")</f>
        <v>Weekday</v>
      </c>
      <c r="J409" s="10">
        <v>2</v>
      </c>
      <c r="K409" s="10">
        <v>0.22</v>
      </c>
      <c r="L409" s="51">
        <v>0.2727</v>
      </c>
      <c r="M409" s="10">
        <v>0.93</v>
      </c>
      <c r="N409" s="10">
        <v>0</v>
      </c>
      <c r="O409" s="10">
        <v>1</v>
      </c>
      <c r="P409" s="10">
        <v>19</v>
      </c>
      <c r="Q409" s="10">
        <v>20</v>
      </c>
      <c r="R409" s="10" t="str">
        <f>VLOOKUP(Cleaned_datasetB[[#This Row],[Weather_Code]],Lookup_Tables!$E$9:$F$13,2,FALSE)</f>
        <v>Cloudy</v>
      </c>
      <c r="S409" s="10" t="str">
        <f>INDEX(Lookup_Tables!$I$10:$I$16,MATCH(Cleaned_datasetB[[#This Row],[Day_Code]],Lookup_Tables!$H$10:$H$16,0))</f>
        <v>Tuesday</v>
      </c>
      <c r="T409" s="10" t="str">
        <f>VLOOKUP(Cleaned_datasetB[[#This Row],[Month]], Lookup_Tables!$K$8:$L$19, 2, FALSE)</f>
        <v>January</v>
      </c>
      <c r="U409" s="10" t="str">
        <f>IF(AND(Cleaned_datasetB[[#This Row],[Day_Type]]="Weekday",Cleaned_datasetB[[#This Row],[Is_Holiday]]=FALSE),"Working Day","Non-Working Day")</f>
        <v>Working Day</v>
      </c>
    </row>
    <row r="410" spans="1:21">
      <c r="A410" s="10">
        <v>409</v>
      </c>
      <c r="B410" s="23">
        <v>40562</v>
      </c>
      <c r="C410" s="10">
        <v>1</v>
      </c>
      <c r="D410" s="10">
        <v>0</v>
      </c>
      <c r="E410" s="10">
        <v>1</v>
      </c>
      <c r="F410" s="10">
        <v>0</v>
      </c>
      <c r="G410" s="10" t="b">
        <v>0</v>
      </c>
      <c r="H410" s="10">
        <v>3</v>
      </c>
      <c r="I410" s="10" t="str">
        <f>IF(OR(Cleaned_datasetB[[#This Row],[Day_Code]]=0,Cleaned_datasetB[[#This Row],[Day_Code]]=6),"Weekend","Weekday")</f>
        <v>Weekday</v>
      </c>
      <c r="J410" s="10">
        <v>2</v>
      </c>
      <c r="K410" s="10">
        <v>0.22</v>
      </c>
      <c r="L410" s="51">
        <v>0.2727</v>
      </c>
      <c r="M410" s="10">
        <v>0.93</v>
      </c>
      <c r="N410" s="10">
        <v>0</v>
      </c>
      <c r="O410" s="10">
        <v>0</v>
      </c>
      <c r="P410" s="10">
        <v>3</v>
      </c>
      <c r="Q410" s="10">
        <v>3</v>
      </c>
      <c r="R410" s="10" t="str">
        <f>VLOOKUP(Cleaned_datasetB[[#This Row],[Weather_Code]],Lookup_Tables!$E$9:$F$13,2,FALSE)</f>
        <v>Cloudy</v>
      </c>
      <c r="S410" s="10" t="str">
        <f>INDEX(Lookup_Tables!$I$10:$I$16,MATCH(Cleaned_datasetB[[#This Row],[Day_Code]],Lookup_Tables!$H$10:$H$16,0))</f>
        <v>Wednesday</v>
      </c>
      <c r="T410" s="10" t="str">
        <f>VLOOKUP(Cleaned_datasetB[[#This Row],[Month]], Lookup_Tables!$K$8:$L$19, 2, FALSE)</f>
        <v>January</v>
      </c>
      <c r="U410" s="10" t="str">
        <f>IF(AND(Cleaned_datasetB[[#This Row],[Day_Type]]="Weekday",Cleaned_datasetB[[#This Row],[Is_Holiday]]=FALSE),"Working Day","Non-Working Day")</f>
        <v>Working Day</v>
      </c>
    </row>
    <row r="411" spans="1:21">
      <c r="A411" s="10">
        <v>410</v>
      </c>
      <c r="B411" s="23">
        <v>40562</v>
      </c>
      <c r="C411" s="10">
        <v>1</v>
      </c>
      <c r="D411" s="10">
        <v>0</v>
      </c>
      <c r="E411" s="10">
        <v>1</v>
      </c>
      <c r="F411" s="10">
        <v>1</v>
      </c>
      <c r="G411" s="10" t="b">
        <v>0</v>
      </c>
      <c r="H411" s="10">
        <v>3</v>
      </c>
      <c r="I411" s="10" t="str">
        <f>IF(OR(Cleaned_datasetB[[#This Row],[Day_Code]]=0,Cleaned_datasetB[[#This Row],[Day_Code]]=6),"Weekend","Weekday")</f>
        <v>Weekday</v>
      </c>
      <c r="J411" s="10">
        <v>3</v>
      </c>
      <c r="K411" s="10">
        <v>0.22</v>
      </c>
      <c r="L411" s="51">
        <v>0.2273</v>
      </c>
      <c r="M411" s="10">
        <v>0.93</v>
      </c>
      <c r="N411" s="10">
        <v>0.1343</v>
      </c>
      <c r="O411" s="10">
        <v>1</v>
      </c>
      <c r="P411" s="10">
        <v>6</v>
      </c>
      <c r="Q411" s="10">
        <v>7</v>
      </c>
      <c r="R411" s="10" t="str">
        <f>VLOOKUP(Cleaned_datasetB[[#This Row],[Weather_Code]],Lookup_Tables!$E$9:$F$13,2,FALSE)</f>
        <v>Light Rain</v>
      </c>
      <c r="S411" s="10" t="str">
        <f>INDEX(Lookup_Tables!$I$10:$I$16,MATCH(Cleaned_datasetB[[#This Row],[Day_Code]],Lookup_Tables!$H$10:$H$16,0))</f>
        <v>Wednesday</v>
      </c>
      <c r="T411" s="10" t="str">
        <f>VLOOKUP(Cleaned_datasetB[[#This Row],[Month]], Lookup_Tables!$K$8:$L$19, 2, FALSE)</f>
        <v>January</v>
      </c>
      <c r="U411" s="10" t="str">
        <f>IF(AND(Cleaned_datasetB[[#This Row],[Day_Type]]="Weekday",Cleaned_datasetB[[#This Row],[Is_Holiday]]=FALSE),"Working Day","Non-Working Day")</f>
        <v>Working Day</v>
      </c>
    </row>
    <row r="412" spans="1:21">
      <c r="A412" s="10">
        <v>411</v>
      </c>
      <c r="B412" s="23">
        <v>40562</v>
      </c>
      <c r="C412" s="10">
        <v>1</v>
      </c>
      <c r="D412" s="10">
        <v>0</v>
      </c>
      <c r="E412" s="10">
        <v>1</v>
      </c>
      <c r="F412" s="10">
        <v>2</v>
      </c>
      <c r="G412" s="10" t="b">
        <v>0</v>
      </c>
      <c r="H412" s="10">
        <v>3</v>
      </c>
      <c r="I412" s="10" t="str">
        <f>IF(OR(Cleaned_datasetB[[#This Row],[Day_Code]]=0,Cleaned_datasetB[[#This Row],[Day_Code]]=6),"Weekend","Weekday")</f>
        <v>Weekday</v>
      </c>
      <c r="J412" s="10">
        <v>3</v>
      </c>
      <c r="K412" s="10">
        <v>0.22</v>
      </c>
      <c r="L412" s="51">
        <v>0.2273</v>
      </c>
      <c r="M412" s="10">
        <v>0.93</v>
      </c>
      <c r="N412" s="10">
        <v>0.1343</v>
      </c>
      <c r="O412" s="10">
        <v>0</v>
      </c>
      <c r="P412" s="10">
        <v>3</v>
      </c>
      <c r="Q412" s="10">
        <v>3</v>
      </c>
      <c r="R412" s="10" t="str">
        <f>VLOOKUP(Cleaned_datasetB[[#This Row],[Weather_Code]],Lookup_Tables!$E$9:$F$13,2,FALSE)</f>
        <v>Light Rain</v>
      </c>
      <c r="S412" s="10" t="str">
        <f>INDEX(Lookup_Tables!$I$10:$I$16,MATCH(Cleaned_datasetB[[#This Row],[Day_Code]],Lookup_Tables!$H$10:$H$16,0))</f>
        <v>Wednesday</v>
      </c>
      <c r="T412" s="10" t="str">
        <f>VLOOKUP(Cleaned_datasetB[[#This Row],[Month]], Lookup_Tables!$K$8:$L$19, 2, FALSE)</f>
        <v>January</v>
      </c>
      <c r="U412" s="10" t="str">
        <f>IF(AND(Cleaned_datasetB[[#This Row],[Day_Type]]="Weekday",Cleaned_datasetB[[#This Row],[Is_Holiday]]=FALSE),"Working Day","Non-Working Day")</f>
        <v>Working Day</v>
      </c>
    </row>
    <row r="413" spans="1:21">
      <c r="A413" s="10">
        <v>412</v>
      </c>
      <c r="B413" s="23">
        <v>40562</v>
      </c>
      <c r="C413" s="10">
        <v>1</v>
      </c>
      <c r="D413" s="10">
        <v>0</v>
      </c>
      <c r="E413" s="10">
        <v>1</v>
      </c>
      <c r="F413" s="10">
        <v>4</v>
      </c>
      <c r="G413" s="10" t="b">
        <v>0</v>
      </c>
      <c r="H413" s="10">
        <v>3</v>
      </c>
      <c r="I413" s="10" t="str">
        <f>IF(OR(Cleaned_datasetB[[#This Row],[Day_Code]]=0,Cleaned_datasetB[[#This Row],[Day_Code]]=6),"Weekend","Weekday")</f>
        <v>Weekday</v>
      </c>
      <c r="J413" s="10">
        <v>3</v>
      </c>
      <c r="K413" s="10">
        <v>0.22</v>
      </c>
      <c r="L413" s="51">
        <v>0.2273</v>
      </c>
      <c r="M413" s="10">
        <v>0.93</v>
      </c>
      <c r="N413" s="10">
        <v>0.1343</v>
      </c>
      <c r="O413" s="10">
        <v>1</v>
      </c>
      <c r="P413" s="10">
        <v>1</v>
      </c>
      <c r="Q413" s="10">
        <v>2</v>
      </c>
      <c r="R413" s="10" t="str">
        <f>VLOOKUP(Cleaned_datasetB[[#This Row],[Weather_Code]],Lookup_Tables!$E$9:$F$13,2,FALSE)</f>
        <v>Light Rain</v>
      </c>
      <c r="S413" s="10" t="str">
        <f>INDEX(Lookup_Tables!$I$10:$I$16,MATCH(Cleaned_datasetB[[#This Row],[Day_Code]],Lookup_Tables!$H$10:$H$16,0))</f>
        <v>Wednesday</v>
      </c>
      <c r="T413" s="10" t="str">
        <f>VLOOKUP(Cleaned_datasetB[[#This Row],[Month]], Lookup_Tables!$K$8:$L$19, 2, FALSE)</f>
        <v>January</v>
      </c>
      <c r="U413" s="10" t="str">
        <f>IF(AND(Cleaned_datasetB[[#This Row],[Day_Type]]="Weekday",Cleaned_datasetB[[#This Row],[Is_Holiday]]=FALSE),"Working Day","Non-Working Day")</f>
        <v>Working Day</v>
      </c>
    </row>
    <row r="414" spans="1:21">
      <c r="A414" s="10">
        <v>413</v>
      </c>
      <c r="B414" s="23">
        <v>40562</v>
      </c>
      <c r="C414" s="10">
        <v>1</v>
      </c>
      <c r="D414" s="10">
        <v>0</v>
      </c>
      <c r="E414" s="10">
        <v>1</v>
      </c>
      <c r="F414" s="10">
        <v>5</v>
      </c>
      <c r="G414" s="10" t="b">
        <v>0</v>
      </c>
      <c r="H414" s="10">
        <v>3</v>
      </c>
      <c r="I414" s="10" t="str">
        <f>IF(OR(Cleaned_datasetB[[#This Row],[Day_Code]]=0,Cleaned_datasetB[[#This Row],[Day_Code]]=6),"Weekend","Weekday")</f>
        <v>Weekday</v>
      </c>
      <c r="J414" s="10">
        <v>2</v>
      </c>
      <c r="K414" s="10">
        <v>0.22</v>
      </c>
      <c r="L414" s="51">
        <v>0.2576</v>
      </c>
      <c r="M414" s="10">
        <v>0.93</v>
      </c>
      <c r="N414" s="10">
        <v>8.9599999999999999E-2</v>
      </c>
      <c r="O414" s="10">
        <v>0</v>
      </c>
      <c r="P414" s="10">
        <v>7</v>
      </c>
      <c r="Q414" s="10">
        <v>7</v>
      </c>
      <c r="R414" s="10" t="str">
        <f>VLOOKUP(Cleaned_datasetB[[#This Row],[Weather_Code]],Lookup_Tables!$E$9:$F$13,2,FALSE)</f>
        <v>Cloudy</v>
      </c>
      <c r="S414" s="10" t="str">
        <f>INDEX(Lookup_Tables!$I$10:$I$16,MATCH(Cleaned_datasetB[[#This Row],[Day_Code]],Lookup_Tables!$H$10:$H$16,0))</f>
        <v>Wednesday</v>
      </c>
      <c r="T414" s="10" t="str">
        <f>VLOOKUP(Cleaned_datasetB[[#This Row],[Month]], Lookup_Tables!$K$8:$L$19, 2, FALSE)</f>
        <v>January</v>
      </c>
      <c r="U414" s="10" t="str">
        <f>IF(AND(Cleaned_datasetB[[#This Row],[Day_Type]]="Weekday",Cleaned_datasetB[[#This Row],[Is_Holiday]]=FALSE),"Working Day","Non-Working Day")</f>
        <v>Working Day</v>
      </c>
    </row>
    <row r="415" spans="1:21">
      <c r="A415" s="10">
        <v>414</v>
      </c>
      <c r="B415" s="23">
        <v>40562</v>
      </c>
      <c r="C415" s="10">
        <v>1</v>
      </c>
      <c r="D415" s="10">
        <v>0</v>
      </c>
      <c r="E415" s="10">
        <v>1</v>
      </c>
      <c r="F415" s="10">
        <v>6</v>
      </c>
      <c r="G415" s="10" t="b">
        <v>0</v>
      </c>
      <c r="H415" s="10">
        <v>3</v>
      </c>
      <c r="I415" s="10" t="str">
        <f>IF(OR(Cleaned_datasetB[[#This Row],[Day_Code]]=0,Cleaned_datasetB[[#This Row],[Day_Code]]=6),"Weekend","Weekday")</f>
        <v>Weekday</v>
      </c>
      <c r="J415" s="10">
        <v>2</v>
      </c>
      <c r="K415" s="10">
        <v>0.22</v>
      </c>
      <c r="L415" s="51">
        <v>0.2576</v>
      </c>
      <c r="M415" s="10">
        <v>0.93</v>
      </c>
      <c r="N415" s="10">
        <v>8.9599999999999999E-2</v>
      </c>
      <c r="O415" s="10">
        <v>0</v>
      </c>
      <c r="P415" s="10">
        <v>32</v>
      </c>
      <c r="Q415" s="10">
        <v>32</v>
      </c>
      <c r="R415" s="10" t="str">
        <f>VLOOKUP(Cleaned_datasetB[[#This Row],[Weather_Code]],Lookup_Tables!$E$9:$F$13,2,FALSE)</f>
        <v>Cloudy</v>
      </c>
      <c r="S415" s="10" t="str">
        <f>INDEX(Lookup_Tables!$I$10:$I$16,MATCH(Cleaned_datasetB[[#This Row],[Day_Code]],Lookup_Tables!$H$10:$H$16,0))</f>
        <v>Wednesday</v>
      </c>
      <c r="T415" s="10" t="str">
        <f>VLOOKUP(Cleaned_datasetB[[#This Row],[Month]], Lookup_Tables!$K$8:$L$19, 2, FALSE)</f>
        <v>January</v>
      </c>
      <c r="U415" s="10" t="str">
        <f>IF(AND(Cleaned_datasetB[[#This Row],[Day_Type]]="Weekday",Cleaned_datasetB[[#This Row],[Is_Holiday]]=FALSE),"Working Day","Non-Working Day")</f>
        <v>Working Day</v>
      </c>
    </row>
    <row r="416" spans="1:21">
      <c r="A416" s="10">
        <v>415</v>
      </c>
      <c r="B416" s="23">
        <v>40562</v>
      </c>
      <c r="C416" s="10">
        <v>1</v>
      </c>
      <c r="D416" s="10">
        <v>0</v>
      </c>
      <c r="E416" s="10">
        <v>1</v>
      </c>
      <c r="F416" s="10">
        <v>7</v>
      </c>
      <c r="G416" s="10" t="b">
        <v>0</v>
      </c>
      <c r="H416" s="10">
        <v>3</v>
      </c>
      <c r="I416" s="10" t="str">
        <f>IF(OR(Cleaned_datasetB[[#This Row],[Day_Code]]=0,Cleaned_datasetB[[#This Row],[Day_Code]]=6),"Weekend","Weekday")</f>
        <v>Weekday</v>
      </c>
      <c r="J416" s="10">
        <v>2</v>
      </c>
      <c r="K416" s="10">
        <v>0.24</v>
      </c>
      <c r="L416" s="51">
        <v>0.2576</v>
      </c>
      <c r="M416" s="10">
        <v>0.92</v>
      </c>
      <c r="N416" s="10">
        <v>0.1045</v>
      </c>
      <c r="O416" s="10">
        <v>1</v>
      </c>
      <c r="P416" s="10">
        <v>89</v>
      </c>
      <c r="Q416" s="10">
        <v>90</v>
      </c>
      <c r="R416" s="10" t="str">
        <f>VLOOKUP(Cleaned_datasetB[[#This Row],[Weather_Code]],Lookup_Tables!$E$9:$F$13,2,FALSE)</f>
        <v>Cloudy</v>
      </c>
      <c r="S416" s="10" t="str">
        <f>INDEX(Lookup_Tables!$I$10:$I$16,MATCH(Cleaned_datasetB[[#This Row],[Day_Code]],Lookup_Tables!$H$10:$H$16,0))</f>
        <v>Wednesday</v>
      </c>
      <c r="T416" s="10" t="str">
        <f>VLOOKUP(Cleaned_datasetB[[#This Row],[Month]], Lookup_Tables!$K$8:$L$19, 2, FALSE)</f>
        <v>January</v>
      </c>
      <c r="U416" s="10" t="str">
        <f>IF(AND(Cleaned_datasetB[[#This Row],[Day_Type]]="Weekday",Cleaned_datasetB[[#This Row],[Is_Holiday]]=FALSE),"Working Day","Non-Working Day")</f>
        <v>Working Day</v>
      </c>
    </row>
    <row r="417" spans="1:21">
      <c r="A417" s="10">
        <v>416</v>
      </c>
      <c r="B417" s="23">
        <v>40562</v>
      </c>
      <c r="C417" s="10">
        <v>1</v>
      </c>
      <c r="D417" s="10">
        <v>0</v>
      </c>
      <c r="E417" s="10">
        <v>1</v>
      </c>
      <c r="F417" s="10">
        <v>8</v>
      </c>
      <c r="G417" s="10" t="b">
        <v>0</v>
      </c>
      <c r="H417" s="10">
        <v>3</v>
      </c>
      <c r="I417" s="10" t="str">
        <f>IF(OR(Cleaned_datasetB[[#This Row],[Day_Code]]=0,Cleaned_datasetB[[#This Row],[Day_Code]]=6),"Weekend","Weekday")</f>
        <v>Weekday</v>
      </c>
      <c r="J417" s="10">
        <v>2</v>
      </c>
      <c r="K417" s="10">
        <v>0.24</v>
      </c>
      <c r="L417" s="51">
        <v>0.2576</v>
      </c>
      <c r="M417" s="10">
        <v>0.93</v>
      </c>
      <c r="N417" s="10">
        <v>0.1045</v>
      </c>
      <c r="O417" s="10">
        <v>1</v>
      </c>
      <c r="P417" s="10">
        <v>196</v>
      </c>
      <c r="Q417" s="10">
        <v>197</v>
      </c>
      <c r="R417" s="10" t="str">
        <f>VLOOKUP(Cleaned_datasetB[[#This Row],[Weather_Code]],Lookup_Tables!$E$9:$F$13,2,FALSE)</f>
        <v>Cloudy</v>
      </c>
      <c r="S417" s="10" t="str">
        <f>INDEX(Lookup_Tables!$I$10:$I$16,MATCH(Cleaned_datasetB[[#This Row],[Day_Code]],Lookup_Tables!$H$10:$H$16,0))</f>
        <v>Wednesday</v>
      </c>
      <c r="T417" s="10" t="str">
        <f>VLOOKUP(Cleaned_datasetB[[#This Row],[Month]], Lookup_Tables!$K$8:$L$19, 2, FALSE)</f>
        <v>January</v>
      </c>
      <c r="U417" s="10" t="str">
        <f>IF(AND(Cleaned_datasetB[[#This Row],[Day_Type]]="Weekday",Cleaned_datasetB[[#This Row],[Is_Holiday]]=FALSE),"Working Day","Non-Working Day")</f>
        <v>Working Day</v>
      </c>
    </row>
    <row r="418" spans="1:21">
      <c r="A418" s="10">
        <v>417</v>
      </c>
      <c r="B418" s="23">
        <v>40562</v>
      </c>
      <c r="C418" s="10">
        <v>1</v>
      </c>
      <c r="D418" s="10">
        <v>0</v>
      </c>
      <c r="E418" s="10">
        <v>1</v>
      </c>
      <c r="F418" s="10">
        <v>9</v>
      </c>
      <c r="G418" s="10" t="b">
        <v>0</v>
      </c>
      <c r="H418" s="10">
        <v>3</v>
      </c>
      <c r="I418" s="10" t="str">
        <f>IF(OR(Cleaned_datasetB[[#This Row],[Day_Code]]=0,Cleaned_datasetB[[#This Row],[Day_Code]]=6),"Weekend","Weekday")</f>
        <v>Weekday</v>
      </c>
      <c r="J418" s="10">
        <v>2</v>
      </c>
      <c r="K418" s="10">
        <v>0.24</v>
      </c>
      <c r="L418" s="51">
        <v>0.2576</v>
      </c>
      <c r="M418" s="10">
        <v>0.93</v>
      </c>
      <c r="N418" s="10">
        <v>0.1045</v>
      </c>
      <c r="O418" s="10">
        <v>2</v>
      </c>
      <c r="P418" s="10">
        <v>107</v>
      </c>
      <c r="Q418" s="10">
        <v>109</v>
      </c>
      <c r="R418" s="10" t="str">
        <f>VLOOKUP(Cleaned_datasetB[[#This Row],[Weather_Code]],Lookup_Tables!$E$9:$F$13,2,FALSE)</f>
        <v>Cloudy</v>
      </c>
      <c r="S418" s="10" t="str">
        <f>INDEX(Lookup_Tables!$I$10:$I$16,MATCH(Cleaned_datasetB[[#This Row],[Day_Code]],Lookup_Tables!$H$10:$H$16,0))</f>
        <v>Wednesday</v>
      </c>
      <c r="T418" s="10" t="str">
        <f>VLOOKUP(Cleaned_datasetB[[#This Row],[Month]], Lookup_Tables!$K$8:$L$19, 2, FALSE)</f>
        <v>January</v>
      </c>
      <c r="U418" s="10" t="str">
        <f>IF(AND(Cleaned_datasetB[[#This Row],[Day_Type]]="Weekday",Cleaned_datasetB[[#This Row],[Is_Holiday]]=FALSE),"Working Day","Non-Working Day")</f>
        <v>Working Day</v>
      </c>
    </row>
    <row r="419" spans="1:21">
      <c r="A419" s="10">
        <v>418</v>
      </c>
      <c r="B419" s="23">
        <v>40562</v>
      </c>
      <c r="C419" s="10">
        <v>1</v>
      </c>
      <c r="D419" s="10">
        <v>0</v>
      </c>
      <c r="E419" s="10">
        <v>1</v>
      </c>
      <c r="F419" s="10">
        <v>10</v>
      </c>
      <c r="G419" s="10" t="b">
        <v>0</v>
      </c>
      <c r="H419" s="10">
        <v>3</v>
      </c>
      <c r="I419" s="10" t="str">
        <f>IF(OR(Cleaned_datasetB[[#This Row],[Day_Code]]=0,Cleaned_datasetB[[#This Row],[Day_Code]]=6),"Weekend","Weekday")</f>
        <v>Weekday</v>
      </c>
      <c r="J419" s="10">
        <v>2</v>
      </c>
      <c r="K419" s="10">
        <v>0.26</v>
      </c>
      <c r="L419" s="51">
        <v>0.2727</v>
      </c>
      <c r="M419" s="10">
        <v>0.93</v>
      </c>
      <c r="N419" s="10">
        <v>0.1343</v>
      </c>
      <c r="O419" s="10">
        <v>1</v>
      </c>
      <c r="P419" s="10">
        <v>46</v>
      </c>
      <c r="Q419" s="10">
        <v>47</v>
      </c>
      <c r="R419" s="10" t="str">
        <f>VLOOKUP(Cleaned_datasetB[[#This Row],[Weather_Code]],Lookup_Tables!$E$9:$F$13,2,FALSE)</f>
        <v>Cloudy</v>
      </c>
      <c r="S419" s="10" t="str">
        <f>INDEX(Lookup_Tables!$I$10:$I$16,MATCH(Cleaned_datasetB[[#This Row],[Day_Code]],Lookup_Tables!$H$10:$H$16,0))</f>
        <v>Wednesday</v>
      </c>
      <c r="T419" s="10" t="str">
        <f>VLOOKUP(Cleaned_datasetB[[#This Row],[Month]], Lookup_Tables!$K$8:$L$19, 2, FALSE)</f>
        <v>January</v>
      </c>
      <c r="U419" s="10" t="str">
        <f>IF(AND(Cleaned_datasetB[[#This Row],[Day_Type]]="Weekday",Cleaned_datasetB[[#This Row],[Is_Holiday]]=FALSE),"Working Day","Non-Working Day")</f>
        <v>Working Day</v>
      </c>
    </row>
    <row r="420" spans="1:21">
      <c r="A420" s="10">
        <v>419</v>
      </c>
      <c r="B420" s="23">
        <v>40562</v>
      </c>
      <c r="C420" s="10">
        <v>1</v>
      </c>
      <c r="D420" s="10">
        <v>0</v>
      </c>
      <c r="E420" s="10">
        <v>1</v>
      </c>
      <c r="F420" s="10">
        <v>11</v>
      </c>
      <c r="G420" s="10" t="b">
        <v>0</v>
      </c>
      <c r="H420" s="10">
        <v>3</v>
      </c>
      <c r="I420" s="10" t="str">
        <f>IF(OR(Cleaned_datasetB[[#This Row],[Day_Code]]=0,Cleaned_datasetB[[#This Row],[Day_Code]]=6),"Weekend","Weekday")</f>
        <v>Weekday</v>
      </c>
      <c r="J420" s="10">
        <v>2</v>
      </c>
      <c r="K420" s="10">
        <v>0.28000000000000003</v>
      </c>
      <c r="L420" s="51">
        <v>0.30299999999999999</v>
      </c>
      <c r="M420" s="10">
        <v>0.87</v>
      </c>
      <c r="N420" s="10">
        <v>8.9599999999999999E-2</v>
      </c>
      <c r="O420" s="10">
        <v>5</v>
      </c>
      <c r="P420" s="10">
        <v>47</v>
      </c>
      <c r="Q420" s="10">
        <v>52</v>
      </c>
      <c r="R420" s="10" t="str">
        <f>VLOOKUP(Cleaned_datasetB[[#This Row],[Weather_Code]],Lookup_Tables!$E$9:$F$13,2,FALSE)</f>
        <v>Cloudy</v>
      </c>
      <c r="S420" s="10" t="str">
        <f>INDEX(Lookup_Tables!$I$10:$I$16,MATCH(Cleaned_datasetB[[#This Row],[Day_Code]],Lookup_Tables!$H$10:$H$16,0))</f>
        <v>Wednesday</v>
      </c>
      <c r="T420" s="10" t="str">
        <f>VLOOKUP(Cleaned_datasetB[[#This Row],[Month]], Lookup_Tables!$K$8:$L$19, 2, FALSE)</f>
        <v>January</v>
      </c>
      <c r="U420" s="10" t="str">
        <f>IF(AND(Cleaned_datasetB[[#This Row],[Day_Type]]="Weekday",Cleaned_datasetB[[#This Row],[Is_Holiday]]=FALSE),"Working Day","Non-Working Day")</f>
        <v>Working Day</v>
      </c>
    </row>
    <row r="421" spans="1:21">
      <c r="A421" s="10">
        <v>420</v>
      </c>
      <c r="B421" s="23">
        <v>40562</v>
      </c>
      <c r="C421" s="10">
        <v>1</v>
      </c>
      <c r="D421" s="10">
        <v>0</v>
      </c>
      <c r="E421" s="10">
        <v>1</v>
      </c>
      <c r="F421" s="10">
        <v>12</v>
      </c>
      <c r="G421" s="10" t="b">
        <v>0</v>
      </c>
      <c r="H421" s="10">
        <v>3</v>
      </c>
      <c r="I421" s="10" t="str">
        <f>IF(OR(Cleaned_datasetB[[#This Row],[Day_Code]]=0,Cleaned_datasetB[[#This Row],[Day_Code]]=6),"Weekend","Weekday")</f>
        <v>Weekday</v>
      </c>
      <c r="J421" s="10">
        <v>2</v>
      </c>
      <c r="K421" s="10">
        <v>0.3</v>
      </c>
      <c r="L421" s="51">
        <v>0.31819999999999998</v>
      </c>
      <c r="M421" s="10">
        <v>0.81</v>
      </c>
      <c r="N421" s="10">
        <v>8.9599999999999999E-2</v>
      </c>
      <c r="O421" s="10">
        <v>5</v>
      </c>
      <c r="P421" s="10">
        <v>65</v>
      </c>
      <c r="Q421" s="10">
        <v>70</v>
      </c>
      <c r="R421" s="10" t="str">
        <f>VLOOKUP(Cleaned_datasetB[[#This Row],[Weather_Code]],Lookup_Tables!$E$9:$F$13,2,FALSE)</f>
        <v>Cloudy</v>
      </c>
      <c r="S421" s="10" t="str">
        <f>INDEX(Lookup_Tables!$I$10:$I$16,MATCH(Cleaned_datasetB[[#This Row],[Day_Code]],Lookup_Tables!$H$10:$H$16,0))</f>
        <v>Wednesday</v>
      </c>
      <c r="T421" s="10" t="str">
        <f>VLOOKUP(Cleaned_datasetB[[#This Row],[Month]], Lookup_Tables!$K$8:$L$19, 2, FALSE)</f>
        <v>January</v>
      </c>
      <c r="U421" s="10" t="str">
        <f>IF(AND(Cleaned_datasetB[[#This Row],[Day_Type]]="Weekday",Cleaned_datasetB[[#This Row],[Is_Holiday]]=FALSE),"Working Day","Non-Working Day")</f>
        <v>Working Day</v>
      </c>
    </row>
    <row r="422" spans="1:21">
      <c r="A422" s="10">
        <v>421</v>
      </c>
      <c r="B422" s="23">
        <v>40562</v>
      </c>
      <c r="C422" s="10">
        <v>1</v>
      </c>
      <c r="D422" s="10">
        <v>0</v>
      </c>
      <c r="E422" s="10">
        <v>1</v>
      </c>
      <c r="F422" s="10">
        <v>13</v>
      </c>
      <c r="G422" s="10" t="b">
        <v>0</v>
      </c>
      <c r="H422" s="10">
        <v>3</v>
      </c>
      <c r="I422" s="10" t="str">
        <f>IF(OR(Cleaned_datasetB[[#This Row],[Day_Code]]=0,Cleaned_datasetB[[#This Row],[Day_Code]]=6),"Weekend","Weekday")</f>
        <v>Weekday</v>
      </c>
      <c r="J422" s="10">
        <v>1</v>
      </c>
      <c r="K422" s="10">
        <v>0.4</v>
      </c>
      <c r="L422" s="51">
        <v>0.40910000000000002</v>
      </c>
      <c r="M422" s="10">
        <v>0.62</v>
      </c>
      <c r="N422" s="10">
        <v>0.28360000000000002</v>
      </c>
      <c r="O422" s="10">
        <v>11</v>
      </c>
      <c r="P422" s="10">
        <v>67</v>
      </c>
      <c r="Q422" s="10">
        <v>78</v>
      </c>
      <c r="R422" s="10" t="str">
        <f>VLOOKUP(Cleaned_datasetB[[#This Row],[Weather_Code]],Lookup_Tables!$E$9:$F$13,2,FALSE)</f>
        <v>Clear</v>
      </c>
      <c r="S422" s="10" t="str">
        <f>INDEX(Lookup_Tables!$I$10:$I$16,MATCH(Cleaned_datasetB[[#This Row],[Day_Code]],Lookup_Tables!$H$10:$H$16,0))</f>
        <v>Wednesday</v>
      </c>
      <c r="T422" s="10" t="str">
        <f>VLOOKUP(Cleaned_datasetB[[#This Row],[Month]], Lookup_Tables!$K$8:$L$19, 2, FALSE)</f>
        <v>January</v>
      </c>
      <c r="U422" s="10" t="str">
        <f>IF(AND(Cleaned_datasetB[[#This Row],[Day_Type]]="Weekday",Cleaned_datasetB[[#This Row],[Is_Holiday]]=FALSE),"Working Day","Non-Working Day")</f>
        <v>Working Day</v>
      </c>
    </row>
    <row r="423" spans="1:21">
      <c r="A423" s="10">
        <v>422</v>
      </c>
      <c r="B423" s="23">
        <v>40562</v>
      </c>
      <c r="C423" s="10">
        <v>1</v>
      </c>
      <c r="D423" s="10">
        <v>0</v>
      </c>
      <c r="E423" s="10">
        <v>1</v>
      </c>
      <c r="F423" s="10">
        <v>14</v>
      </c>
      <c r="G423" s="10" t="b">
        <v>0</v>
      </c>
      <c r="H423" s="10">
        <v>3</v>
      </c>
      <c r="I423" s="10" t="str">
        <f>IF(OR(Cleaned_datasetB[[#This Row],[Day_Code]]=0,Cleaned_datasetB[[#This Row],[Day_Code]]=6),"Weekend","Weekday")</f>
        <v>Weekday</v>
      </c>
      <c r="J423" s="10">
        <v>1</v>
      </c>
      <c r="K423" s="10">
        <v>0.4</v>
      </c>
      <c r="L423" s="51">
        <v>0.40910000000000002</v>
      </c>
      <c r="M423" s="10">
        <v>0.57999999999999996</v>
      </c>
      <c r="N423" s="10">
        <v>0.25369999999999998</v>
      </c>
      <c r="O423" s="10">
        <v>7</v>
      </c>
      <c r="P423" s="10">
        <v>68</v>
      </c>
      <c r="Q423" s="10">
        <v>75</v>
      </c>
      <c r="R423" s="10" t="str">
        <f>VLOOKUP(Cleaned_datasetB[[#This Row],[Weather_Code]],Lookup_Tables!$E$9:$F$13,2,FALSE)</f>
        <v>Clear</v>
      </c>
      <c r="S423" s="10" t="str">
        <f>INDEX(Lookup_Tables!$I$10:$I$16,MATCH(Cleaned_datasetB[[#This Row],[Day_Code]],Lookup_Tables!$H$10:$H$16,0))</f>
        <v>Wednesday</v>
      </c>
      <c r="T423" s="10" t="str">
        <f>VLOOKUP(Cleaned_datasetB[[#This Row],[Month]], Lookup_Tables!$K$8:$L$19, 2, FALSE)</f>
        <v>January</v>
      </c>
      <c r="U423" s="10" t="str">
        <f>IF(AND(Cleaned_datasetB[[#This Row],[Day_Type]]="Weekday",Cleaned_datasetB[[#This Row],[Is_Holiday]]=FALSE),"Working Day","Non-Working Day")</f>
        <v>Working Day</v>
      </c>
    </row>
    <row r="424" spans="1:21">
      <c r="A424" s="10">
        <v>423</v>
      </c>
      <c r="B424" s="23">
        <v>40562</v>
      </c>
      <c r="C424" s="10">
        <v>1</v>
      </c>
      <c r="D424" s="10">
        <v>0</v>
      </c>
      <c r="E424" s="10">
        <v>1</v>
      </c>
      <c r="F424" s="10">
        <v>15</v>
      </c>
      <c r="G424" s="10" t="b">
        <v>0</v>
      </c>
      <c r="H424" s="10">
        <v>3</v>
      </c>
      <c r="I424" s="10" t="str">
        <f>IF(OR(Cleaned_datasetB[[#This Row],[Day_Code]]=0,Cleaned_datasetB[[#This Row],[Day_Code]]=6),"Weekend","Weekday")</f>
        <v>Weekday</v>
      </c>
      <c r="J424" s="10">
        <v>1</v>
      </c>
      <c r="K424" s="10">
        <v>0.4</v>
      </c>
      <c r="L424" s="51">
        <v>0.40910000000000002</v>
      </c>
      <c r="M424" s="10">
        <v>0.54</v>
      </c>
      <c r="N424" s="10">
        <v>0.28360000000000002</v>
      </c>
      <c r="O424" s="10">
        <v>4</v>
      </c>
      <c r="P424" s="10">
        <v>78</v>
      </c>
      <c r="Q424" s="10">
        <v>82</v>
      </c>
      <c r="R424" s="10" t="str">
        <f>VLOOKUP(Cleaned_datasetB[[#This Row],[Weather_Code]],Lookup_Tables!$E$9:$F$13,2,FALSE)</f>
        <v>Clear</v>
      </c>
      <c r="S424" s="10" t="str">
        <f>INDEX(Lookup_Tables!$I$10:$I$16,MATCH(Cleaned_datasetB[[#This Row],[Day_Code]],Lookup_Tables!$H$10:$H$16,0))</f>
        <v>Wednesday</v>
      </c>
      <c r="T424" s="10" t="str">
        <f>VLOOKUP(Cleaned_datasetB[[#This Row],[Month]], Lookup_Tables!$K$8:$L$19, 2, FALSE)</f>
        <v>January</v>
      </c>
      <c r="U424" s="10" t="str">
        <f>IF(AND(Cleaned_datasetB[[#This Row],[Day_Type]]="Weekday",Cleaned_datasetB[[#This Row],[Is_Holiday]]=FALSE),"Working Day","Non-Working Day")</f>
        <v>Working Day</v>
      </c>
    </row>
    <row r="425" spans="1:21">
      <c r="A425" s="10">
        <v>424</v>
      </c>
      <c r="B425" s="23">
        <v>40562</v>
      </c>
      <c r="C425" s="10">
        <v>1</v>
      </c>
      <c r="D425" s="10">
        <v>0</v>
      </c>
      <c r="E425" s="10">
        <v>1</v>
      </c>
      <c r="F425" s="10">
        <v>16</v>
      </c>
      <c r="G425" s="10" t="b">
        <v>0</v>
      </c>
      <c r="H425" s="10">
        <v>3</v>
      </c>
      <c r="I425" s="10" t="str">
        <f>IF(OR(Cleaned_datasetB[[#This Row],[Day_Code]]=0,Cleaned_datasetB[[#This Row],[Day_Code]]=6),"Weekend","Weekday")</f>
        <v>Weekday</v>
      </c>
      <c r="J425" s="10">
        <v>1</v>
      </c>
      <c r="K425" s="10">
        <v>0.38</v>
      </c>
      <c r="L425" s="51">
        <v>0.39389999999999997</v>
      </c>
      <c r="M425" s="10">
        <v>0.57999999999999996</v>
      </c>
      <c r="N425" s="10">
        <v>0.3881</v>
      </c>
      <c r="O425" s="10">
        <v>10</v>
      </c>
      <c r="P425" s="10">
        <v>94</v>
      </c>
      <c r="Q425" s="10">
        <v>104</v>
      </c>
      <c r="R425" s="10" t="str">
        <f>VLOOKUP(Cleaned_datasetB[[#This Row],[Weather_Code]],Lookup_Tables!$E$9:$F$13,2,FALSE)</f>
        <v>Clear</v>
      </c>
      <c r="S425" s="10" t="str">
        <f>INDEX(Lookup_Tables!$I$10:$I$16,MATCH(Cleaned_datasetB[[#This Row],[Day_Code]],Lookup_Tables!$H$10:$H$16,0))</f>
        <v>Wednesday</v>
      </c>
      <c r="T425" s="10" t="str">
        <f>VLOOKUP(Cleaned_datasetB[[#This Row],[Month]], Lookup_Tables!$K$8:$L$19, 2, FALSE)</f>
        <v>January</v>
      </c>
      <c r="U425" s="10" t="str">
        <f>IF(AND(Cleaned_datasetB[[#This Row],[Day_Type]]="Weekday",Cleaned_datasetB[[#This Row],[Is_Holiday]]=FALSE),"Working Day","Non-Working Day")</f>
        <v>Working Day</v>
      </c>
    </row>
    <row r="426" spans="1:21">
      <c r="A426" s="10">
        <v>425</v>
      </c>
      <c r="B426" s="23">
        <v>40562</v>
      </c>
      <c r="C426" s="10">
        <v>1</v>
      </c>
      <c r="D426" s="10">
        <v>0</v>
      </c>
      <c r="E426" s="10">
        <v>1</v>
      </c>
      <c r="F426" s="10">
        <v>17</v>
      </c>
      <c r="G426" s="10" t="b">
        <v>0</v>
      </c>
      <c r="H426" s="10">
        <v>3</v>
      </c>
      <c r="I426" s="10" t="str">
        <f>IF(OR(Cleaned_datasetB[[#This Row],[Day_Code]]=0,Cleaned_datasetB[[#This Row],[Day_Code]]=6),"Weekend","Weekday")</f>
        <v>Weekday</v>
      </c>
      <c r="J426" s="10">
        <v>1</v>
      </c>
      <c r="K426" s="10">
        <v>0.36</v>
      </c>
      <c r="L426" s="51">
        <v>0.33329999999999999</v>
      </c>
      <c r="M426" s="10">
        <v>0.56999999999999995</v>
      </c>
      <c r="N426" s="10">
        <v>0.32840000000000003</v>
      </c>
      <c r="O426" s="10">
        <v>7</v>
      </c>
      <c r="P426" s="10">
        <v>190</v>
      </c>
      <c r="Q426" s="10">
        <v>197</v>
      </c>
      <c r="R426" s="10" t="str">
        <f>VLOOKUP(Cleaned_datasetB[[#This Row],[Weather_Code]],Lookup_Tables!$E$9:$F$13,2,FALSE)</f>
        <v>Clear</v>
      </c>
      <c r="S426" s="10" t="str">
        <f>INDEX(Lookup_Tables!$I$10:$I$16,MATCH(Cleaned_datasetB[[#This Row],[Day_Code]],Lookup_Tables!$H$10:$H$16,0))</f>
        <v>Wednesday</v>
      </c>
      <c r="T426" s="10" t="str">
        <f>VLOOKUP(Cleaned_datasetB[[#This Row],[Month]], Lookup_Tables!$K$8:$L$19, 2, FALSE)</f>
        <v>January</v>
      </c>
      <c r="U426" s="10" t="str">
        <f>IF(AND(Cleaned_datasetB[[#This Row],[Day_Type]]="Weekday",Cleaned_datasetB[[#This Row],[Is_Holiday]]=FALSE),"Working Day","Non-Working Day")</f>
        <v>Working Day</v>
      </c>
    </row>
    <row r="427" spans="1:21">
      <c r="A427" s="10">
        <v>426</v>
      </c>
      <c r="B427" s="23">
        <v>40562</v>
      </c>
      <c r="C427" s="10">
        <v>1</v>
      </c>
      <c r="D427" s="10">
        <v>0</v>
      </c>
      <c r="E427" s="10">
        <v>1</v>
      </c>
      <c r="F427" s="10">
        <v>18</v>
      </c>
      <c r="G427" s="10" t="b">
        <v>0</v>
      </c>
      <c r="H427" s="10">
        <v>3</v>
      </c>
      <c r="I427" s="10" t="str">
        <f>IF(OR(Cleaned_datasetB[[#This Row],[Day_Code]]=0,Cleaned_datasetB[[#This Row],[Day_Code]]=6),"Weekend","Weekday")</f>
        <v>Weekday</v>
      </c>
      <c r="J427" s="10">
        <v>1</v>
      </c>
      <c r="K427" s="10">
        <v>0.34</v>
      </c>
      <c r="L427" s="51">
        <v>0.31819999999999998</v>
      </c>
      <c r="M427" s="10">
        <v>0.61</v>
      </c>
      <c r="N427" s="10">
        <v>0.28360000000000002</v>
      </c>
      <c r="O427" s="10">
        <v>5</v>
      </c>
      <c r="P427" s="10">
        <v>156</v>
      </c>
      <c r="Q427" s="10">
        <v>161</v>
      </c>
      <c r="R427" s="10" t="str">
        <f>VLOOKUP(Cleaned_datasetB[[#This Row],[Weather_Code]],Lookup_Tables!$E$9:$F$13,2,FALSE)</f>
        <v>Clear</v>
      </c>
      <c r="S427" s="10" t="str">
        <f>INDEX(Lookup_Tables!$I$10:$I$16,MATCH(Cleaned_datasetB[[#This Row],[Day_Code]],Lookup_Tables!$H$10:$H$16,0))</f>
        <v>Wednesday</v>
      </c>
      <c r="T427" s="10" t="str">
        <f>VLOOKUP(Cleaned_datasetB[[#This Row],[Month]], Lookup_Tables!$K$8:$L$19, 2, FALSE)</f>
        <v>January</v>
      </c>
      <c r="U427" s="10" t="str">
        <f>IF(AND(Cleaned_datasetB[[#This Row],[Day_Type]]="Weekday",Cleaned_datasetB[[#This Row],[Is_Holiday]]=FALSE),"Working Day","Non-Working Day")</f>
        <v>Working Day</v>
      </c>
    </row>
    <row r="428" spans="1:21">
      <c r="A428" s="10">
        <v>427</v>
      </c>
      <c r="B428" s="23">
        <v>40562</v>
      </c>
      <c r="C428" s="10">
        <v>1</v>
      </c>
      <c r="D428" s="10">
        <v>0</v>
      </c>
      <c r="E428" s="10">
        <v>1</v>
      </c>
      <c r="F428" s="10">
        <v>19</v>
      </c>
      <c r="G428" s="10" t="b">
        <v>0</v>
      </c>
      <c r="H428" s="10">
        <v>3</v>
      </c>
      <c r="I428" s="10" t="str">
        <f>IF(OR(Cleaned_datasetB[[#This Row],[Day_Code]]=0,Cleaned_datasetB[[#This Row],[Day_Code]]=6),"Weekend","Weekday")</f>
        <v>Weekday</v>
      </c>
      <c r="J428" s="10">
        <v>1</v>
      </c>
      <c r="K428" s="10">
        <v>0.32</v>
      </c>
      <c r="L428" s="51">
        <v>0.28789999999999999</v>
      </c>
      <c r="M428" s="10">
        <v>0.56999999999999995</v>
      </c>
      <c r="N428" s="10">
        <v>0.41789999999999999</v>
      </c>
      <c r="O428" s="10">
        <v>4</v>
      </c>
      <c r="P428" s="10">
        <v>108</v>
      </c>
      <c r="Q428" s="10">
        <v>112</v>
      </c>
      <c r="R428" s="10" t="str">
        <f>VLOOKUP(Cleaned_datasetB[[#This Row],[Weather_Code]],Lookup_Tables!$E$9:$F$13,2,FALSE)</f>
        <v>Clear</v>
      </c>
      <c r="S428" s="10" t="str">
        <f>INDEX(Lookup_Tables!$I$10:$I$16,MATCH(Cleaned_datasetB[[#This Row],[Day_Code]],Lookup_Tables!$H$10:$H$16,0))</f>
        <v>Wednesday</v>
      </c>
      <c r="T428" s="10" t="str">
        <f>VLOOKUP(Cleaned_datasetB[[#This Row],[Month]], Lookup_Tables!$K$8:$L$19, 2, FALSE)</f>
        <v>January</v>
      </c>
      <c r="U428" s="10" t="str">
        <f>IF(AND(Cleaned_datasetB[[#This Row],[Day_Type]]="Weekday",Cleaned_datasetB[[#This Row],[Is_Holiday]]=FALSE),"Working Day","Non-Working Day")</f>
        <v>Working Day</v>
      </c>
    </row>
    <row r="429" spans="1:21">
      <c r="A429" s="10">
        <v>428</v>
      </c>
      <c r="B429" s="23">
        <v>40562</v>
      </c>
      <c r="C429" s="10">
        <v>1</v>
      </c>
      <c r="D429" s="10">
        <v>0</v>
      </c>
      <c r="E429" s="10">
        <v>1</v>
      </c>
      <c r="F429" s="10">
        <v>20</v>
      </c>
      <c r="G429" s="10" t="b">
        <v>0</v>
      </c>
      <c r="H429" s="10">
        <v>3</v>
      </c>
      <c r="I429" s="10" t="str">
        <f>IF(OR(Cleaned_datasetB[[#This Row],[Day_Code]]=0,Cleaned_datasetB[[#This Row],[Day_Code]]=6),"Weekend","Weekday")</f>
        <v>Weekday</v>
      </c>
      <c r="J429" s="10">
        <v>1</v>
      </c>
      <c r="K429" s="10">
        <v>0.32</v>
      </c>
      <c r="L429" s="51">
        <v>0.30299999999999999</v>
      </c>
      <c r="M429" s="10">
        <v>0.49</v>
      </c>
      <c r="N429" s="10">
        <v>0.29849999999999999</v>
      </c>
      <c r="O429" s="10">
        <v>2</v>
      </c>
      <c r="P429" s="10">
        <v>74</v>
      </c>
      <c r="Q429" s="10">
        <v>76</v>
      </c>
      <c r="R429" s="10" t="str">
        <f>VLOOKUP(Cleaned_datasetB[[#This Row],[Weather_Code]],Lookup_Tables!$E$9:$F$13,2,FALSE)</f>
        <v>Clear</v>
      </c>
      <c r="S429" s="10" t="str">
        <f>INDEX(Lookup_Tables!$I$10:$I$16,MATCH(Cleaned_datasetB[[#This Row],[Day_Code]],Lookup_Tables!$H$10:$H$16,0))</f>
        <v>Wednesday</v>
      </c>
      <c r="T429" s="10" t="str">
        <f>VLOOKUP(Cleaned_datasetB[[#This Row],[Month]], Lookup_Tables!$K$8:$L$19, 2, FALSE)</f>
        <v>January</v>
      </c>
      <c r="U429" s="10" t="str">
        <f>IF(AND(Cleaned_datasetB[[#This Row],[Day_Type]]="Weekday",Cleaned_datasetB[[#This Row],[Is_Holiday]]=FALSE),"Working Day","Non-Working Day")</f>
        <v>Working Day</v>
      </c>
    </row>
    <row r="430" spans="1:21">
      <c r="A430" s="10">
        <v>429</v>
      </c>
      <c r="B430" s="23">
        <v>40562</v>
      </c>
      <c r="C430" s="10">
        <v>1</v>
      </c>
      <c r="D430" s="10">
        <v>0</v>
      </c>
      <c r="E430" s="10">
        <v>1</v>
      </c>
      <c r="F430" s="10">
        <v>21</v>
      </c>
      <c r="G430" s="10" t="b">
        <v>0</v>
      </c>
      <c r="H430" s="10">
        <v>3</v>
      </c>
      <c r="I430" s="10" t="str">
        <f>IF(OR(Cleaned_datasetB[[#This Row],[Day_Code]]=0,Cleaned_datasetB[[#This Row],[Day_Code]]=6),"Weekend","Weekday")</f>
        <v>Weekday</v>
      </c>
      <c r="J430" s="10">
        <v>1</v>
      </c>
      <c r="K430" s="10">
        <v>0.32</v>
      </c>
      <c r="L430" s="51">
        <v>0.28789999999999999</v>
      </c>
      <c r="M430" s="10">
        <v>0.49</v>
      </c>
      <c r="N430" s="10">
        <v>0.41789999999999999</v>
      </c>
      <c r="O430" s="10">
        <v>4</v>
      </c>
      <c r="P430" s="10">
        <v>55</v>
      </c>
      <c r="Q430" s="10">
        <v>59</v>
      </c>
      <c r="R430" s="10" t="str">
        <f>VLOOKUP(Cleaned_datasetB[[#This Row],[Weather_Code]],Lookup_Tables!$E$9:$F$13,2,FALSE)</f>
        <v>Clear</v>
      </c>
      <c r="S430" s="10" t="str">
        <f>INDEX(Lookup_Tables!$I$10:$I$16,MATCH(Cleaned_datasetB[[#This Row],[Day_Code]],Lookup_Tables!$H$10:$H$16,0))</f>
        <v>Wednesday</v>
      </c>
      <c r="T430" s="10" t="str">
        <f>VLOOKUP(Cleaned_datasetB[[#This Row],[Month]], Lookup_Tables!$K$8:$L$19, 2, FALSE)</f>
        <v>January</v>
      </c>
      <c r="U430" s="10" t="str">
        <f>IF(AND(Cleaned_datasetB[[#This Row],[Day_Type]]="Weekday",Cleaned_datasetB[[#This Row],[Is_Holiday]]=FALSE),"Working Day","Non-Working Day")</f>
        <v>Working Day</v>
      </c>
    </row>
    <row r="431" spans="1:21">
      <c r="A431" s="10">
        <v>430</v>
      </c>
      <c r="B431" s="23">
        <v>40562</v>
      </c>
      <c r="C431" s="10">
        <v>1</v>
      </c>
      <c r="D431" s="10">
        <v>0</v>
      </c>
      <c r="E431" s="10">
        <v>1</v>
      </c>
      <c r="F431" s="10">
        <v>22</v>
      </c>
      <c r="G431" s="10" t="b">
        <v>0</v>
      </c>
      <c r="H431" s="10">
        <v>3</v>
      </c>
      <c r="I431" s="10" t="str">
        <f>IF(OR(Cleaned_datasetB[[#This Row],[Day_Code]]=0,Cleaned_datasetB[[#This Row],[Day_Code]]=6),"Weekend","Weekday")</f>
        <v>Weekday</v>
      </c>
      <c r="J431" s="10">
        <v>1</v>
      </c>
      <c r="K431" s="10">
        <v>0.3</v>
      </c>
      <c r="L431" s="51">
        <v>0.30299999999999999</v>
      </c>
      <c r="M431" s="10">
        <v>0.52</v>
      </c>
      <c r="N431" s="10">
        <v>0.16420000000000001</v>
      </c>
      <c r="O431" s="10">
        <v>6</v>
      </c>
      <c r="P431" s="10">
        <v>53</v>
      </c>
      <c r="Q431" s="10">
        <v>59</v>
      </c>
      <c r="R431" s="10" t="str">
        <f>VLOOKUP(Cleaned_datasetB[[#This Row],[Weather_Code]],Lookup_Tables!$E$9:$F$13,2,FALSE)</f>
        <v>Clear</v>
      </c>
      <c r="S431" s="10" t="str">
        <f>INDEX(Lookup_Tables!$I$10:$I$16,MATCH(Cleaned_datasetB[[#This Row],[Day_Code]],Lookup_Tables!$H$10:$H$16,0))</f>
        <v>Wednesday</v>
      </c>
      <c r="T431" s="10" t="str">
        <f>VLOOKUP(Cleaned_datasetB[[#This Row],[Month]], Lookup_Tables!$K$8:$L$19, 2, FALSE)</f>
        <v>January</v>
      </c>
      <c r="U431" s="10" t="str">
        <f>IF(AND(Cleaned_datasetB[[#This Row],[Day_Type]]="Weekday",Cleaned_datasetB[[#This Row],[Is_Holiday]]=FALSE),"Working Day","Non-Working Day")</f>
        <v>Working Day</v>
      </c>
    </row>
    <row r="432" spans="1:21">
      <c r="A432" s="10">
        <v>431</v>
      </c>
      <c r="B432" s="23">
        <v>40562</v>
      </c>
      <c r="C432" s="10">
        <v>1</v>
      </c>
      <c r="D432" s="10">
        <v>0</v>
      </c>
      <c r="E432" s="10">
        <v>1</v>
      </c>
      <c r="F432" s="10">
        <v>23</v>
      </c>
      <c r="G432" s="10" t="b">
        <v>0</v>
      </c>
      <c r="H432" s="10">
        <v>3</v>
      </c>
      <c r="I432" s="10" t="str">
        <f>IF(OR(Cleaned_datasetB[[#This Row],[Day_Code]]=0,Cleaned_datasetB[[#This Row],[Day_Code]]=6),"Weekend","Weekday")</f>
        <v>Weekday</v>
      </c>
      <c r="J432" s="10">
        <v>1</v>
      </c>
      <c r="K432" s="10">
        <v>0.3</v>
      </c>
      <c r="L432" s="51">
        <v>0.2727</v>
      </c>
      <c r="M432" s="10">
        <v>0.52</v>
      </c>
      <c r="N432" s="10">
        <v>0.4627</v>
      </c>
      <c r="O432" s="10">
        <v>1</v>
      </c>
      <c r="P432" s="10">
        <v>27</v>
      </c>
      <c r="Q432" s="10">
        <v>28</v>
      </c>
      <c r="R432" s="10" t="str">
        <f>VLOOKUP(Cleaned_datasetB[[#This Row],[Weather_Code]],Lookup_Tables!$E$9:$F$13,2,FALSE)</f>
        <v>Clear</v>
      </c>
      <c r="S432" s="10" t="str">
        <f>INDEX(Lookup_Tables!$I$10:$I$16,MATCH(Cleaned_datasetB[[#This Row],[Day_Code]],Lookup_Tables!$H$10:$H$16,0))</f>
        <v>Wednesday</v>
      </c>
      <c r="T432" s="10" t="str">
        <f>VLOOKUP(Cleaned_datasetB[[#This Row],[Month]], Lookup_Tables!$K$8:$L$19, 2, FALSE)</f>
        <v>January</v>
      </c>
      <c r="U432" s="10" t="str">
        <f>IF(AND(Cleaned_datasetB[[#This Row],[Day_Type]]="Weekday",Cleaned_datasetB[[#This Row],[Is_Holiday]]=FALSE),"Working Day","Non-Working Day")</f>
        <v>Working Day</v>
      </c>
    </row>
    <row r="433" spans="1:21">
      <c r="A433" s="10">
        <v>432</v>
      </c>
      <c r="B433" s="23">
        <v>40563</v>
      </c>
      <c r="C433" s="10">
        <v>1</v>
      </c>
      <c r="D433" s="10">
        <v>0</v>
      </c>
      <c r="E433" s="10">
        <v>1</v>
      </c>
      <c r="F433" s="10">
        <v>0</v>
      </c>
      <c r="G433" s="10" t="b">
        <v>0</v>
      </c>
      <c r="H433" s="10">
        <v>4</v>
      </c>
      <c r="I433" s="10" t="str">
        <f>IF(OR(Cleaned_datasetB[[#This Row],[Day_Code]]=0,Cleaned_datasetB[[#This Row],[Day_Code]]=6),"Weekend","Weekday")</f>
        <v>Weekday</v>
      </c>
      <c r="J433" s="10">
        <v>1</v>
      </c>
      <c r="K433" s="10">
        <v>0.26</v>
      </c>
      <c r="L433" s="51">
        <v>0.2273</v>
      </c>
      <c r="M433" s="10">
        <v>0.56000000000000005</v>
      </c>
      <c r="N433" s="10">
        <v>0.3881</v>
      </c>
      <c r="O433" s="10">
        <v>5</v>
      </c>
      <c r="P433" s="10">
        <v>8</v>
      </c>
      <c r="Q433" s="10">
        <v>13</v>
      </c>
      <c r="R433" s="10" t="str">
        <f>VLOOKUP(Cleaned_datasetB[[#This Row],[Weather_Code]],Lookup_Tables!$E$9:$F$13,2,FALSE)</f>
        <v>Clear</v>
      </c>
      <c r="S433" s="10" t="str">
        <f>INDEX(Lookup_Tables!$I$10:$I$16,MATCH(Cleaned_datasetB[[#This Row],[Day_Code]],Lookup_Tables!$H$10:$H$16,0))</f>
        <v>Thursday</v>
      </c>
      <c r="T433" s="10" t="str">
        <f>VLOOKUP(Cleaned_datasetB[[#This Row],[Month]], Lookup_Tables!$K$8:$L$19, 2, FALSE)</f>
        <v>January</v>
      </c>
      <c r="U433" s="10" t="str">
        <f>IF(AND(Cleaned_datasetB[[#This Row],[Day_Type]]="Weekday",Cleaned_datasetB[[#This Row],[Is_Holiday]]=FALSE),"Working Day","Non-Working Day")</f>
        <v>Working Day</v>
      </c>
    </row>
    <row r="434" spans="1:21">
      <c r="A434" s="10">
        <v>433</v>
      </c>
      <c r="B434" s="23">
        <v>40563</v>
      </c>
      <c r="C434" s="10">
        <v>1</v>
      </c>
      <c r="D434" s="10">
        <v>0</v>
      </c>
      <c r="E434" s="10">
        <v>1</v>
      </c>
      <c r="F434" s="10">
        <v>1</v>
      </c>
      <c r="G434" s="10" t="b">
        <v>0</v>
      </c>
      <c r="H434" s="10">
        <v>4</v>
      </c>
      <c r="I434" s="10" t="str">
        <f>IF(OR(Cleaned_datasetB[[#This Row],[Day_Code]]=0,Cleaned_datasetB[[#This Row],[Day_Code]]=6),"Weekend","Weekday")</f>
        <v>Weekday</v>
      </c>
      <c r="J434" s="10">
        <v>1</v>
      </c>
      <c r="K434" s="10">
        <v>0.26</v>
      </c>
      <c r="L434" s="51">
        <v>0.2727</v>
      </c>
      <c r="M434" s="10">
        <v>0.56000000000000005</v>
      </c>
      <c r="N434" s="10">
        <v>0</v>
      </c>
      <c r="O434" s="10">
        <v>2</v>
      </c>
      <c r="P434" s="10">
        <v>3</v>
      </c>
      <c r="Q434" s="10">
        <v>5</v>
      </c>
      <c r="R434" s="10" t="str">
        <f>VLOOKUP(Cleaned_datasetB[[#This Row],[Weather_Code]],Lookup_Tables!$E$9:$F$13,2,FALSE)</f>
        <v>Clear</v>
      </c>
      <c r="S434" s="10" t="str">
        <f>INDEX(Lookup_Tables!$I$10:$I$16,MATCH(Cleaned_datasetB[[#This Row],[Day_Code]],Lookup_Tables!$H$10:$H$16,0))</f>
        <v>Thursday</v>
      </c>
      <c r="T434" s="10" t="str">
        <f>VLOOKUP(Cleaned_datasetB[[#This Row],[Month]], Lookup_Tables!$K$8:$L$19, 2, FALSE)</f>
        <v>January</v>
      </c>
      <c r="U434" s="10" t="str">
        <f>IF(AND(Cleaned_datasetB[[#This Row],[Day_Type]]="Weekday",Cleaned_datasetB[[#This Row],[Is_Holiday]]=FALSE),"Working Day","Non-Working Day")</f>
        <v>Working Day</v>
      </c>
    </row>
    <row r="435" spans="1:21">
      <c r="A435" s="10">
        <v>434</v>
      </c>
      <c r="B435" s="23">
        <v>40563</v>
      </c>
      <c r="C435" s="10">
        <v>1</v>
      </c>
      <c r="D435" s="10">
        <v>0</v>
      </c>
      <c r="E435" s="10">
        <v>1</v>
      </c>
      <c r="F435" s="10">
        <v>2</v>
      </c>
      <c r="G435" s="10" t="b">
        <v>0</v>
      </c>
      <c r="H435" s="10">
        <v>4</v>
      </c>
      <c r="I435" s="10" t="str">
        <f>IF(OR(Cleaned_datasetB[[#This Row],[Day_Code]]=0,Cleaned_datasetB[[#This Row],[Day_Code]]=6),"Weekend","Weekday")</f>
        <v>Weekday</v>
      </c>
      <c r="J435" s="10">
        <v>1</v>
      </c>
      <c r="K435" s="10">
        <v>0.26</v>
      </c>
      <c r="L435" s="51">
        <v>0.2727</v>
      </c>
      <c r="M435" s="10">
        <v>0.56000000000000005</v>
      </c>
      <c r="N435" s="10">
        <v>0</v>
      </c>
      <c r="O435" s="10">
        <v>0</v>
      </c>
      <c r="P435" s="10">
        <v>2</v>
      </c>
      <c r="Q435" s="10">
        <v>2</v>
      </c>
      <c r="R435" s="10" t="str">
        <f>VLOOKUP(Cleaned_datasetB[[#This Row],[Weather_Code]],Lookup_Tables!$E$9:$F$13,2,FALSE)</f>
        <v>Clear</v>
      </c>
      <c r="S435" s="10" t="str">
        <f>INDEX(Lookup_Tables!$I$10:$I$16,MATCH(Cleaned_datasetB[[#This Row],[Day_Code]],Lookup_Tables!$H$10:$H$16,0))</f>
        <v>Thursday</v>
      </c>
      <c r="T435" s="10" t="str">
        <f>VLOOKUP(Cleaned_datasetB[[#This Row],[Month]], Lookup_Tables!$K$8:$L$19, 2, FALSE)</f>
        <v>January</v>
      </c>
      <c r="U435" s="10" t="str">
        <f>IF(AND(Cleaned_datasetB[[#This Row],[Day_Type]]="Weekday",Cleaned_datasetB[[#This Row],[Is_Holiday]]=FALSE),"Working Day","Non-Working Day")</f>
        <v>Working Day</v>
      </c>
    </row>
    <row r="436" spans="1:21">
      <c r="A436" s="10">
        <v>435</v>
      </c>
      <c r="B436" s="23">
        <v>40563</v>
      </c>
      <c r="C436" s="10">
        <v>1</v>
      </c>
      <c r="D436" s="10">
        <v>0</v>
      </c>
      <c r="E436" s="10">
        <v>1</v>
      </c>
      <c r="F436" s="10">
        <v>3</v>
      </c>
      <c r="G436" s="10" t="b">
        <v>0</v>
      </c>
      <c r="H436" s="10">
        <v>4</v>
      </c>
      <c r="I436" s="10" t="str">
        <f>IF(OR(Cleaned_datasetB[[#This Row],[Day_Code]]=0,Cleaned_datasetB[[#This Row],[Day_Code]]=6),"Weekend","Weekday")</f>
        <v>Weekday</v>
      </c>
      <c r="J436" s="10">
        <v>1</v>
      </c>
      <c r="K436" s="10">
        <v>0.26</v>
      </c>
      <c r="L436" s="51">
        <v>0.2576</v>
      </c>
      <c r="M436" s="10">
        <v>0.56000000000000005</v>
      </c>
      <c r="N436" s="10">
        <v>0.16420000000000001</v>
      </c>
      <c r="O436" s="10">
        <v>0</v>
      </c>
      <c r="P436" s="10">
        <v>1</v>
      </c>
      <c r="Q436" s="10">
        <v>1</v>
      </c>
      <c r="R436" s="10" t="str">
        <f>VLOOKUP(Cleaned_datasetB[[#This Row],[Weather_Code]],Lookup_Tables!$E$9:$F$13,2,FALSE)</f>
        <v>Clear</v>
      </c>
      <c r="S436" s="10" t="str">
        <f>INDEX(Lookup_Tables!$I$10:$I$16,MATCH(Cleaned_datasetB[[#This Row],[Day_Code]],Lookup_Tables!$H$10:$H$16,0))</f>
        <v>Thursday</v>
      </c>
      <c r="T436" s="10" t="str">
        <f>VLOOKUP(Cleaned_datasetB[[#This Row],[Month]], Lookup_Tables!$K$8:$L$19, 2, FALSE)</f>
        <v>January</v>
      </c>
      <c r="U436" s="10" t="str">
        <f>IF(AND(Cleaned_datasetB[[#This Row],[Day_Type]]="Weekday",Cleaned_datasetB[[#This Row],[Is_Holiday]]=FALSE),"Working Day","Non-Working Day")</f>
        <v>Working Day</v>
      </c>
    </row>
    <row r="437" spans="1:21">
      <c r="A437" s="10">
        <v>436</v>
      </c>
      <c r="B437" s="23">
        <v>40563</v>
      </c>
      <c r="C437" s="10">
        <v>1</v>
      </c>
      <c r="D437" s="10">
        <v>0</v>
      </c>
      <c r="E437" s="10">
        <v>1</v>
      </c>
      <c r="F437" s="10">
        <v>4</v>
      </c>
      <c r="G437" s="10" t="b">
        <v>0</v>
      </c>
      <c r="H437" s="10">
        <v>4</v>
      </c>
      <c r="I437" s="10" t="str">
        <f>IF(OR(Cleaned_datasetB[[#This Row],[Day_Code]]=0,Cleaned_datasetB[[#This Row],[Day_Code]]=6),"Weekend","Weekday")</f>
        <v>Weekday</v>
      </c>
      <c r="J437" s="10">
        <v>1</v>
      </c>
      <c r="K437" s="10">
        <v>0.26</v>
      </c>
      <c r="L437" s="51">
        <v>0.2576</v>
      </c>
      <c r="M437" s="10">
        <v>0.56000000000000005</v>
      </c>
      <c r="N437" s="10">
        <v>0.16420000000000001</v>
      </c>
      <c r="O437" s="10">
        <v>0</v>
      </c>
      <c r="P437" s="10">
        <v>1</v>
      </c>
      <c r="Q437" s="10">
        <v>1</v>
      </c>
      <c r="R437" s="10" t="str">
        <f>VLOOKUP(Cleaned_datasetB[[#This Row],[Weather_Code]],Lookup_Tables!$E$9:$F$13,2,FALSE)</f>
        <v>Clear</v>
      </c>
      <c r="S437" s="10" t="str">
        <f>INDEX(Lookup_Tables!$I$10:$I$16,MATCH(Cleaned_datasetB[[#This Row],[Day_Code]],Lookup_Tables!$H$10:$H$16,0))</f>
        <v>Thursday</v>
      </c>
      <c r="T437" s="10" t="str">
        <f>VLOOKUP(Cleaned_datasetB[[#This Row],[Month]], Lookup_Tables!$K$8:$L$19, 2, FALSE)</f>
        <v>January</v>
      </c>
      <c r="U437" s="10" t="str">
        <f>IF(AND(Cleaned_datasetB[[#This Row],[Day_Type]]="Weekday",Cleaned_datasetB[[#This Row],[Is_Holiday]]=FALSE),"Working Day","Non-Working Day")</f>
        <v>Working Day</v>
      </c>
    </row>
    <row r="438" spans="1:21">
      <c r="A438" s="10">
        <v>437</v>
      </c>
      <c r="B438" s="23">
        <v>40563</v>
      </c>
      <c r="C438" s="10">
        <v>1</v>
      </c>
      <c r="D438" s="10">
        <v>0</v>
      </c>
      <c r="E438" s="10">
        <v>1</v>
      </c>
      <c r="F438" s="10">
        <v>5</v>
      </c>
      <c r="G438" s="10" t="b">
        <v>0</v>
      </c>
      <c r="H438" s="10">
        <v>4</v>
      </c>
      <c r="I438" s="10" t="str">
        <f>IF(OR(Cleaned_datasetB[[#This Row],[Day_Code]]=0,Cleaned_datasetB[[#This Row],[Day_Code]]=6),"Weekend","Weekday")</f>
        <v>Weekday</v>
      </c>
      <c r="J438" s="10">
        <v>1</v>
      </c>
      <c r="K438" s="10">
        <v>0.24</v>
      </c>
      <c r="L438" s="51">
        <v>0.2273</v>
      </c>
      <c r="M438" s="10">
        <v>0.6</v>
      </c>
      <c r="N438" s="10">
        <v>0.22389999999999999</v>
      </c>
      <c r="O438" s="10">
        <v>0</v>
      </c>
      <c r="P438" s="10">
        <v>6</v>
      </c>
      <c r="Q438" s="10">
        <v>6</v>
      </c>
      <c r="R438" s="10" t="str">
        <f>VLOOKUP(Cleaned_datasetB[[#This Row],[Weather_Code]],Lookup_Tables!$E$9:$F$13,2,FALSE)</f>
        <v>Clear</v>
      </c>
      <c r="S438" s="10" t="str">
        <f>INDEX(Lookup_Tables!$I$10:$I$16,MATCH(Cleaned_datasetB[[#This Row],[Day_Code]],Lookup_Tables!$H$10:$H$16,0))</f>
        <v>Thursday</v>
      </c>
      <c r="T438" s="10" t="str">
        <f>VLOOKUP(Cleaned_datasetB[[#This Row],[Month]], Lookup_Tables!$K$8:$L$19, 2, FALSE)</f>
        <v>January</v>
      </c>
      <c r="U438" s="10" t="str">
        <f>IF(AND(Cleaned_datasetB[[#This Row],[Day_Type]]="Weekday",Cleaned_datasetB[[#This Row],[Is_Holiday]]=FALSE),"Working Day","Non-Working Day")</f>
        <v>Working Day</v>
      </c>
    </row>
    <row r="439" spans="1:21">
      <c r="A439" s="10">
        <v>438</v>
      </c>
      <c r="B439" s="23">
        <v>40563</v>
      </c>
      <c r="C439" s="10">
        <v>1</v>
      </c>
      <c r="D439" s="10">
        <v>0</v>
      </c>
      <c r="E439" s="10">
        <v>1</v>
      </c>
      <c r="F439" s="10">
        <v>6</v>
      </c>
      <c r="G439" s="10" t="b">
        <v>0</v>
      </c>
      <c r="H439" s="10">
        <v>4</v>
      </c>
      <c r="I439" s="10" t="str">
        <f>IF(OR(Cleaned_datasetB[[#This Row],[Day_Code]]=0,Cleaned_datasetB[[#This Row],[Day_Code]]=6),"Weekend","Weekday")</f>
        <v>Weekday</v>
      </c>
      <c r="J439" s="10">
        <v>1</v>
      </c>
      <c r="K439" s="10">
        <v>0.22</v>
      </c>
      <c r="L439" s="51">
        <v>0.21210000000000001</v>
      </c>
      <c r="M439" s="10">
        <v>0.6</v>
      </c>
      <c r="N439" s="10">
        <v>0.22389999999999999</v>
      </c>
      <c r="O439" s="10">
        <v>0</v>
      </c>
      <c r="P439" s="10">
        <v>35</v>
      </c>
      <c r="Q439" s="10">
        <v>35</v>
      </c>
      <c r="R439" s="10" t="str">
        <f>VLOOKUP(Cleaned_datasetB[[#This Row],[Weather_Code]],Lookup_Tables!$E$9:$F$13,2,FALSE)</f>
        <v>Clear</v>
      </c>
      <c r="S439" s="10" t="str">
        <f>INDEX(Lookup_Tables!$I$10:$I$16,MATCH(Cleaned_datasetB[[#This Row],[Day_Code]],Lookup_Tables!$H$10:$H$16,0))</f>
        <v>Thursday</v>
      </c>
      <c r="T439" s="10" t="str">
        <f>VLOOKUP(Cleaned_datasetB[[#This Row],[Month]], Lookup_Tables!$K$8:$L$19, 2, FALSE)</f>
        <v>January</v>
      </c>
      <c r="U439" s="10" t="str">
        <f>IF(AND(Cleaned_datasetB[[#This Row],[Day_Type]]="Weekday",Cleaned_datasetB[[#This Row],[Is_Holiday]]=FALSE),"Working Day","Non-Working Day")</f>
        <v>Working Day</v>
      </c>
    </row>
    <row r="440" spans="1:21">
      <c r="A440" s="10">
        <v>439</v>
      </c>
      <c r="B440" s="23">
        <v>40563</v>
      </c>
      <c r="C440" s="10">
        <v>1</v>
      </c>
      <c r="D440" s="10">
        <v>0</v>
      </c>
      <c r="E440" s="10">
        <v>1</v>
      </c>
      <c r="F440" s="10">
        <v>7</v>
      </c>
      <c r="G440" s="10" t="b">
        <v>0</v>
      </c>
      <c r="H440" s="10">
        <v>4</v>
      </c>
      <c r="I440" s="10" t="str">
        <f>IF(OR(Cleaned_datasetB[[#This Row],[Day_Code]]=0,Cleaned_datasetB[[#This Row],[Day_Code]]=6),"Weekend","Weekday")</f>
        <v>Weekday</v>
      </c>
      <c r="J440" s="10">
        <v>1</v>
      </c>
      <c r="K440" s="10">
        <v>0.22</v>
      </c>
      <c r="L440" s="51">
        <v>0.21210000000000001</v>
      </c>
      <c r="M440" s="10">
        <v>0.55000000000000004</v>
      </c>
      <c r="N440" s="10">
        <v>0.22389999999999999</v>
      </c>
      <c r="O440" s="10">
        <v>1</v>
      </c>
      <c r="P440" s="10">
        <v>100</v>
      </c>
      <c r="Q440" s="10">
        <v>101</v>
      </c>
      <c r="R440" s="10" t="str">
        <f>VLOOKUP(Cleaned_datasetB[[#This Row],[Weather_Code]],Lookup_Tables!$E$9:$F$13,2,FALSE)</f>
        <v>Clear</v>
      </c>
      <c r="S440" s="10" t="str">
        <f>INDEX(Lookup_Tables!$I$10:$I$16,MATCH(Cleaned_datasetB[[#This Row],[Day_Code]],Lookup_Tables!$H$10:$H$16,0))</f>
        <v>Thursday</v>
      </c>
      <c r="T440" s="10" t="str">
        <f>VLOOKUP(Cleaned_datasetB[[#This Row],[Month]], Lookup_Tables!$K$8:$L$19, 2, FALSE)</f>
        <v>January</v>
      </c>
      <c r="U440" s="10" t="str">
        <f>IF(AND(Cleaned_datasetB[[#This Row],[Day_Type]]="Weekday",Cleaned_datasetB[[#This Row],[Is_Holiday]]=FALSE),"Working Day","Non-Working Day")</f>
        <v>Working Day</v>
      </c>
    </row>
    <row r="441" spans="1:21">
      <c r="A441" s="10">
        <v>440</v>
      </c>
      <c r="B441" s="23">
        <v>40563</v>
      </c>
      <c r="C441" s="10">
        <v>1</v>
      </c>
      <c r="D441" s="10">
        <v>0</v>
      </c>
      <c r="E441" s="10">
        <v>1</v>
      </c>
      <c r="F441" s="10">
        <v>8</v>
      </c>
      <c r="G441" s="10" t="b">
        <v>0</v>
      </c>
      <c r="H441" s="10">
        <v>4</v>
      </c>
      <c r="I441" s="10" t="str">
        <f>IF(OR(Cleaned_datasetB[[#This Row],[Day_Code]]=0,Cleaned_datasetB[[#This Row],[Day_Code]]=6),"Weekend","Weekday")</f>
        <v>Weekday</v>
      </c>
      <c r="J441" s="10">
        <v>1</v>
      </c>
      <c r="K441" s="10">
        <v>0.22</v>
      </c>
      <c r="L441" s="51">
        <v>0.21210000000000001</v>
      </c>
      <c r="M441" s="10">
        <v>0.55000000000000004</v>
      </c>
      <c r="N441" s="10">
        <v>0.28360000000000002</v>
      </c>
      <c r="O441" s="10">
        <v>2</v>
      </c>
      <c r="P441" s="10">
        <v>247</v>
      </c>
      <c r="Q441" s="10">
        <v>249</v>
      </c>
      <c r="R441" s="10" t="str">
        <f>VLOOKUP(Cleaned_datasetB[[#This Row],[Weather_Code]],Lookup_Tables!$E$9:$F$13,2,FALSE)</f>
        <v>Clear</v>
      </c>
      <c r="S441" s="10" t="str">
        <f>INDEX(Lookup_Tables!$I$10:$I$16,MATCH(Cleaned_datasetB[[#This Row],[Day_Code]],Lookup_Tables!$H$10:$H$16,0))</f>
        <v>Thursday</v>
      </c>
      <c r="T441" s="10" t="str">
        <f>VLOOKUP(Cleaned_datasetB[[#This Row],[Month]], Lookup_Tables!$K$8:$L$19, 2, FALSE)</f>
        <v>January</v>
      </c>
      <c r="U441" s="10" t="str">
        <f>IF(AND(Cleaned_datasetB[[#This Row],[Day_Type]]="Weekday",Cleaned_datasetB[[#This Row],[Is_Holiday]]=FALSE),"Working Day","Non-Working Day")</f>
        <v>Working Day</v>
      </c>
    </row>
    <row r="442" spans="1:21">
      <c r="A442" s="10">
        <v>441</v>
      </c>
      <c r="B442" s="23">
        <v>40563</v>
      </c>
      <c r="C442" s="10">
        <v>1</v>
      </c>
      <c r="D442" s="10">
        <v>0</v>
      </c>
      <c r="E442" s="10">
        <v>1</v>
      </c>
      <c r="F442" s="10">
        <v>9</v>
      </c>
      <c r="G442" s="10" t="b">
        <v>0</v>
      </c>
      <c r="H442" s="10">
        <v>4</v>
      </c>
      <c r="I442" s="10" t="str">
        <f>IF(OR(Cleaned_datasetB[[#This Row],[Day_Code]]=0,Cleaned_datasetB[[#This Row],[Day_Code]]=6),"Weekend","Weekday")</f>
        <v>Weekday</v>
      </c>
      <c r="J442" s="10">
        <v>2</v>
      </c>
      <c r="K442" s="10">
        <v>0.24</v>
      </c>
      <c r="L442" s="51">
        <v>0.2273</v>
      </c>
      <c r="M442" s="10">
        <v>0.52</v>
      </c>
      <c r="N442" s="10">
        <v>0.22389999999999999</v>
      </c>
      <c r="O442" s="10">
        <v>3</v>
      </c>
      <c r="P442" s="10">
        <v>140</v>
      </c>
      <c r="Q442" s="10">
        <v>143</v>
      </c>
      <c r="R442" s="10" t="str">
        <f>VLOOKUP(Cleaned_datasetB[[#This Row],[Weather_Code]],Lookup_Tables!$E$9:$F$13,2,FALSE)</f>
        <v>Cloudy</v>
      </c>
      <c r="S442" s="10" t="str">
        <f>INDEX(Lookup_Tables!$I$10:$I$16,MATCH(Cleaned_datasetB[[#This Row],[Day_Code]],Lookup_Tables!$H$10:$H$16,0))</f>
        <v>Thursday</v>
      </c>
      <c r="T442" s="10" t="str">
        <f>VLOOKUP(Cleaned_datasetB[[#This Row],[Month]], Lookup_Tables!$K$8:$L$19, 2, FALSE)</f>
        <v>January</v>
      </c>
      <c r="U442" s="10" t="str">
        <f>IF(AND(Cleaned_datasetB[[#This Row],[Day_Type]]="Weekday",Cleaned_datasetB[[#This Row],[Is_Holiday]]=FALSE),"Working Day","Non-Working Day")</f>
        <v>Working Day</v>
      </c>
    </row>
    <row r="443" spans="1:21">
      <c r="A443" s="10">
        <v>442</v>
      </c>
      <c r="B443" s="23">
        <v>40563</v>
      </c>
      <c r="C443" s="10">
        <v>1</v>
      </c>
      <c r="D443" s="10">
        <v>0</v>
      </c>
      <c r="E443" s="10">
        <v>1</v>
      </c>
      <c r="F443" s="10">
        <v>10</v>
      </c>
      <c r="G443" s="10" t="b">
        <v>0</v>
      </c>
      <c r="H443" s="10">
        <v>4</v>
      </c>
      <c r="I443" s="10" t="str">
        <f>IF(OR(Cleaned_datasetB[[#This Row],[Day_Code]]=0,Cleaned_datasetB[[#This Row],[Day_Code]]=6),"Weekend","Weekday")</f>
        <v>Weekday</v>
      </c>
      <c r="J443" s="10">
        <v>1</v>
      </c>
      <c r="K443" s="10">
        <v>0.26</v>
      </c>
      <c r="L443" s="51">
        <v>0.2273</v>
      </c>
      <c r="M443" s="10">
        <v>0.48</v>
      </c>
      <c r="N443" s="10">
        <v>0.29849999999999999</v>
      </c>
      <c r="O443" s="10">
        <v>1</v>
      </c>
      <c r="P443" s="10">
        <v>56</v>
      </c>
      <c r="Q443" s="10">
        <v>57</v>
      </c>
      <c r="R443" s="10" t="str">
        <f>VLOOKUP(Cleaned_datasetB[[#This Row],[Weather_Code]],Lookup_Tables!$E$9:$F$13,2,FALSE)</f>
        <v>Clear</v>
      </c>
      <c r="S443" s="10" t="str">
        <f>INDEX(Lookup_Tables!$I$10:$I$16,MATCH(Cleaned_datasetB[[#This Row],[Day_Code]],Lookup_Tables!$H$10:$H$16,0))</f>
        <v>Thursday</v>
      </c>
      <c r="T443" s="10" t="str">
        <f>VLOOKUP(Cleaned_datasetB[[#This Row],[Month]], Lookup_Tables!$K$8:$L$19, 2, FALSE)</f>
        <v>January</v>
      </c>
      <c r="U443" s="10" t="str">
        <f>IF(AND(Cleaned_datasetB[[#This Row],[Day_Type]]="Weekday",Cleaned_datasetB[[#This Row],[Is_Holiday]]=FALSE),"Working Day","Non-Working Day")</f>
        <v>Working Day</v>
      </c>
    </row>
    <row r="444" spans="1:21">
      <c r="A444" s="10">
        <v>443</v>
      </c>
      <c r="B444" s="23">
        <v>40563</v>
      </c>
      <c r="C444" s="10">
        <v>1</v>
      </c>
      <c r="D444" s="10">
        <v>0</v>
      </c>
      <c r="E444" s="10">
        <v>1</v>
      </c>
      <c r="F444" s="10">
        <v>11</v>
      </c>
      <c r="G444" s="10" t="b">
        <v>0</v>
      </c>
      <c r="H444" s="10">
        <v>4</v>
      </c>
      <c r="I444" s="10" t="str">
        <f>IF(OR(Cleaned_datasetB[[#This Row],[Day_Code]]=0,Cleaned_datasetB[[#This Row],[Day_Code]]=6),"Weekend","Weekday")</f>
        <v>Weekday</v>
      </c>
      <c r="J444" s="10">
        <v>2</v>
      </c>
      <c r="K444" s="10">
        <v>0.28000000000000003</v>
      </c>
      <c r="L444" s="51">
        <v>0.2727</v>
      </c>
      <c r="M444" s="10">
        <v>0.45</v>
      </c>
      <c r="N444" s="10">
        <v>0.16420000000000001</v>
      </c>
      <c r="O444" s="10">
        <v>5</v>
      </c>
      <c r="P444" s="10">
        <v>63</v>
      </c>
      <c r="Q444" s="10">
        <v>68</v>
      </c>
      <c r="R444" s="10" t="str">
        <f>VLOOKUP(Cleaned_datasetB[[#This Row],[Weather_Code]],Lookup_Tables!$E$9:$F$13,2,FALSE)</f>
        <v>Cloudy</v>
      </c>
      <c r="S444" s="10" t="str">
        <f>INDEX(Lookup_Tables!$I$10:$I$16,MATCH(Cleaned_datasetB[[#This Row],[Day_Code]],Lookup_Tables!$H$10:$H$16,0))</f>
        <v>Thursday</v>
      </c>
      <c r="T444" s="10" t="str">
        <f>VLOOKUP(Cleaned_datasetB[[#This Row],[Month]], Lookup_Tables!$K$8:$L$19, 2, FALSE)</f>
        <v>January</v>
      </c>
      <c r="U444" s="10" t="str">
        <f>IF(AND(Cleaned_datasetB[[#This Row],[Day_Type]]="Weekday",Cleaned_datasetB[[#This Row],[Is_Holiday]]=FALSE),"Working Day","Non-Working Day")</f>
        <v>Working Day</v>
      </c>
    </row>
    <row r="445" spans="1:21">
      <c r="A445" s="10">
        <v>444</v>
      </c>
      <c r="B445" s="23">
        <v>40563</v>
      </c>
      <c r="C445" s="10">
        <v>1</v>
      </c>
      <c r="D445" s="10">
        <v>0</v>
      </c>
      <c r="E445" s="10">
        <v>1</v>
      </c>
      <c r="F445" s="10">
        <v>12</v>
      </c>
      <c r="G445" s="10" t="b">
        <v>0</v>
      </c>
      <c r="H445" s="10">
        <v>4</v>
      </c>
      <c r="I445" s="10" t="str">
        <f>IF(OR(Cleaned_datasetB[[#This Row],[Day_Code]]=0,Cleaned_datasetB[[#This Row],[Day_Code]]=6),"Weekend","Weekday")</f>
        <v>Weekday</v>
      </c>
      <c r="J445" s="10">
        <v>2</v>
      </c>
      <c r="K445" s="10">
        <v>0.3</v>
      </c>
      <c r="L445" s="51">
        <v>0.33329999999999999</v>
      </c>
      <c r="M445" s="10">
        <v>0.42</v>
      </c>
      <c r="N445" s="10">
        <v>0</v>
      </c>
      <c r="O445" s="10">
        <v>7</v>
      </c>
      <c r="P445" s="10">
        <v>77</v>
      </c>
      <c r="Q445" s="10">
        <v>84</v>
      </c>
      <c r="R445" s="10" t="str">
        <f>VLOOKUP(Cleaned_datasetB[[#This Row],[Weather_Code]],Lookup_Tables!$E$9:$F$13,2,FALSE)</f>
        <v>Cloudy</v>
      </c>
      <c r="S445" s="10" t="str">
        <f>INDEX(Lookup_Tables!$I$10:$I$16,MATCH(Cleaned_datasetB[[#This Row],[Day_Code]],Lookup_Tables!$H$10:$H$16,0))</f>
        <v>Thursday</v>
      </c>
      <c r="T445" s="10" t="str">
        <f>VLOOKUP(Cleaned_datasetB[[#This Row],[Month]], Lookup_Tables!$K$8:$L$19, 2, FALSE)</f>
        <v>January</v>
      </c>
      <c r="U445" s="10" t="str">
        <f>IF(AND(Cleaned_datasetB[[#This Row],[Day_Type]]="Weekday",Cleaned_datasetB[[#This Row],[Is_Holiday]]=FALSE),"Working Day","Non-Working Day")</f>
        <v>Working Day</v>
      </c>
    </row>
    <row r="446" spans="1:21">
      <c r="A446" s="10">
        <v>445</v>
      </c>
      <c r="B446" s="23">
        <v>40563</v>
      </c>
      <c r="C446" s="10">
        <v>1</v>
      </c>
      <c r="D446" s="10">
        <v>0</v>
      </c>
      <c r="E446" s="10">
        <v>1</v>
      </c>
      <c r="F446" s="10">
        <v>13</v>
      </c>
      <c r="G446" s="10" t="b">
        <v>0</v>
      </c>
      <c r="H446" s="10">
        <v>4</v>
      </c>
      <c r="I446" s="10" t="str">
        <f>IF(OR(Cleaned_datasetB[[#This Row],[Day_Code]]=0,Cleaned_datasetB[[#This Row],[Day_Code]]=6),"Weekend","Weekday")</f>
        <v>Weekday</v>
      </c>
      <c r="J446" s="10">
        <v>2</v>
      </c>
      <c r="K446" s="10">
        <v>0.28000000000000003</v>
      </c>
      <c r="L446" s="51">
        <v>0.28789999999999999</v>
      </c>
      <c r="M446" s="10">
        <v>0.45</v>
      </c>
      <c r="N446" s="10">
        <v>0.1045</v>
      </c>
      <c r="O446" s="10">
        <v>12</v>
      </c>
      <c r="P446" s="10">
        <v>86</v>
      </c>
      <c r="Q446" s="10">
        <v>98</v>
      </c>
      <c r="R446" s="10" t="str">
        <f>VLOOKUP(Cleaned_datasetB[[#This Row],[Weather_Code]],Lookup_Tables!$E$9:$F$13,2,FALSE)</f>
        <v>Cloudy</v>
      </c>
      <c r="S446" s="10" t="str">
        <f>INDEX(Lookup_Tables!$I$10:$I$16,MATCH(Cleaned_datasetB[[#This Row],[Day_Code]],Lookup_Tables!$H$10:$H$16,0))</f>
        <v>Thursday</v>
      </c>
      <c r="T446" s="10" t="str">
        <f>VLOOKUP(Cleaned_datasetB[[#This Row],[Month]], Lookup_Tables!$K$8:$L$19, 2, FALSE)</f>
        <v>January</v>
      </c>
      <c r="U446" s="10" t="str">
        <f>IF(AND(Cleaned_datasetB[[#This Row],[Day_Type]]="Weekday",Cleaned_datasetB[[#This Row],[Is_Holiday]]=FALSE),"Working Day","Non-Working Day")</f>
        <v>Working Day</v>
      </c>
    </row>
    <row r="447" spans="1:21">
      <c r="A447" s="10">
        <v>446</v>
      </c>
      <c r="B447" s="23">
        <v>40563</v>
      </c>
      <c r="C447" s="10">
        <v>1</v>
      </c>
      <c r="D447" s="10">
        <v>0</v>
      </c>
      <c r="E447" s="10">
        <v>1</v>
      </c>
      <c r="F447" s="10">
        <v>14</v>
      </c>
      <c r="G447" s="10" t="b">
        <v>0</v>
      </c>
      <c r="H447" s="10">
        <v>4</v>
      </c>
      <c r="I447" s="10" t="str">
        <f>IF(OR(Cleaned_datasetB[[#This Row],[Day_Code]]=0,Cleaned_datasetB[[#This Row],[Day_Code]]=6),"Weekend","Weekday")</f>
        <v>Weekday</v>
      </c>
      <c r="J447" s="10">
        <v>2</v>
      </c>
      <c r="K447" s="10">
        <v>0.3</v>
      </c>
      <c r="L447" s="51">
        <v>0.30299999999999999</v>
      </c>
      <c r="M447" s="10">
        <v>0.45</v>
      </c>
      <c r="N447" s="10">
        <v>0.1343</v>
      </c>
      <c r="O447" s="10">
        <v>6</v>
      </c>
      <c r="P447" s="10">
        <v>75</v>
      </c>
      <c r="Q447" s="10">
        <v>81</v>
      </c>
      <c r="R447" s="10" t="str">
        <f>VLOOKUP(Cleaned_datasetB[[#This Row],[Weather_Code]],Lookup_Tables!$E$9:$F$13,2,FALSE)</f>
        <v>Cloudy</v>
      </c>
      <c r="S447" s="10" t="str">
        <f>INDEX(Lookup_Tables!$I$10:$I$16,MATCH(Cleaned_datasetB[[#This Row],[Day_Code]],Lookup_Tables!$H$10:$H$16,0))</f>
        <v>Thursday</v>
      </c>
      <c r="T447" s="10" t="str">
        <f>VLOOKUP(Cleaned_datasetB[[#This Row],[Month]], Lookup_Tables!$K$8:$L$19, 2, FALSE)</f>
        <v>January</v>
      </c>
      <c r="U447" s="10" t="str">
        <f>IF(AND(Cleaned_datasetB[[#This Row],[Day_Type]]="Weekday",Cleaned_datasetB[[#This Row],[Is_Holiday]]=FALSE),"Working Day","Non-Working Day")</f>
        <v>Working Day</v>
      </c>
    </row>
    <row r="448" spans="1:21">
      <c r="A448" s="10">
        <v>447</v>
      </c>
      <c r="B448" s="23">
        <v>40563</v>
      </c>
      <c r="C448" s="10">
        <v>1</v>
      </c>
      <c r="D448" s="10">
        <v>0</v>
      </c>
      <c r="E448" s="10">
        <v>1</v>
      </c>
      <c r="F448" s="10">
        <v>15</v>
      </c>
      <c r="G448" s="10" t="b">
        <v>0</v>
      </c>
      <c r="H448" s="10">
        <v>4</v>
      </c>
      <c r="I448" s="10" t="str">
        <f>IF(OR(Cleaned_datasetB[[#This Row],[Day_Code]]=0,Cleaned_datasetB[[#This Row],[Day_Code]]=6),"Weekend","Weekday")</f>
        <v>Weekday</v>
      </c>
      <c r="J448" s="10">
        <v>2</v>
      </c>
      <c r="K448" s="10">
        <v>0.32</v>
      </c>
      <c r="L448" s="51">
        <v>0.31819999999999998</v>
      </c>
      <c r="M448" s="10">
        <v>0.45</v>
      </c>
      <c r="N448" s="10">
        <v>0.19400000000000001</v>
      </c>
      <c r="O448" s="10">
        <v>8</v>
      </c>
      <c r="P448" s="10">
        <v>62</v>
      </c>
      <c r="Q448" s="10">
        <v>70</v>
      </c>
      <c r="R448" s="10" t="str">
        <f>VLOOKUP(Cleaned_datasetB[[#This Row],[Weather_Code]],Lookup_Tables!$E$9:$F$13,2,FALSE)</f>
        <v>Cloudy</v>
      </c>
      <c r="S448" s="10" t="str">
        <f>INDEX(Lookup_Tables!$I$10:$I$16,MATCH(Cleaned_datasetB[[#This Row],[Day_Code]],Lookup_Tables!$H$10:$H$16,0))</f>
        <v>Thursday</v>
      </c>
      <c r="T448" s="10" t="str">
        <f>VLOOKUP(Cleaned_datasetB[[#This Row],[Month]], Lookup_Tables!$K$8:$L$19, 2, FALSE)</f>
        <v>January</v>
      </c>
      <c r="U448" s="10" t="str">
        <f>IF(AND(Cleaned_datasetB[[#This Row],[Day_Type]]="Weekday",Cleaned_datasetB[[#This Row],[Is_Holiday]]=FALSE),"Working Day","Non-Working Day")</f>
        <v>Working Day</v>
      </c>
    </row>
    <row r="449" spans="1:21">
      <c r="A449" s="10">
        <v>448</v>
      </c>
      <c r="B449" s="23">
        <v>40563</v>
      </c>
      <c r="C449" s="10">
        <v>1</v>
      </c>
      <c r="D449" s="10">
        <v>0</v>
      </c>
      <c r="E449" s="10">
        <v>1</v>
      </c>
      <c r="F449" s="10">
        <v>16</v>
      </c>
      <c r="G449" s="10" t="b">
        <v>0</v>
      </c>
      <c r="H449" s="10">
        <v>4</v>
      </c>
      <c r="I449" s="10" t="str">
        <f>IF(OR(Cleaned_datasetB[[#This Row],[Day_Code]]=0,Cleaned_datasetB[[#This Row],[Day_Code]]=6),"Weekend","Weekday")</f>
        <v>Weekday</v>
      </c>
      <c r="J449" s="10">
        <v>2</v>
      </c>
      <c r="K449" s="10">
        <v>0.3</v>
      </c>
      <c r="L449" s="51">
        <v>0.30299999999999999</v>
      </c>
      <c r="M449" s="10">
        <v>0.49</v>
      </c>
      <c r="N449" s="10">
        <v>0.1343</v>
      </c>
      <c r="O449" s="10">
        <v>8</v>
      </c>
      <c r="P449" s="10">
        <v>83</v>
      </c>
      <c r="Q449" s="10">
        <v>91</v>
      </c>
      <c r="R449" s="10" t="str">
        <f>VLOOKUP(Cleaned_datasetB[[#This Row],[Weather_Code]],Lookup_Tables!$E$9:$F$13,2,FALSE)</f>
        <v>Cloudy</v>
      </c>
      <c r="S449" s="10" t="str">
        <f>INDEX(Lookup_Tables!$I$10:$I$16,MATCH(Cleaned_datasetB[[#This Row],[Day_Code]],Lookup_Tables!$H$10:$H$16,0))</f>
        <v>Thursday</v>
      </c>
      <c r="T449" s="10" t="str">
        <f>VLOOKUP(Cleaned_datasetB[[#This Row],[Month]], Lookup_Tables!$K$8:$L$19, 2, FALSE)</f>
        <v>January</v>
      </c>
      <c r="U449" s="10" t="str">
        <f>IF(AND(Cleaned_datasetB[[#This Row],[Day_Type]]="Weekday",Cleaned_datasetB[[#This Row],[Is_Holiday]]=FALSE),"Working Day","Non-Working Day")</f>
        <v>Working Day</v>
      </c>
    </row>
    <row r="450" spans="1:21">
      <c r="A450" s="10">
        <v>449</v>
      </c>
      <c r="B450" s="23">
        <v>40563</v>
      </c>
      <c r="C450" s="10">
        <v>1</v>
      </c>
      <c r="D450" s="10">
        <v>0</v>
      </c>
      <c r="E450" s="10">
        <v>1</v>
      </c>
      <c r="F450" s="10">
        <v>17</v>
      </c>
      <c r="G450" s="10" t="b">
        <v>0</v>
      </c>
      <c r="H450" s="10">
        <v>4</v>
      </c>
      <c r="I450" s="10" t="str">
        <f>IF(OR(Cleaned_datasetB[[#This Row],[Day_Code]]=0,Cleaned_datasetB[[#This Row],[Day_Code]]=6),"Weekend","Weekday")</f>
        <v>Weekday</v>
      </c>
      <c r="J450" s="10">
        <v>2</v>
      </c>
      <c r="K450" s="10">
        <v>0.3</v>
      </c>
      <c r="L450" s="51">
        <v>0.31819999999999998</v>
      </c>
      <c r="M450" s="10">
        <v>0.49</v>
      </c>
      <c r="N450" s="10">
        <v>0.1045</v>
      </c>
      <c r="O450" s="10">
        <v>8</v>
      </c>
      <c r="P450" s="10">
        <v>207</v>
      </c>
      <c r="Q450" s="10">
        <v>215</v>
      </c>
      <c r="R450" s="10" t="str">
        <f>VLOOKUP(Cleaned_datasetB[[#This Row],[Weather_Code]],Lookup_Tables!$E$9:$F$13,2,FALSE)</f>
        <v>Cloudy</v>
      </c>
      <c r="S450" s="10" t="str">
        <f>INDEX(Lookup_Tables!$I$10:$I$16,MATCH(Cleaned_datasetB[[#This Row],[Day_Code]],Lookup_Tables!$H$10:$H$16,0))</f>
        <v>Thursday</v>
      </c>
      <c r="T450" s="10" t="str">
        <f>VLOOKUP(Cleaned_datasetB[[#This Row],[Month]], Lookup_Tables!$K$8:$L$19, 2, FALSE)</f>
        <v>January</v>
      </c>
      <c r="U450" s="10" t="str">
        <f>IF(AND(Cleaned_datasetB[[#This Row],[Day_Type]]="Weekday",Cleaned_datasetB[[#This Row],[Is_Holiday]]=FALSE),"Working Day","Non-Working Day")</f>
        <v>Working Day</v>
      </c>
    </row>
    <row r="451" spans="1:21">
      <c r="A451" s="10">
        <v>450</v>
      </c>
      <c r="B451" s="23">
        <v>40563</v>
      </c>
      <c r="C451" s="10">
        <v>1</v>
      </c>
      <c r="D451" s="10">
        <v>0</v>
      </c>
      <c r="E451" s="10">
        <v>1</v>
      </c>
      <c r="F451" s="10">
        <v>18</v>
      </c>
      <c r="G451" s="10" t="b">
        <v>0</v>
      </c>
      <c r="H451" s="10">
        <v>4</v>
      </c>
      <c r="I451" s="10" t="str">
        <f>IF(OR(Cleaned_datasetB[[#This Row],[Day_Code]]=0,Cleaned_datasetB[[#This Row],[Day_Code]]=6),"Weekend","Weekday")</f>
        <v>Weekday</v>
      </c>
      <c r="J451" s="10">
        <v>2</v>
      </c>
      <c r="K451" s="10">
        <v>0.26</v>
      </c>
      <c r="L451" s="51">
        <v>0.2576</v>
      </c>
      <c r="M451" s="10">
        <v>0.56000000000000005</v>
      </c>
      <c r="N451" s="10">
        <v>0.19400000000000001</v>
      </c>
      <c r="O451" s="10">
        <v>1</v>
      </c>
      <c r="P451" s="10">
        <v>184</v>
      </c>
      <c r="Q451" s="10">
        <v>185</v>
      </c>
      <c r="R451" s="10" t="str">
        <f>VLOOKUP(Cleaned_datasetB[[#This Row],[Weather_Code]],Lookup_Tables!$E$9:$F$13,2,FALSE)</f>
        <v>Cloudy</v>
      </c>
      <c r="S451" s="10" t="str">
        <f>INDEX(Lookup_Tables!$I$10:$I$16,MATCH(Cleaned_datasetB[[#This Row],[Day_Code]],Lookup_Tables!$H$10:$H$16,0))</f>
        <v>Thursday</v>
      </c>
      <c r="T451" s="10" t="str">
        <f>VLOOKUP(Cleaned_datasetB[[#This Row],[Month]], Lookup_Tables!$K$8:$L$19, 2, FALSE)</f>
        <v>January</v>
      </c>
      <c r="U451" s="10" t="str">
        <f>IF(AND(Cleaned_datasetB[[#This Row],[Day_Type]]="Weekday",Cleaned_datasetB[[#This Row],[Is_Holiday]]=FALSE),"Working Day","Non-Working Day")</f>
        <v>Working Day</v>
      </c>
    </row>
    <row r="452" spans="1:21">
      <c r="A452" s="10">
        <v>451</v>
      </c>
      <c r="B452" s="23">
        <v>40563</v>
      </c>
      <c r="C452" s="10">
        <v>1</v>
      </c>
      <c r="D452" s="10">
        <v>0</v>
      </c>
      <c r="E452" s="10">
        <v>1</v>
      </c>
      <c r="F452" s="10">
        <v>19</v>
      </c>
      <c r="G452" s="10" t="b">
        <v>0</v>
      </c>
      <c r="H452" s="10">
        <v>4</v>
      </c>
      <c r="I452" s="10" t="str">
        <f>IF(OR(Cleaned_datasetB[[#This Row],[Day_Code]]=0,Cleaned_datasetB[[#This Row],[Day_Code]]=6),"Weekend","Weekday")</f>
        <v>Weekday</v>
      </c>
      <c r="J452" s="10">
        <v>1</v>
      </c>
      <c r="K452" s="10">
        <v>0.26</v>
      </c>
      <c r="L452" s="51">
        <v>0.2273</v>
      </c>
      <c r="M452" s="10">
        <v>0.56000000000000005</v>
      </c>
      <c r="N452" s="10">
        <v>0.32840000000000003</v>
      </c>
      <c r="O452" s="10">
        <v>6</v>
      </c>
      <c r="P452" s="10">
        <v>146</v>
      </c>
      <c r="Q452" s="10">
        <v>152</v>
      </c>
      <c r="R452" s="10" t="str">
        <f>VLOOKUP(Cleaned_datasetB[[#This Row],[Weather_Code]],Lookup_Tables!$E$9:$F$13,2,FALSE)</f>
        <v>Clear</v>
      </c>
      <c r="S452" s="10" t="str">
        <f>INDEX(Lookup_Tables!$I$10:$I$16,MATCH(Cleaned_datasetB[[#This Row],[Day_Code]],Lookup_Tables!$H$10:$H$16,0))</f>
        <v>Thursday</v>
      </c>
      <c r="T452" s="10" t="str">
        <f>VLOOKUP(Cleaned_datasetB[[#This Row],[Month]], Lookup_Tables!$K$8:$L$19, 2, FALSE)</f>
        <v>January</v>
      </c>
      <c r="U452" s="10" t="str">
        <f>IF(AND(Cleaned_datasetB[[#This Row],[Day_Type]]="Weekday",Cleaned_datasetB[[#This Row],[Is_Holiday]]=FALSE),"Working Day","Non-Working Day")</f>
        <v>Working Day</v>
      </c>
    </row>
    <row r="453" spans="1:21">
      <c r="A453" s="10">
        <v>452</v>
      </c>
      <c r="B453" s="23">
        <v>40563</v>
      </c>
      <c r="C453" s="10">
        <v>1</v>
      </c>
      <c r="D453" s="10">
        <v>0</v>
      </c>
      <c r="E453" s="10">
        <v>1</v>
      </c>
      <c r="F453" s="10">
        <v>20</v>
      </c>
      <c r="G453" s="10" t="b">
        <v>0</v>
      </c>
      <c r="H453" s="10">
        <v>4</v>
      </c>
      <c r="I453" s="10" t="str">
        <f>IF(OR(Cleaned_datasetB[[#This Row],[Day_Code]]=0,Cleaned_datasetB[[#This Row],[Day_Code]]=6),"Weekend","Weekday")</f>
        <v>Weekday</v>
      </c>
      <c r="J453" s="10">
        <v>2</v>
      </c>
      <c r="K453" s="10">
        <v>0.26</v>
      </c>
      <c r="L453" s="51">
        <v>0.2424</v>
      </c>
      <c r="M453" s="10">
        <v>0.6</v>
      </c>
      <c r="N453" s="10">
        <v>0.28360000000000002</v>
      </c>
      <c r="O453" s="10">
        <v>2</v>
      </c>
      <c r="P453" s="10">
        <v>124</v>
      </c>
      <c r="Q453" s="10">
        <v>126</v>
      </c>
      <c r="R453" s="10" t="str">
        <f>VLOOKUP(Cleaned_datasetB[[#This Row],[Weather_Code]],Lookup_Tables!$E$9:$F$13,2,FALSE)</f>
        <v>Cloudy</v>
      </c>
      <c r="S453" s="10" t="str">
        <f>INDEX(Lookup_Tables!$I$10:$I$16,MATCH(Cleaned_datasetB[[#This Row],[Day_Code]],Lookup_Tables!$H$10:$H$16,0))</f>
        <v>Thursday</v>
      </c>
      <c r="T453" s="10" t="str">
        <f>VLOOKUP(Cleaned_datasetB[[#This Row],[Month]], Lookup_Tables!$K$8:$L$19, 2, FALSE)</f>
        <v>January</v>
      </c>
      <c r="U453" s="10" t="str">
        <f>IF(AND(Cleaned_datasetB[[#This Row],[Day_Type]]="Weekday",Cleaned_datasetB[[#This Row],[Is_Holiday]]=FALSE),"Working Day","Non-Working Day")</f>
        <v>Working Day</v>
      </c>
    </row>
    <row r="454" spans="1:21">
      <c r="A454" s="10">
        <v>453</v>
      </c>
      <c r="B454" s="23">
        <v>40563</v>
      </c>
      <c r="C454" s="10">
        <v>1</v>
      </c>
      <c r="D454" s="10">
        <v>0</v>
      </c>
      <c r="E454" s="10">
        <v>1</v>
      </c>
      <c r="F454" s="10">
        <v>21</v>
      </c>
      <c r="G454" s="10" t="b">
        <v>0</v>
      </c>
      <c r="H454" s="10">
        <v>4</v>
      </c>
      <c r="I454" s="10" t="str">
        <f>IF(OR(Cleaned_datasetB[[#This Row],[Day_Code]]=0,Cleaned_datasetB[[#This Row],[Day_Code]]=6),"Weekend","Weekday")</f>
        <v>Weekday</v>
      </c>
      <c r="J454" s="10">
        <v>2</v>
      </c>
      <c r="K454" s="10">
        <v>0.24</v>
      </c>
      <c r="L454" s="51">
        <v>0.2273</v>
      </c>
      <c r="M454" s="10">
        <v>0.6</v>
      </c>
      <c r="N454" s="10">
        <v>0.25369999999999998</v>
      </c>
      <c r="O454" s="10">
        <v>3</v>
      </c>
      <c r="P454" s="10">
        <v>54</v>
      </c>
      <c r="Q454" s="10">
        <v>57</v>
      </c>
      <c r="R454" s="10" t="str">
        <f>VLOOKUP(Cleaned_datasetB[[#This Row],[Weather_Code]],Lookup_Tables!$E$9:$F$13,2,FALSE)</f>
        <v>Cloudy</v>
      </c>
      <c r="S454" s="10" t="str">
        <f>INDEX(Lookup_Tables!$I$10:$I$16,MATCH(Cleaned_datasetB[[#This Row],[Day_Code]],Lookup_Tables!$H$10:$H$16,0))</f>
        <v>Thursday</v>
      </c>
      <c r="T454" s="10" t="str">
        <f>VLOOKUP(Cleaned_datasetB[[#This Row],[Month]], Lookup_Tables!$K$8:$L$19, 2, FALSE)</f>
        <v>January</v>
      </c>
      <c r="U454" s="10" t="str">
        <f>IF(AND(Cleaned_datasetB[[#This Row],[Day_Type]]="Weekday",Cleaned_datasetB[[#This Row],[Is_Holiday]]=FALSE),"Working Day","Non-Working Day")</f>
        <v>Working Day</v>
      </c>
    </row>
    <row r="455" spans="1:21">
      <c r="A455" s="10">
        <v>454</v>
      </c>
      <c r="B455" s="23">
        <v>40563</v>
      </c>
      <c r="C455" s="10">
        <v>1</v>
      </c>
      <c r="D455" s="10">
        <v>0</v>
      </c>
      <c r="E455" s="10">
        <v>1</v>
      </c>
      <c r="F455" s="10">
        <v>22</v>
      </c>
      <c r="G455" s="10" t="b">
        <v>0</v>
      </c>
      <c r="H455" s="10">
        <v>4</v>
      </c>
      <c r="I455" s="10" t="str">
        <f>IF(OR(Cleaned_datasetB[[#This Row],[Day_Code]]=0,Cleaned_datasetB[[#This Row],[Day_Code]]=6),"Weekend","Weekday")</f>
        <v>Weekday</v>
      </c>
      <c r="J455" s="10">
        <v>2</v>
      </c>
      <c r="K455" s="10">
        <v>0.24</v>
      </c>
      <c r="L455" s="51">
        <v>0.21210000000000001</v>
      </c>
      <c r="M455" s="10">
        <v>0.65</v>
      </c>
      <c r="N455" s="10">
        <v>0.28360000000000002</v>
      </c>
      <c r="O455" s="10">
        <v>0</v>
      </c>
      <c r="P455" s="10">
        <v>56</v>
      </c>
      <c r="Q455" s="10">
        <v>56</v>
      </c>
      <c r="R455" s="10" t="str">
        <f>VLOOKUP(Cleaned_datasetB[[#This Row],[Weather_Code]],Lookup_Tables!$E$9:$F$13,2,FALSE)</f>
        <v>Cloudy</v>
      </c>
      <c r="S455" s="10" t="str">
        <f>INDEX(Lookup_Tables!$I$10:$I$16,MATCH(Cleaned_datasetB[[#This Row],[Day_Code]],Lookup_Tables!$H$10:$H$16,0))</f>
        <v>Thursday</v>
      </c>
      <c r="T455" s="10" t="str">
        <f>VLOOKUP(Cleaned_datasetB[[#This Row],[Month]], Lookup_Tables!$K$8:$L$19, 2, FALSE)</f>
        <v>January</v>
      </c>
      <c r="U455" s="10" t="str">
        <f>IF(AND(Cleaned_datasetB[[#This Row],[Day_Type]]="Weekday",Cleaned_datasetB[[#This Row],[Is_Holiday]]=FALSE),"Working Day","Non-Working Day")</f>
        <v>Working Day</v>
      </c>
    </row>
    <row r="456" spans="1:21">
      <c r="A456" s="10">
        <v>455</v>
      </c>
      <c r="B456" s="23">
        <v>40563</v>
      </c>
      <c r="C456" s="10">
        <v>1</v>
      </c>
      <c r="D456" s="10">
        <v>0</v>
      </c>
      <c r="E456" s="10">
        <v>1</v>
      </c>
      <c r="F456" s="10">
        <v>23</v>
      </c>
      <c r="G456" s="10" t="b">
        <v>0</v>
      </c>
      <c r="H456" s="10">
        <v>4</v>
      </c>
      <c r="I456" s="10" t="str">
        <f>IF(OR(Cleaned_datasetB[[#This Row],[Day_Code]]=0,Cleaned_datasetB[[#This Row],[Day_Code]]=6),"Weekend","Weekday")</f>
        <v>Weekday</v>
      </c>
      <c r="J456" s="10">
        <v>2</v>
      </c>
      <c r="K456" s="10">
        <v>0.24</v>
      </c>
      <c r="L456" s="51">
        <v>0.21210000000000001</v>
      </c>
      <c r="M456" s="10">
        <v>0.65</v>
      </c>
      <c r="N456" s="10">
        <v>0.32840000000000003</v>
      </c>
      <c r="O456" s="10">
        <v>3</v>
      </c>
      <c r="P456" s="10">
        <v>28</v>
      </c>
      <c r="Q456" s="10">
        <v>31</v>
      </c>
      <c r="R456" s="10" t="str">
        <f>VLOOKUP(Cleaned_datasetB[[#This Row],[Weather_Code]],Lookup_Tables!$E$9:$F$13,2,FALSE)</f>
        <v>Cloudy</v>
      </c>
      <c r="S456" s="10" t="str">
        <f>INDEX(Lookup_Tables!$I$10:$I$16,MATCH(Cleaned_datasetB[[#This Row],[Day_Code]],Lookup_Tables!$H$10:$H$16,0))</f>
        <v>Thursday</v>
      </c>
      <c r="T456" s="10" t="str">
        <f>VLOOKUP(Cleaned_datasetB[[#This Row],[Month]], Lookup_Tables!$K$8:$L$19, 2, FALSE)</f>
        <v>January</v>
      </c>
      <c r="U456" s="10" t="str">
        <f>IF(AND(Cleaned_datasetB[[#This Row],[Day_Type]]="Weekday",Cleaned_datasetB[[#This Row],[Is_Holiday]]=FALSE),"Working Day","Non-Working Day")</f>
        <v>Working Day</v>
      </c>
    </row>
    <row r="457" spans="1:21">
      <c r="A457" s="10">
        <v>456</v>
      </c>
      <c r="B457" s="23">
        <v>40564</v>
      </c>
      <c r="C457" s="10">
        <v>1</v>
      </c>
      <c r="D457" s="10">
        <v>0</v>
      </c>
      <c r="E457" s="10">
        <v>1</v>
      </c>
      <c r="F457" s="10">
        <v>0</v>
      </c>
      <c r="G457" s="10" t="b">
        <v>0</v>
      </c>
      <c r="H457" s="10">
        <v>5</v>
      </c>
      <c r="I457" s="10" t="str">
        <f>IF(OR(Cleaned_datasetB[[#This Row],[Day_Code]]=0,Cleaned_datasetB[[#This Row],[Day_Code]]=6),"Weekend","Weekday")</f>
        <v>Weekday</v>
      </c>
      <c r="J457" s="10">
        <v>2</v>
      </c>
      <c r="K457" s="10">
        <v>0.24</v>
      </c>
      <c r="L457" s="51">
        <v>0.2273</v>
      </c>
      <c r="M457" s="10">
        <v>0.7</v>
      </c>
      <c r="N457" s="10">
        <v>0.25369999999999998</v>
      </c>
      <c r="O457" s="10">
        <v>1</v>
      </c>
      <c r="P457" s="10">
        <v>20</v>
      </c>
      <c r="Q457" s="10">
        <v>21</v>
      </c>
      <c r="R457" s="10" t="str">
        <f>VLOOKUP(Cleaned_datasetB[[#This Row],[Weather_Code]],Lookup_Tables!$E$9:$F$13,2,FALSE)</f>
        <v>Cloudy</v>
      </c>
      <c r="S457" s="10" t="str">
        <f>INDEX(Lookup_Tables!$I$10:$I$16,MATCH(Cleaned_datasetB[[#This Row],[Day_Code]],Lookup_Tables!$H$10:$H$16,0))</f>
        <v>Friday</v>
      </c>
      <c r="T457" s="10" t="str">
        <f>VLOOKUP(Cleaned_datasetB[[#This Row],[Month]], Lookup_Tables!$K$8:$L$19, 2, FALSE)</f>
        <v>January</v>
      </c>
      <c r="U457" s="10" t="str">
        <f>IF(AND(Cleaned_datasetB[[#This Row],[Day_Type]]="Weekday",Cleaned_datasetB[[#This Row],[Is_Holiday]]=FALSE),"Working Day","Non-Working Day")</f>
        <v>Working Day</v>
      </c>
    </row>
    <row r="458" spans="1:21">
      <c r="A458" s="10">
        <v>457</v>
      </c>
      <c r="B458" s="23">
        <v>40564</v>
      </c>
      <c r="C458" s="10">
        <v>1</v>
      </c>
      <c r="D458" s="10">
        <v>0</v>
      </c>
      <c r="E458" s="10">
        <v>1</v>
      </c>
      <c r="F458" s="10">
        <v>1</v>
      </c>
      <c r="G458" s="10" t="b">
        <v>0</v>
      </c>
      <c r="H458" s="10">
        <v>5</v>
      </c>
      <c r="I458" s="10" t="str">
        <f>IF(OR(Cleaned_datasetB[[#This Row],[Day_Code]]=0,Cleaned_datasetB[[#This Row],[Day_Code]]=6),"Weekend","Weekday")</f>
        <v>Weekday</v>
      </c>
      <c r="J458" s="10">
        <v>2</v>
      </c>
      <c r="K458" s="10">
        <v>0.24</v>
      </c>
      <c r="L458" s="51">
        <v>0.2273</v>
      </c>
      <c r="M458" s="10">
        <v>0.7</v>
      </c>
      <c r="N458" s="10">
        <v>0.25369999999999998</v>
      </c>
      <c r="O458" s="10">
        <v>0</v>
      </c>
      <c r="P458" s="10">
        <v>6</v>
      </c>
      <c r="Q458" s="10">
        <v>6</v>
      </c>
      <c r="R458" s="10" t="str">
        <f>VLOOKUP(Cleaned_datasetB[[#This Row],[Weather_Code]],Lookup_Tables!$E$9:$F$13,2,FALSE)</f>
        <v>Cloudy</v>
      </c>
      <c r="S458" s="10" t="str">
        <f>INDEX(Lookup_Tables!$I$10:$I$16,MATCH(Cleaned_datasetB[[#This Row],[Day_Code]],Lookup_Tables!$H$10:$H$16,0))</f>
        <v>Friday</v>
      </c>
      <c r="T458" s="10" t="str">
        <f>VLOOKUP(Cleaned_datasetB[[#This Row],[Month]], Lookup_Tables!$K$8:$L$19, 2, FALSE)</f>
        <v>January</v>
      </c>
      <c r="U458" s="10" t="str">
        <f>IF(AND(Cleaned_datasetB[[#This Row],[Day_Type]]="Weekday",Cleaned_datasetB[[#This Row],[Is_Holiday]]=FALSE),"Working Day","Non-Working Day")</f>
        <v>Working Day</v>
      </c>
    </row>
    <row r="459" spans="1:21">
      <c r="A459" s="10">
        <v>458</v>
      </c>
      <c r="B459" s="23">
        <v>40564</v>
      </c>
      <c r="C459" s="10">
        <v>1</v>
      </c>
      <c r="D459" s="10">
        <v>0</v>
      </c>
      <c r="E459" s="10">
        <v>1</v>
      </c>
      <c r="F459" s="10">
        <v>2</v>
      </c>
      <c r="G459" s="10" t="b">
        <v>0</v>
      </c>
      <c r="H459" s="10">
        <v>5</v>
      </c>
      <c r="I459" s="10" t="str">
        <f>IF(OR(Cleaned_datasetB[[#This Row],[Day_Code]]=0,Cleaned_datasetB[[#This Row],[Day_Code]]=6),"Weekend","Weekday")</f>
        <v>Weekday</v>
      </c>
      <c r="J459" s="10">
        <v>3</v>
      </c>
      <c r="K459" s="10">
        <v>0.24</v>
      </c>
      <c r="L459" s="51">
        <v>0.2424</v>
      </c>
      <c r="M459" s="10">
        <v>0.75</v>
      </c>
      <c r="N459" s="10">
        <v>0.16420000000000001</v>
      </c>
      <c r="O459" s="10">
        <v>0</v>
      </c>
      <c r="P459" s="10">
        <v>2</v>
      </c>
      <c r="Q459" s="10">
        <v>2</v>
      </c>
      <c r="R459" s="10" t="str">
        <f>VLOOKUP(Cleaned_datasetB[[#This Row],[Weather_Code]],Lookup_Tables!$E$9:$F$13,2,FALSE)</f>
        <v>Light Rain</v>
      </c>
      <c r="S459" s="10" t="str">
        <f>INDEX(Lookup_Tables!$I$10:$I$16,MATCH(Cleaned_datasetB[[#This Row],[Day_Code]],Lookup_Tables!$H$10:$H$16,0))</f>
        <v>Friday</v>
      </c>
      <c r="T459" s="10" t="str">
        <f>VLOOKUP(Cleaned_datasetB[[#This Row],[Month]], Lookup_Tables!$K$8:$L$19, 2, FALSE)</f>
        <v>January</v>
      </c>
      <c r="U459" s="10" t="str">
        <f>IF(AND(Cleaned_datasetB[[#This Row],[Day_Type]]="Weekday",Cleaned_datasetB[[#This Row],[Is_Holiday]]=FALSE),"Working Day","Non-Working Day")</f>
        <v>Working Day</v>
      </c>
    </row>
    <row r="460" spans="1:21">
      <c r="A460" s="10">
        <v>459</v>
      </c>
      <c r="B460" s="23">
        <v>40564</v>
      </c>
      <c r="C460" s="10">
        <v>1</v>
      </c>
      <c r="D460" s="10">
        <v>0</v>
      </c>
      <c r="E460" s="10">
        <v>1</v>
      </c>
      <c r="F460" s="10">
        <v>3</v>
      </c>
      <c r="G460" s="10" t="b">
        <v>0</v>
      </c>
      <c r="H460" s="10">
        <v>5</v>
      </c>
      <c r="I460" s="10" t="str">
        <f>IF(OR(Cleaned_datasetB[[#This Row],[Day_Code]]=0,Cleaned_datasetB[[#This Row],[Day_Code]]=6),"Weekend","Weekday")</f>
        <v>Weekday</v>
      </c>
      <c r="J460" s="10">
        <v>3</v>
      </c>
      <c r="K460" s="10">
        <v>0.22</v>
      </c>
      <c r="L460" s="51">
        <v>0.21210000000000001</v>
      </c>
      <c r="M460" s="10">
        <v>0.8</v>
      </c>
      <c r="N460" s="10">
        <v>0.29849999999999999</v>
      </c>
      <c r="O460" s="10">
        <v>0</v>
      </c>
      <c r="P460" s="10">
        <v>1</v>
      </c>
      <c r="Q460" s="10">
        <v>1</v>
      </c>
      <c r="R460" s="10" t="str">
        <f>VLOOKUP(Cleaned_datasetB[[#This Row],[Weather_Code]],Lookup_Tables!$E$9:$F$13,2,FALSE)</f>
        <v>Light Rain</v>
      </c>
      <c r="S460" s="10" t="str">
        <f>INDEX(Lookup_Tables!$I$10:$I$16,MATCH(Cleaned_datasetB[[#This Row],[Day_Code]],Lookup_Tables!$H$10:$H$16,0))</f>
        <v>Friday</v>
      </c>
      <c r="T460" s="10" t="str">
        <f>VLOOKUP(Cleaned_datasetB[[#This Row],[Month]], Lookup_Tables!$K$8:$L$19, 2, FALSE)</f>
        <v>January</v>
      </c>
      <c r="U460" s="10" t="str">
        <f>IF(AND(Cleaned_datasetB[[#This Row],[Day_Type]]="Weekday",Cleaned_datasetB[[#This Row],[Is_Holiday]]=FALSE),"Working Day","Non-Working Day")</f>
        <v>Working Day</v>
      </c>
    </row>
    <row r="461" spans="1:21">
      <c r="A461" s="10">
        <v>460</v>
      </c>
      <c r="B461" s="23">
        <v>40564</v>
      </c>
      <c r="C461" s="10">
        <v>1</v>
      </c>
      <c r="D461" s="10">
        <v>0</v>
      </c>
      <c r="E461" s="10">
        <v>1</v>
      </c>
      <c r="F461" s="10">
        <v>4</v>
      </c>
      <c r="G461" s="10" t="b">
        <v>0</v>
      </c>
      <c r="H461" s="10">
        <v>5</v>
      </c>
      <c r="I461" s="10" t="str">
        <f>IF(OR(Cleaned_datasetB[[#This Row],[Day_Code]]=0,Cleaned_datasetB[[#This Row],[Day_Code]]=6),"Weekend","Weekday")</f>
        <v>Weekday</v>
      </c>
      <c r="J461" s="10">
        <v>2</v>
      </c>
      <c r="K461" s="10">
        <v>0.22</v>
      </c>
      <c r="L461" s="51">
        <v>0.2576</v>
      </c>
      <c r="M461" s="10">
        <v>0.87</v>
      </c>
      <c r="N461" s="10">
        <v>8.9599999999999999E-2</v>
      </c>
      <c r="O461" s="10">
        <v>0</v>
      </c>
      <c r="P461" s="10">
        <v>1</v>
      </c>
      <c r="Q461" s="10">
        <v>1</v>
      </c>
      <c r="R461" s="10" t="str">
        <f>VLOOKUP(Cleaned_datasetB[[#This Row],[Weather_Code]],Lookup_Tables!$E$9:$F$13,2,FALSE)</f>
        <v>Cloudy</v>
      </c>
      <c r="S461" s="10" t="str">
        <f>INDEX(Lookup_Tables!$I$10:$I$16,MATCH(Cleaned_datasetB[[#This Row],[Day_Code]],Lookup_Tables!$H$10:$H$16,0))</f>
        <v>Friday</v>
      </c>
      <c r="T461" s="10" t="str">
        <f>VLOOKUP(Cleaned_datasetB[[#This Row],[Month]], Lookup_Tables!$K$8:$L$19, 2, FALSE)</f>
        <v>January</v>
      </c>
      <c r="U461" s="10" t="str">
        <f>IF(AND(Cleaned_datasetB[[#This Row],[Day_Type]]="Weekday",Cleaned_datasetB[[#This Row],[Is_Holiday]]=FALSE),"Working Day","Non-Working Day")</f>
        <v>Working Day</v>
      </c>
    </row>
    <row r="462" spans="1:21">
      <c r="A462" s="10">
        <v>461</v>
      </c>
      <c r="B462" s="23">
        <v>40564</v>
      </c>
      <c r="C462" s="10">
        <v>1</v>
      </c>
      <c r="D462" s="10">
        <v>0</v>
      </c>
      <c r="E462" s="10">
        <v>1</v>
      </c>
      <c r="F462" s="10">
        <v>5</v>
      </c>
      <c r="G462" s="10" t="b">
        <v>0</v>
      </c>
      <c r="H462" s="10">
        <v>5</v>
      </c>
      <c r="I462" s="10" t="str">
        <f>IF(OR(Cleaned_datasetB[[#This Row],[Day_Code]]=0,Cleaned_datasetB[[#This Row],[Day_Code]]=6),"Weekend","Weekday")</f>
        <v>Weekday</v>
      </c>
      <c r="J462" s="10">
        <v>1</v>
      </c>
      <c r="K462" s="10">
        <v>0.24</v>
      </c>
      <c r="L462" s="51">
        <v>0.19700000000000001</v>
      </c>
      <c r="M462" s="10">
        <v>0.6</v>
      </c>
      <c r="N462" s="10">
        <v>0.41789999999999999</v>
      </c>
      <c r="O462" s="10">
        <v>1</v>
      </c>
      <c r="P462" s="10">
        <v>4</v>
      </c>
      <c r="Q462" s="10">
        <v>5</v>
      </c>
      <c r="R462" s="10" t="str">
        <f>VLOOKUP(Cleaned_datasetB[[#This Row],[Weather_Code]],Lookup_Tables!$E$9:$F$13,2,FALSE)</f>
        <v>Clear</v>
      </c>
      <c r="S462" s="10" t="str">
        <f>INDEX(Lookup_Tables!$I$10:$I$16,MATCH(Cleaned_datasetB[[#This Row],[Day_Code]],Lookup_Tables!$H$10:$H$16,0))</f>
        <v>Friday</v>
      </c>
      <c r="T462" s="10" t="str">
        <f>VLOOKUP(Cleaned_datasetB[[#This Row],[Month]], Lookup_Tables!$K$8:$L$19, 2, FALSE)</f>
        <v>January</v>
      </c>
      <c r="U462" s="10" t="str">
        <f>IF(AND(Cleaned_datasetB[[#This Row],[Day_Type]]="Weekday",Cleaned_datasetB[[#This Row],[Is_Holiday]]=FALSE),"Working Day","Non-Working Day")</f>
        <v>Working Day</v>
      </c>
    </row>
    <row r="463" spans="1:21">
      <c r="A463" s="10">
        <v>462</v>
      </c>
      <c r="B463" s="23">
        <v>40564</v>
      </c>
      <c r="C463" s="10">
        <v>1</v>
      </c>
      <c r="D463" s="10">
        <v>0</v>
      </c>
      <c r="E463" s="10">
        <v>1</v>
      </c>
      <c r="F463" s="10">
        <v>6</v>
      </c>
      <c r="G463" s="10" t="b">
        <v>0</v>
      </c>
      <c r="H463" s="10">
        <v>5</v>
      </c>
      <c r="I463" s="10" t="str">
        <f>IF(OR(Cleaned_datasetB[[#This Row],[Day_Code]]=0,Cleaned_datasetB[[#This Row],[Day_Code]]=6),"Weekend","Weekday")</f>
        <v>Weekday</v>
      </c>
      <c r="J463" s="10">
        <v>1</v>
      </c>
      <c r="K463" s="10">
        <v>0.22</v>
      </c>
      <c r="L463" s="51">
        <v>0.21210000000000001</v>
      </c>
      <c r="M463" s="10">
        <v>0.55000000000000004</v>
      </c>
      <c r="N463" s="10">
        <v>0.25369999999999998</v>
      </c>
      <c r="O463" s="10">
        <v>0</v>
      </c>
      <c r="P463" s="10">
        <v>27</v>
      </c>
      <c r="Q463" s="10">
        <v>27</v>
      </c>
      <c r="R463" s="10" t="str">
        <f>VLOOKUP(Cleaned_datasetB[[#This Row],[Weather_Code]],Lookup_Tables!$E$9:$F$13,2,FALSE)</f>
        <v>Clear</v>
      </c>
      <c r="S463" s="10" t="str">
        <f>INDEX(Lookup_Tables!$I$10:$I$16,MATCH(Cleaned_datasetB[[#This Row],[Day_Code]],Lookup_Tables!$H$10:$H$16,0))</f>
        <v>Friday</v>
      </c>
      <c r="T463" s="10" t="str">
        <f>VLOOKUP(Cleaned_datasetB[[#This Row],[Month]], Lookup_Tables!$K$8:$L$19, 2, FALSE)</f>
        <v>January</v>
      </c>
      <c r="U463" s="10" t="str">
        <f>IF(AND(Cleaned_datasetB[[#This Row],[Day_Type]]="Weekday",Cleaned_datasetB[[#This Row],[Is_Holiday]]=FALSE),"Working Day","Non-Working Day")</f>
        <v>Working Day</v>
      </c>
    </row>
    <row r="464" spans="1:21">
      <c r="A464" s="10">
        <v>463</v>
      </c>
      <c r="B464" s="23">
        <v>40564</v>
      </c>
      <c r="C464" s="10">
        <v>1</v>
      </c>
      <c r="D464" s="10">
        <v>0</v>
      </c>
      <c r="E464" s="10">
        <v>1</v>
      </c>
      <c r="F464" s="10">
        <v>7</v>
      </c>
      <c r="G464" s="10" t="b">
        <v>0</v>
      </c>
      <c r="H464" s="10">
        <v>5</v>
      </c>
      <c r="I464" s="10" t="str">
        <f>IF(OR(Cleaned_datasetB[[#This Row],[Day_Code]]=0,Cleaned_datasetB[[#This Row],[Day_Code]]=6),"Weekend","Weekday")</f>
        <v>Weekday</v>
      </c>
      <c r="J464" s="10">
        <v>1</v>
      </c>
      <c r="K464" s="10">
        <v>0.2</v>
      </c>
      <c r="L464" s="51">
        <v>0.18179999999999999</v>
      </c>
      <c r="M464" s="10">
        <v>0.51</v>
      </c>
      <c r="N464" s="10">
        <v>0.28360000000000002</v>
      </c>
      <c r="O464" s="10">
        <v>2</v>
      </c>
      <c r="P464" s="10">
        <v>66</v>
      </c>
      <c r="Q464" s="10">
        <v>68</v>
      </c>
      <c r="R464" s="10" t="str">
        <f>VLOOKUP(Cleaned_datasetB[[#This Row],[Weather_Code]],Lookup_Tables!$E$9:$F$13,2,FALSE)</f>
        <v>Clear</v>
      </c>
      <c r="S464" s="10" t="str">
        <f>INDEX(Lookup_Tables!$I$10:$I$16,MATCH(Cleaned_datasetB[[#This Row],[Day_Code]],Lookup_Tables!$H$10:$H$16,0))</f>
        <v>Friday</v>
      </c>
      <c r="T464" s="10" t="str">
        <f>VLOOKUP(Cleaned_datasetB[[#This Row],[Month]], Lookup_Tables!$K$8:$L$19, 2, FALSE)</f>
        <v>January</v>
      </c>
      <c r="U464" s="10" t="str">
        <f>IF(AND(Cleaned_datasetB[[#This Row],[Day_Type]]="Weekday",Cleaned_datasetB[[#This Row],[Is_Holiday]]=FALSE),"Working Day","Non-Working Day")</f>
        <v>Working Day</v>
      </c>
    </row>
    <row r="465" spans="1:21">
      <c r="A465" s="10">
        <v>464</v>
      </c>
      <c r="B465" s="23">
        <v>40564</v>
      </c>
      <c r="C465" s="10">
        <v>1</v>
      </c>
      <c r="D465" s="10">
        <v>0</v>
      </c>
      <c r="E465" s="10">
        <v>1</v>
      </c>
      <c r="F465" s="10">
        <v>8</v>
      </c>
      <c r="G465" s="10" t="b">
        <v>0</v>
      </c>
      <c r="H465" s="10">
        <v>5</v>
      </c>
      <c r="I465" s="10" t="str">
        <f>IF(OR(Cleaned_datasetB[[#This Row],[Day_Code]]=0,Cleaned_datasetB[[#This Row],[Day_Code]]=6),"Weekend","Weekday")</f>
        <v>Weekday</v>
      </c>
      <c r="J465" s="10">
        <v>1</v>
      </c>
      <c r="K465" s="10">
        <v>0.2</v>
      </c>
      <c r="L465" s="51">
        <v>0.18179999999999999</v>
      </c>
      <c r="M465" s="10">
        <v>0.47</v>
      </c>
      <c r="N465" s="10">
        <v>0.32840000000000003</v>
      </c>
      <c r="O465" s="10">
        <v>7</v>
      </c>
      <c r="P465" s="10">
        <v>210</v>
      </c>
      <c r="Q465" s="10">
        <v>217</v>
      </c>
      <c r="R465" s="10" t="str">
        <f>VLOOKUP(Cleaned_datasetB[[#This Row],[Weather_Code]],Lookup_Tables!$E$9:$F$13,2,FALSE)</f>
        <v>Clear</v>
      </c>
      <c r="S465" s="10" t="str">
        <f>INDEX(Lookup_Tables!$I$10:$I$16,MATCH(Cleaned_datasetB[[#This Row],[Day_Code]],Lookup_Tables!$H$10:$H$16,0))</f>
        <v>Friday</v>
      </c>
      <c r="T465" s="10" t="str">
        <f>VLOOKUP(Cleaned_datasetB[[#This Row],[Month]], Lookup_Tables!$K$8:$L$19, 2, FALSE)</f>
        <v>January</v>
      </c>
      <c r="U465" s="10" t="str">
        <f>IF(AND(Cleaned_datasetB[[#This Row],[Day_Type]]="Weekday",Cleaned_datasetB[[#This Row],[Is_Holiday]]=FALSE),"Working Day","Non-Working Day")</f>
        <v>Working Day</v>
      </c>
    </row>
    <row r="466" spans="1:21">
      <c r="A466" s="10">
        <v>465</v>
      </c>
      <c r="B466" s="23">
        <v>40564</v>
      </c>
      <c r="C466" s="10">
        <v>1</v>
      </c>
      <c r="D466" s="10">
        <v>0</v>
      </c>
      <c r="E466" s="10">
        <v>1</v>
      </c>
      <c r="F466" s="10">
        <v>9</v>
      </c>
      <c r="G466" s="10" t="b">
        <v>0</v>
      </c>
      <c r="H466" s="10">
        <v>5</v>
      </c>
      <c r="I466" s="10" t="str">
        <f>IF(OR(Cleaned_datasetB[[#This Row],[Day_Code]]=0,Cleaned_datasetB[[#This Row],[Day_Code]]=6),"Weekend","Weekday")</f>
        <v>Weekday</v>
      </c>
      <c r="J466" s="10">
        <v>1</v>
      </c>
      <c r="K466" s="10">
        <v>0.2</v>
      </c>
      <c r="L466" s="51">
        <v>0.18179999999999999</v>
      </c>
      <c r="M466" s="10">
        <v>0.51</v>
      </c>
      <c r="N466" s="10">
        <v>0.35820000000000002</v>
      </c>
      <c r="O466" s="10">
        <v>7</v>
      </c>
      <c r="P466" s="10">
        <v>159</v>
      </c>
      <c r="Q466" s="10">
        <v>166</v>
      </c>
      <c r="R466" s="10" t="str">
        <f>VLOOKUP(Cleaned_datasetB[[#This Row],[Weather_Code]],Lookup_Tables!$E$9:$F$13,2,FALSE)</f>
        <v>Clear</v>
      </c>
      <c r="S466" s="10" t="str">
        <f>INDEX(Lookup_Tables!$I$10:$I$16,MATCH(Cleaned_datasetB[[#This Row],[Day_Code]],Lookup_Tables!$H$10:$H$16,0))</f>
        <v>Friday</v>
      </c>
      <c r="T466" s="10" t="str">
        <f>VLOOKUP(Cleaned_datasetB[[#This Row],[Month]], Lookup_Tables!$K$8:$L$19, 2, FALSE)</f>
        <v>January</v>
      </c>
      <c r="U466" s="10" t="str">
        <f>IF(AND(Cleaned_datasetB[[#This Row],[Day_Type]]="Weekday",Cleaned_datasetB[[#This Row],[Is_Holiday]]=FALSE),"Working Day","Non-Working Day")</f>
        <v>Working Day</v>
      </c>
    </row>
    <row r="467" spans="1:21">
      <c r="A467" s="10">
        <v>466</v>
      </c>
      <c r="B467" s="23">
        <v>40564</v>
      </c>
      <c r="C467" s="10">
        <v>1</v>
      </c>
      <c r="D467" s="10">
        <v>0</v>
      </c>
      <c r="E467" s="10">
        <v>1</v>
      </c>
      <c r="F467" s="10">
        <v>10</v>
      </c>
      <c r="G467" s="10" t="b">
        <v>0</v>
      </c>
      <c r="H467" s="10">
        <v>5</v>
      </c>
      <c r="I467" s="10" t="str">
        <f>IF(OR(Cleaned_datasetB[[#This Row],[Day_Code]]=0,Cleaned_datasetB[[#This Row],[Day_Code]]=6),"Weekend","Weekday")</f>
        <v>Weekday</v>
      </c>
      <c r="J467" s="10">
        <v>1</v>
      </c>
      <c r="K467" s="10">
        <v>0.2</v>
      </c>
      <c r="L467" s="51">
        <v>0.16669999999999999</v>
      </c>
      <c r="M467" s="10">
        <v>0.47</v>
      </c>
      <c r="N467" s="10">
        <v>0.4627</v>
      </c>
      <c r="O467" s="10">
        <v>6</v>
      </c>
      <c r="P467" s="10">
        <v>57</v>
      </c>
      <c r="Q467" s="10">
        <v>63</v>
      </c>
      <c r="R467" s="10" t="str">
        <f>VLOOKUP(Cleaned_datasetB[[#This Row],[Weather_Code]],Lookup_Tables!$E$9:$F$13,2,FALSE)</f>
        <v>Clear</v>
      </c>
      <c r="S467" s="10" t="str">
        <f>INDEX(Lookup_Tables!$I$10:$I$16,MATCH(Cleaned_datasetB[[#This Row],[Day_Code]],Lookup_Tables!$H$10:$H$16,0))</f>
        <v>Friday</v>
      </c>
      <c r="T467" s="10" t="str">
        <f>VLOOKUP(Cleaned_datasetB[[#This Row],[Month]], Lookup_Tables!$K$8:$L$19, 2, FALSE)</f>
        <v>January</v>
      </c>
      <c r="U467" s="10" t="str">
        <f>IF(AND(Cleaned_datasetB[[#This Row],[Day_Type]]="Weekday",Cleaned_datasetB[[#This Row],[Is_Holiday]]=FALSE),"Working Day","Non-Working Day")</f>
        <v>Working Day</v>
      </c>
    </row>
    <row r="468" spans="1:21">
      <c r="A468" s="10">
        <v>467</v>
      </c>
      <c r="B468" s="23">
        <v>40564</v>
      </c>
      <c r="C468" s="10">
        <v>1</v>
      </c>
      <c r="D468" s="10">
        <v>0</v>
      </c>
      <c r="E468" s="10">
        <v>1</v>
      </c>
      <c r="F468" s="10">
        <v>11</v>
      </c>
      <c r="G468" s="10" t="b">
        <v>0</v>
      </c>
      <c r="H468" s="10">
        <v>5</v>
      </c>
      <c r="I468" s="10" t="str">
        <f>IF(OR(Cleaned_datasetB[[#This Row],[Day_Code]]=0,Cleaned_datasetB[[#This Row],[Day_Code]]=6),"Weekend","Weekday")</f>
        <v>Weekday</v>
      </c>
      <c r="J468" s="10">
        <v>1</v>
      </c>
      <c r="K468" s="10">
        <v>0.22</v>
      </c>
      <c r="L468" s="51">
        <v>0.18179999999999999</v>
      </c>
      <c r="M468" s="10">
        <v>0.41</v>
      </c>
      <c r="N468" s="10">
        <v>0.4627</v>
      </c>
      <c r="O468" s="10">
        <v>6</v>
      </c>
      <c r="P468" s="10">
        <v>53</v>
      </c>
      <c r="Q468" s="10">
        <v>59</v>
      </c>
      <c r="R468" s="10" t="str">
        <f>VLOOKUP(Cleaned_datasetB[[#This Row],[Weather_Code]],Lookup_Tables!$E$9:$F$13,2,FALSE)</f>
        <v>Clear</v>
      </c>
      <c r="S468" s="10" t="str">
        <f>INDEX(Lookup_Tables!$I$10:$I$16,MATCH(Cleaned_datasetB[[#This Row],[Day_Code]],Lookup_Tables!$H$10:$H$16,0))</f>
        <v>Friday</v>
      </c>
      <c r="T468" s="10" t="str">
        <f>VLOOKUP(Cleaned_datasetB[[#This Row],[Month]], Lookup_Tables!$K$8:$L$19, 2, FALSE)</f>
        <v>January</v>
      </c>
      <c r="U468" s="10" t="str">
        <f>IF(AND(Cleaned_datasetB[[#This Row],[Day_Type]]="Weekday",Cleaned_datasetB[[#This Row],[Is_Holiday]]=FALSE),"Working Day","Non-Working Day")</f>
        <v>Working Day</v>
      </c>
    </row>
    <row r="469" spans="1:21">
      <c r="A469" s="10">
        <v>468</v>
      </c>
      <c r="B469" s="23">
        <v>40564</v>
      </c>
      <c r="C469" s="10">
        <v>1</v>
      </c>
      <c r="D469" s="10">
        <v>0</v>
      </c>
      <c r="E469" s="10">
        <v>1</v>
      </c>
      <c r="F469" s="10">
        <v>12</v>
      </c>
      <c r="G469" s="10" t="b">
        <v>0</v>
      </c>
      <c r="H469" s="10">
        <v>5</v>
      </c>
      <c r="I469" s="10" t="str">
        <f>IF(OR(Cleaned_datasetB[[#This Row],[Day_Code]]=0,Cleaned_datasetB[[#This Row],[Day_Code]]=6),"Weekend","Weekday")</f>
        <v>Weekday</v>
      </c>
      <c r="J469" s="10">
        <v>1</v>
      </c>
      <c r="K469" s="10">
        <v>0.22</v>
      </c>
      <c r="L469" s="51">
        <v>0.18179999999999999</v>
      </c>
      <c r="M469" s="10">
        <v>0.27</v>
      </c>
      <c r="N469" s="10">
        <v>0.58209999999999995</v>
      </c>
      <c r="O469" s="10">
        <v>11</v>
      </c>
      <c r="P469" s="10">
        <v>67</v>
      </c>
      <c r="Q469" s="10">
        <v>78</v>
      </c>
      <c r="R469" s="10" t="str">
        <f>VLOOKUP(Cleaned_datasetB[[#This Row],[Weather_Code]],Lookup_Tables!$E$9:$F$13,2,FALSE)</f>
        <v>Clear</v>
      </c>
      <c r="S469" s="10" t="str">
        <f>INDEX(Lookup_Tables!$I$10:$I$16,MATCH(Cleaned_datasetB[[#This Row],[Day_Code]],Lookup_Tables!$H$10:$H$16,0))</f>
        <v>Friday</v>
      </c>
      <c r="T469" s="10" t="str">
        <f>VLOOKUP(Cleaned_datasetB[[#This Row],[Month]], Lookup_Tables!$K$8:$L$19, 2, FALSE)</f>
        <v>January</v>
      </c>
      <c r="U469" s="10" t="str">
        <f>IF(AND(Cleaned_datasetB[[#This Row],[Day_Type]]="Weekday",Cleaned_datasetB[[#This Row],[Is_Holiday]]=FALSE),"Working Day","Non-Working Day")</f>
        <v>Working Day</v>
      </c>
    </row>
    <row r="470" spans="1:21">
      <c r="A470" s="10">
        <v>469</v>
      </c>
      <c r="B470" s="23">
        <v>40564</v>
      </c>
      <c r="C470" s="10">
        <v>1</v>
      </c>
      <c r="D470" s="10">
        <v>0</v>
      </c>
      <c r="E470" s="10">
        <v>1</v>
      </c>
      <c r="F470" s="10">
        <v>13</v>
      </c>
      <c r="G470" s="10" t="b">
        <v>0</v>
      </c>
      <c r="H470" s="10">
        <v>5</v>
      </c>
      <c r="I470" s="10" t="str">
        <f>IF(OR(Cleaned_datasetB[[#This Row],[Day_Code]]=0,Cleaned_datasetB[[#This Row],[Day_Code]]=6),"Weekend","Weekday")</f>
        <v>Weekday</v>
      </c>
      <c r="J470" s="10">
        <v>1</v>
      </c>
      <c r="K470" s="10">
        <v>0.2</v>
      </c>
      <c r="L470" s="51">
        <v>0.1515</v>
      </c>
      <c r="M470" s="10">
        <v>0.21</v>
      </c>
      <c r="N470" s="10">
        <v>0.58209999999999995</v>
      </c>
      <c r="O470" s="10">
        <v>8</v>
      </c>
      <c r="P470" s="10">
        <v>65</v>
      </c>
      <c r="Q470" s="10">
        <v>73</v>
      </c>
      <c r="R470" s="10" t="str">
        <f>VLOOKUP(Cleaned_datasetB[[#This Row],[Weather_Code]],Lookup_Tables!$E$9:$F$13,2,FALSE)</f>
        <v>Clear</v>
      </c>
      <c r="S470" s="10" t="str">
        <f>INDEX(Lookup_Tables!$I$10:$I$16,MATCH(Cleaned_datasetB[[#This Row],[Day_Code]],Lookup_Tables!$H$10:$H$16,0))</f>
        <v>Friday</v>
      </c>
      <c r="T470" s="10" t="str">
        <f>VLOOKUP(Cleaned_datasetB[[#This Row],[Month]], Lookup_Tables!$K$8:$L$19, 2, FALSE)</f>
        <v>January</v>
      </c>
      <c r="U470" s="10" t="str">
        <f>IF(AND(Cleaned_datasetB[[#This Row],[Day_Type]]="Weekday",Cleaned_datasetB[[#This Row],[Is_Holiday]]=FALSE),"Working Day","Non-Working Day")</f>
        <v>Working Day</v>
      </c>
    </row>
    <row r="471" spans="1:21">
      <c r="A471" s="10">
        <v>470</v>
      </c>
      <c r="B471" s="23">
        <v>40564</v>
      </c>
      <c r="C471" s="10">
        <v>1</v>
      </c>
      <c r="D471" s="10">
        <v>0</v>
      </c>
      <c r="E471" s="10">
        <v>1</v>
      </c>
      <c r="F471" s="10">
        <v>14</v>
      </c>
      <c r="G471" s="10" t="b">
        <v>0</v>
      </c>
      <c r="H471" s="10">
        <v>5</v>
      </c>
      <c r="I471" s="10" t="str">
        <f>IF(OR(Cleaned_datasetB[[#This Row],[Day_Code]]=0,Cleaned_datasetB[[#This Row],[Day_Code]]=6),"Weekend","Weekday")</f>
        <v>Weekday</v>
      </c>
      <c r="J471" s="10">
        <v>1</v>
      </c>
      <c r="K471" s="10">
        <v>0.2</v>
      </c>
      <c r="L471" s="51">
        <v>0.1515</v>
      </c>
      <c r="M471" s="10">
        <v>0.25</v>
      </c>
      <c r="N471" s="10">
        <v>0.52239999999999998</v>
      </c>
      <c r="O471" s="10">
        <v>6</v>
      </c>
      <c r="P471" s="10">
        <v>56</v>
      </c>
      <c r="Q471" s="10">
        <v>62</v>
      </c>
      <c r="R471" s="10" t="str">
        <f>VLOOKUP(Cleaned_datasetB[[#This Row],[Weather_Code]],Lookup_Tables!$E$9:$F$13,2,FALSE)</f>
        <v>Clear</v>
      </c>
      <c r="S471" s="10" t="str">
        <f>INDEX(Lookup_Tables!$I$10:$I$16,MATCH(Cleaned_datasetB[[#This Row],[Day_Code]],Lookup_Tables!$H$10:$H$16,0))</f>
        <v>Friday</v>
      </c>
      <c r="T471" s="10" t="str">
        <f>VLOOKUP(Cleaned_datasetB[[#This Row],[Month]], Lookup_Tables!$K$8:$L$19, 2, FALSE)</f>
        <v>January</v>
      </c>
      <c r="U471" s="10" t="str">
        <f>IF(AND(Cleaned_datasetB[[#This Row],[Day_Type]]="Weekday",Cleaned_datasetB[[#This Row],[Is_Holiday]]=FALSE),"Working Day","Non-Working Day")</f>
        <v>Working Day</v>
      </c>
    </row>
    <row r="472" spans="1:21">
      <c r="A472" s="10">
        <v>471</v>
      </c>
      <c r="B472" s="23">
        <v>40564</v>
      </c>
      <c r="C472" s="10">
        <v>1</v>
      </c>
      <c r="D472" s="10">
        <v>0</v>
      </c>
      <c r="E472" s="10">
        <v>1</v>
      </c>
      <c r="F472" s="10">
        <v>15</v>
      </c>
      <c r="G472" s="10" t="b">
        <v>0</v>
      </c>
      <c r="H472" s="10">
        <v>5</v>
      </c>
      <c r="I472" s="10" t="str">
        <f>IF(OR(Cleaned_datasetB[[#This Row],[Day_Code]]=0,Cleaned_datasetB[[#This Row],[Day_Code]]=6),"Weekend","Weekday")</f>
        <v>Weekday</v>
      </c>
      <c r="J472" s="10">
        <v>1</v>
      </c>
      <c r="K472" s="10">
        <v>0.16</v>
      </c>
      <c r="L472" s="51">
        <v>0.1212</v>
      </c>
      <c r="M472" s="10">
        <v>0.26</v>
      </c>
      <c r="N472" s="10">
        <v>0.44779999999999998</v>
      </c>
      <c r="O472" s="10">
        <v>4</v>
      </c>
      <c r="P472" s="10">
        <v>61</v>
      </c>
      <c r="Q472" s="10">
        <v>65</v>
      </c>
      <c r="R472" s="10" t="str">
        <f>VLOOKUP(Cleaned_datasetB[[#This Row],[Weather_Code]],Lookup_Tables!$E$9:$F$13,2,FALSE)</f>
        <v>Clear</v>
      </c>
      <c r="S472" s="10" t="str">
        <f>INDEX(Lookup_Tables!$I$10:$I$16,MATCH(Cleaned_datasetB[[#This Row],[Day_Code]],Lookup_Tables!$H$10:$H$16,0))</f>
        <v>Friday</v>
      </c>
      <c r="T472" s="10" t="str">
        <f>VLOOKUP(Cleaned_datasetB[[#This Row],[Month]], Lookup_Tables!$K$8:$L$19, 2, FALSE)</f>
        <v>January</v>
      </c>
      <c r="U472" s="10" t="str">
        <f>IF(AND(Cleaned_datasetB[[#This Row],[Day_Type]]="Weekday",Cleaned_datasetB[[#This Row],[Is_Holiday]]=FALSE),"Working Day","Non-Working Day")</f>
        <v>Working Day</v>
      </c>
    </row>
    <row r="473" spans="1:21">
      <c r="A473" s="10">
        <v>472</v>
      </c>
      <c r="B473" s="23">
        <v>40564</v>
      </c>
      <c r="C473" s="10">
        <v>1</v>
      </c>
      <c r="D473" s="10">
        <v>0</v>
      </c>
      <c r="E473" s="10">
        <v>1</v>
      </c>
      <c r="F473" s="10">
        <v>16</v>
      </c>
      <c r="G473" s="10" t="b">
        <v>0</v>
      </c>
      <c r="H473" s="10">
        <v>5</v>
      </c>
      <c r="I473" s="10" t="str">
        <f>IF(OR(Cleaned_datasetB[[#This Row],[Day_Code]]=0,Cleaned_datasetB[[#This Row],[Day_Code]]=6),"Weekend","Weekday")</f>
        <v>Weekday</v>
      </c>
      <c r="J473" s="10">
        <v>1</v>
      </c>
      <c r="K473" s="10">
        <v>0.16</v>
      </c>
      <c r="L473" s="51">
        <v>0.13639999999999999</v>
      </c>
      <c r="M473" s="10">
        <v>0.26</v>
      </c>
      <c r="N473" s="10">
        <v>0.35820000000000002</v>
      </c>
      <c r="O473" s="10">
        <v>0</v>
      </c>
      <c r="P473" s="10">
        <v>97</v>
      </c>
      <c r="Q473" s="10">
        <v>97</v>
      </c>
      <c r="R473" s="10" t="str">
        <f>VLOOKUP(Cleaned_datasetB[[#This Row],[Weather_Code]],Lookup_Tables!$E$9:$F$13,2,FALSE)</f>
        <v>Clear</v>
      </c>
      <c r="S473" s="10" t="str">
        <f>INDEX(Lookup_Tables!$I$10:$I$16,MATCH(Cleaned_datasetB[[#This Row],[Day_Code]],Lookup_Tables!$H$10:$H$16,0))</f>
        <v>Friday</v>
      </c>
      <c r="T473" s="10" t="str">
        <f>VLOOKUP(Cleaned_datasetB[[#This Row],[Month]], Lookup_Tables!$K$8:$L$19, 2, FALSE)</f>
        <v>January</v>
      </c>
      <c r="U473" s="10" t="str">
        <f>IF(AND(Cleaned_datasetB[[#This Row],[Day_Type]]="Weekday",Cleaned_datasetB[[#This Row],[Is_Holiday]]=FALSE),"Working Day","Non-Working Day")</f>
        <v>Working Day</v>
      </c>
    </row>
    <row r="474" spans="1:21">
      <c r="A474" s="10">
        <v>473</v>
      </c>
      <c r="B474" s="23">
        <v>40564</v>
      </c>
      <c r="C474" s="10">
        <v>1</v>
      </c>
      <c r="D474" s="10">
        <v>0</v>
      </c>
      <c r="E474" s="10">
        <v>1</v>
      </c>
      <c r="F474" s="10">
        <v>17</v>
      </c>
      <c r="G474" s="10" t="b">
        <v>0</v>
      </c>
      <c r="H474" s="10">
        <v>5</v>
      </c>
      <c r="I474" s="10" t="str">
        <f>IF(OR(Cleaned_datasetB[[#This Row],[Day_Code]]=0,Cleaned_datasetB[[#This Row],[Day_Code]]=6),"Weekend","Weekday")</f>
        <v>Weekday</v>
      </c>
      <c r="J474" s="10">
        <v>1</v>
      </c>
      <c r="K474" s="10">
        <v>0.14000000000000001</v>
      </c>
      <c r="L474" s="51">
        <v>0.1212</v>
      </c>
      <c r="M474" s="10">
        <v>0.28000000000000003</v>
      </c>
      <c r="N474" s="10">
        <v>0.35820000000000002</v>
      </c>
      <c r="O474" s="10">
        <v>10</v>
      </c>
      <c r="P474" s="10">
        <v>151</v>
      </c>
      <c r="Q474" s="10">
        <v>161</v>
      </c>
      <c r="R474" s="10" t="str">
        <f>VLOOKUP(Cleaned_datasetB[[#This Row],[Weather_Code]],Lookup_Tables!$E$9:$F$13,2,FALSE)</f>
        <v>Clear</v>
      </c>
      <c r="S474" s="10" t="str">
        <f>INDEX(Lookup_Tables!$I$10:$I$16,MATCH(Cleaned_datasetB[[#This Row],[Day_Code]],Lookup_Tables!$H$10:$H$16,0))</f>
        <v>Friday</v>
      </c>
      <c r="T474" s="10" t="str">
        <f>VLOOKUP(Cleaned_datasetB[[#This Row],[Month]], Lookup_Tables!$K$8:$L$19, 2, FALSE)</f>
        <v>January</v>
      </c>
      <c r="U474" s="10" t="str">
        <f>IF(AND(Cleaned_datasetB[[#This Row],[Day_Type]]="Weekday",Cleaned_datasetB[[#This Row],[Is_Holiday]]=FALSE),"Working Day","Non-Working Day")</f>
        <v>Working Day</v>
      </c>
    </row>
    <row r="475" spans="1:21">
      <c r="A475" s="10">
        <v>474</v>
      </c>
      <c r="B475" s="23">
        <v>40564</v>
      </c>
      <c r="C475" s="10">
        <v>1</v>
      </c>
      <c r="D475" s="10">
        <v>0</v>
      </c>
      <c r="E475" s="10">
        <v>1</v>
      </c>
      <c r="F475" s="10">
        <v>18</v>
      </c>
      <c r="G475" s="10" t="b">
        <v>0</v>
      </c>
      <c r="H475" s="10">
        <v>5</v>
      </c>
      <c r="I475" s="10" t="str">
        <f>IF(OR(Cleaned_datasetB[[#This Row],[Day_Code]]=0,Cleaned_datasetB[[#This Row],[Day_Code]]=6),"Weekend","Weekday")</f>
        <v>Weekday</v>
      </c>
      <c r="J475" s="10">
        <v>1</v>
      </c>
      <c r="K475" s="10">
        <v>0.12</v>
      </c>
      <c r="L475" s="51">
        <v>0.1212</v>
      </c>
      <c r="M475" s="10">
        <v>0.3</v>
      </c>
      <c r="N475" s="10">
        <v>0.25369999999999998</v>
      </c>
      <c r="O475" s="10">
        <v>1</v>
      </c>
      <c r="P475" s="10">
        <v>119</v>
      </c>
      <c r="Q475" s="10">
        <v>120</v>
      </c>
      <c r="R475" s="10" t="str">
        <f>VLOOKUP(Cleaned_datasetB[[#This Row],[Weather_Code]],Lookup_Tables!$E$9:$F$13,2,FALSE)</f>
        <v>Clear</v>
      </c>
      <c r="S475" s="10" t="str">
        <f>INDEX(Lookup_Tables!$I$10:$I$16,MATCH(Cleaned_datasetB[[#This Row],[Day_Code]],Lookup_Tables!$H$10:$H$16,0))</f>
        <v>Friday</v>
      </c>
      <c r="T475" s="10" t="str">
        <f>VLOOKUP(Cleaned_datasetB[[#This Row],[Month]], Lookup_Tables!$K$8:$L$19, 2, FALSE)</f>
        <v>January</v>
      </c>
      <c r="U475" s="10" t="str">
        <f>IF(AND(Cleaned_datasetB[[#This Row],[Day_Type]]="Weekday",Cleaned_datasetB[[#This Row],[Is_Holiday]]=FALSE),"Working Day","Non-Working Day")</f>
        <v>Working Day</v>
      </c>
    </row>
    <row r="476" spans="1:21">
      <c r="A476" s="10">
        <v>475</v>
      </c>
      <c r="B476" s="23">
        <v>40564</v>
      </c>
      <c r="C476" s="10">
        <v>1</v>
      </c>
      <c r="D476" s="10">
        <v>0</v>
      </c>
      <c r="E476" s="10">
        <v>1</v>
      </c>
      <c r="F476" s="10">
        <v>19</v>
      </c>
      <c r="G476" s="10" t="b">
        <v>0</v>
      </c>
      <c r="H476" s="10">
        <v>5</v>
      </c>
      <c r="I476" s="10" t="str">
        <f>IF(OR(Cleaned_datasetB[[#This Row],[Day_Code]]=0,Cleaned_datasetB[[#This Row],[Day_Code]]=6),"Weekend","Weekday")</f>
        <v>Weekday</v>
      </c>
      <c r="J476" s="10">
        <v>1</v>
      </c>
      <c r="K476" s="10">
        <v>0.12</v>
      </c>
      <c r="L476" s="51">
        <v>0.1061</v>
      </c>
      <c r="M476" s="10">
        <v>0.3</v>
      </c>
      <c r="N476" s="10">
        <v>0.32840000000000003</v>
      </c>
      <c r="O476" s="10">
        <v>3</v>
      </c>
      <c r="P476" s="10">
        <v>93</v>
      </c>
      <c r="Q476" s="10">
        <v>96</v>
      </c>
      <c r="R476" s="10" t="str">
        <f>VLOOKUP(Cleaned_datasetB[[#This Row],[Weather_Code]],Lookup_Tables!$E$9:$F$13,2,FALSE)</f>
        <v>Clear</v>
      </c>
      <c r="S476" s="10" t="str">
        <f>INDEX(Lookup_Tables!$I$10:$I$16,MATCH(Cleaned_datasetB[[#This Row],[Day_Code]],Lookup_Tables!$H$10:$H$16,0))</f>
        <v>Friday</v>
      </c>
      <c r="T476" s="10" t="str">
        <f>VLOOKUP(Cleaned_datasetB[[#This Row],[Month]], Lookup_Tables!$K$8:$L$19, 2, FALSE)</f>
        <v>January</v>
      </c>
      <c r="U476" s="10" t="str">
        <f>IF(AND(Cleaned_datasetB[[#This Row],[Day_Type]]="Weekday",Cleaned_datasetB[[#This Row],[Is_Holiday]]=FALSE),"Working Day","Non-Working Day")</f>
        <v>Working Day</v>
      </c>
    </row>
    <row r="477" spans="1:21">
      <c r="A477" s="10">
        <v>476</v>
      </c>
      <c r="B477" s="23">
        <v>40564</v>
      </c>
      <c r="C477" s="10">
        <v>1</v>
      </c>
      <c r="D477" s="10">
        <v>0</v>
      </c>
      <c r="E477" s="10">
        <v>1</v>
      </c>
      <c r="F477" s="10">
        <v>20</v>
      </c>
      <c r="G477" s="10" t="b">
        <v>0</v>
      </c>
      <c r="H477" s="10">
        <v>5</v>
      </c>
      <c r="I477" s="10" t="str">
        <f>IF(OR(Cleaned_datasetB[[#This Row],[Day_Code]]=0,Cleaned_datasetB[[#This Row],[Day_Code]]=6),"Weekend","Weekday")</f>
        <v>Weekday</v>
      </c>
      <c r="J477" s="10">
        <v>1</v>
      </c>
      <c r="K477" s="10">
        <v>0.1</v>
      </c>
      <c r="L477" s="51">
        <v>7.5800000000000006E-2</v>
      </c>
      <c r="M477" s="10">
        <v>0.33</v>
      </c>
      <c r="N477" s="10">
        <v>0.41789999999999999</v>
      </c>
      <c r="O477" s="10">
        <v>1</v>
      </c>
      <c r="P477" s="10">
        <v>52</v>
      </c>
      <c r="Q477" s="10">
        <v>53</v>
      </c>
      <c r="R477" s="10" t="str">
        <f>VLOOKUP(Cleaned_datasetB[[#This Row],[Weather_Code]],Lookup_Tables!$E$9:$F$13,2,FALSE)</f>
        <v>Clear</v>
      </c>
      <c r="S477" s="10" t="str">
        <f>INDEX(Lookup_Tables!$I$10:$I$16,MATCH(Cleaned_datasetB[[#This Row],[Day_Code]],Lookup_Tables!$H$10:$H$16,0))</f>
        <v>Friday</v>
      </c>
      <c r="T477" s="10" t="str">
        <f>VLOOKUP(Cleaned_datasetB[[#This Row],[Month]], Lookup_Tables!$K$8:$L$19, 2, FALSE)</f>
        <v>January</v>
      </c>
      <c r="U477" s="10" t="str">
        <f>IF(AND(Cleaned_datasetB[[#This Row],[Day_Type]]="Weekday",Cleaned_datasetB[[#This Row],[Is_Holiday]]=FALSE),"Working Day","Non-Working Day")</f>
        <v>Working Day</v>
      </c>
    </row>
    <row r="478" spans="1:21">
      <c r="A478" s="10">
        <v>477</v>
      </c>
      <c r="B478" s="23">
        <v>40564</v>
      </c>
      <c r="C478" s="10">
        <v>1</v>
      </c>
      <c r="D478" s="10">
        <v>0</v>
      </c>
      <c r="E478" s="10">
        <v>1</v>
      </c>
      <c r="F478" s="10">
        <v>21</v>
      </c>
      <c r="G478" s="10" t="b">
        <v>0</v>
      </c>
      <c r="H478" s="10">
        <v>5</v>
      </c>
      <c r="I478" s="10" t="str">
        <f>IF(OR(Cleaned_datasetB[[#This Row],[Day_Code]]=0,Cleaned_datasetB[[#This Row],[Day_Code]]=6),"Weekend","Weekday")</f>
        <v>Weekday</v>
      </c>
      <c r="J478" s="10">
        <v>1</v>
      </c>
      <c r="K478" s="10">
        <v>0.08</v>
      </c>
      <c r="L478" s="51">
        <v>7.5800000000000006E-2</v>
      </c>
      <c r="M478" s="10">
        <v>0.38</v>
      </c>
      <c r="N478" s="10">
        <v>0.28360000000000002</v>
      </c>
      <c r="O478" s="10">
        <v>0</v>
      </c>
      <c r="P478" s="10">
        <v>41</v>
      </c>
      <c r="Q478" s="10">
        <v>41</v>
      </c>
      <c r="R478" s="10" t="str">
        <f>VLOOKUP(Cleaned_datasetB[[#This Row],[Weather_Code]],Lookup_Tables!$E$9:$F$13,2,FALSE)</f>
        <v>Clear</v>
      </c>
      <c r="S478" s="10" t="str">
        <f>INDEX(Lookup_Tables!$I$10:$I$16,MATCH(Cleaned_datasetB[[#This Row],[Day_Code]],Lookup_Tables!$H$10:$H$16,0))</f>
        <v>Friday</v>
      </c>
      <c r="T478" s="10" t="str">
        <f>VLOOKUP(Cleaned_datasetB[[#This Row],[Month]], Lookup_Tables!$K$8:$L$19, 2, FALSE)</f>
        <v>January</v>
      </c>
      <c r="U478" s="10" t="str">
        <f>IF(AND(Cleaned_datasetB[[#This Row],[Day_Type]]="Weekday",Cleaned_datasetB[[#This Row],[Is_Holiday]]=FALSE),"Working Day","Non-Working Day")</f>
        <v>Working Day</v>
      </c>
    </row>
    <row r="479" spans="1:21">
      <c r="A479" s="10">
        <v>478</v>
      </c>
      <c r="B479" s="23">
        <v>40564</v>
      </c>
      <c r="C479" s="10">
        <v>1</v>
      </c>
      <c r="D479" s="10">
        <v>0</v>
      </c>
      <c r="E479" s="10">
        <v>1</v>
      </c>
      <c r="F479" s="10">
        <v>22</v>
      </c>
      <c r="G479" s="10" t="b">
        <v>0</v>
      </c>
      <c r="H479" s="10">
        <v>5</v>
      </c>
      <c r="I479" s="10" t="str">
        <f>IF(OR(Cleaned_datasetB[[#This Row],[Day_Code]]=0,Cleaned_datasetB[[#This Row],[Day_Code]]=6),"Weekend","Weekday")</f>
        <v>Weekday</v>
      </c>
      <c r="J479" s="10">
        <v>1</v>
      </c>
      <c r="K479" s="10">
        <v>0.06</v>
      </c>
      <c r="L479" s="51">
        <v>3.0300000000000001E-2</v>
      </c>
      <c r="M479" s="10">
        <v>0.41</v>
      </c>
      <c r="N479" s="10">
        <v>0.3881</v>
      </c>
      <c r="O479" s="10">
        <v>1</v>
      </c>
      <c r="P479" s="10">
        <v>33</v>
      </c>
      <c r="Q479" s="10">
        <v>34</v>
      </c>
      <c r="R479" s="10" t="str">
        <f>VLOOKUP(Cleaned_datasetB[[#This Row],[Weather_Code]],Lookup_Tables!$E$9:$F$13,2,FALSE)</f>
        <v>Clear</v>
      </c>
      <c r="S479" s="10" t="str">
        <f>INDEX(Lookup_Tables!$I$10:$I$16,MATCH(Cleaned_datasetB[[#This Row],[Day_Code]],Lookup_Tables!$H$10:$H$16,0))</f>
        <v>Friday</v>
      </c>
      <c r="T479" s="10" t="str">
        <f>VLOOKUP(Cleaned_datasetB[[#This Row],[Month]], Lookup_Tables!$K$8:$L$19, 2, FALSE)</f>
        <v>January</v>
      </c>
      <c r="U479" s="10" t="str">
        <f>IF(AND(Cleaned_datasetB[[#This Row],[Day_Type]]="Weekday",Cleaned_datasetB[[#This Row],[Is_Holiday]]=FALSE),"Working Day","Non-Working Day")</f>
        <v>Working Day</v>
      </c>
    </row>
    <row r="480" spans="1:21">
      <c r="A480" s="10">
        <v>479</v>
      </c>
      <c r="B480" s="23">
        <v>40564</v>
      </c>
      <c r="C480" s="10">
        <v>1</v>
      </c>
      <c r="D480" s="10">
        <v>0</v>
      </c>
      <c r="E480" s="10">
        <v>1</v>
      </c>
      <c r="F480" s="10">
        <v>23</v>
      </c>
      <c r="G480" s="10" t="b">
        <v>0</v>
      </c>
      <c r="H480" s="10">
        <v>5</v>
      </c>
      <c r="I480" s="10" t="str">
        <f>IF(OR(Cleaned_datasetB[[#This Row],[Day_Code]]=0,Cleaned_datasetB[[#This Row],[Day_Code]]=6),"Weekend","Weekday")</f>
        <v>Weekday</v>
      </c>
      <c r="J480" s="10">
        <v>1</v>
      </c>
      <c r="K480" s="10">
        <v>0.06</v>
      </c>
      <c r="L480" s="51">
        <v>4.5499999999999999E-2</v>
      </c>
      <c r="M480" s="10">
        <v>0.38</v>
      </c>
      <c r="N480" s="10">
        <v>0.32840000000000003</v>
      </c>
      <c r="O480" s="10">
        <v>0</v>
      </c>
      <c r="P480" s="10">
        <v>27</v>
      </c>
      <c r="Q480" s="10">
        <v>27</v>
      </c>
      <c r="R480" s="10" t="str">
        <f>VLOOKUP(Cleaned_datasetB[[#This Row],[Weather_Code]],Lookup_Tables!$E$9:$F$13,2,FALSE)</f>
        <v>Clear</v>
      </c>
      <c r="S480" s="10" t="str">
        <f>INDEX(Lookup_Tables!$I$10:$I$16,MATCH(Cleaned_datasetB[[#This Row],[Day_Code]],Lookup_Tables!$H$10:$H$16,0))</f>
        <v>Friday</v>
      </c>
      <c r="T480" s="10" t="str">
        <f>VLOOKUP(Cleaned_datasetB[[#This Row],[Month]], Lookup_Tables!$K$8:$L$19, 2, FALSE)</f>
        <v>January</v>
      </c>
      <c r="U480" s="10" t="str">
        <f>IF(AND(Cleaned_datasetB[[#This Row],[Day_Type]]="Weekday",Cleaned_datasetB[[#This Row],[Is_Holiday]]=FALSE),"Working Day","Non-Working Day")</f>
        <v>Working Day</v>
      </c>
    </row>
    <row r="481" spans="1:21">
      <c r="A481" s="10">
        <v>480</v>
      </c>
      <c r="B481" s="23">
        <v>40565</v>
      </c>
      <c r="C481" s="10">
        <v>1</v>
      </c>
      <c r="D481" s="10">
        <v>0</v>
      </c>
      <c r="E481" s="10">
        <v>1</v>
      </c>
      <c r="F481" s="10">
        <v>0</v>
      </c>
      <c r="G481" s="10" t="b">
        <v>0</v>
      </c>
      <c r="H481" s="10">
        <v>6</v>
      </c>
      <c r="I481" s="10" t="str">
        <f>IF(OR(Cleaned_datasetB[[#This Row],[Day_Code]]=0,Cleaned_datasetB[[#This Row],[Day_Code]]=6),"Weekend","Weekday")</f>
        <v>Weekend</v>
      </c>
      <c r="J481" s="10">
        <v>1</v>
      </c>
      <c r="K481" s="10">
        <v>0.04</v>
      </c>
      <c r="L481" s="51">
        <v>3.0300000000000001E-2</v>
      </c>
      <c r="M481" s="10">
        <v>0.45</v>
      </c>
      <c r="N481" s="10">
        <v>0.25369999999999998</v>
      </c>
      <c r="O481" s="10">
        <v>0</v>
      </c>
      <c r="P481" s="10">
        <v>13</v>
      </c>
      <c r="Q481" s="10">
        <v>13</v>
      </c>
      <c r="R481" s="10" t="str">
        <f>VLOOKUP(Cleaned_datasetB[[#This Row],[Weather_Code]],Lookup_Tables!$E$9:$F$13,2,FALSE)</f>
        <v>Clear</v>
      </c>
      <c r="S481" s="10" t="str">
        <f>INDEX(Lookup_Tables!$I$10:$I$16,MATCH(Cleaned_datasetB[[#This Row],[Day_Code]],Lookup_Tables!$H$10:$H$16,0))</f>
        <v>Saturday</v>
      </c>
      <c r="T481" s="10" t="str">
        <f>VLOOKUP(Cleaned_datasetB[[#This Row],[Month]], Lookup_Tables!$K$8:$L$19, 2, FALSE)</f>
        <v>January</v>
      </c>
      <c r="U481" s="10" t="str">
        <f>IF(AND(Cleaned_datasetB[[#This Row],[Day_Type]]="Weekday",Cleaned_datasetB[[#This Row],[Is_Holiday]]=FALSE),"Working Day","Non-Working Day")</f>
        <v>Non-Working Day</v>
      </c>
    </row>
    <row r="482" spans="1:21">
      <c r="A482" s="10">
        <v>481</v>
      </c>
      <c r="B482" s="23">
        <v>40565</v>
      </c>
      <c r="C482" s="10">
        <v>1</v>
      </c>
      <c r="D482" s="10">
        <v>0</v>
      </c>
      <c r="E482" s="10">
        <v>1</v>
      </c>
      <c r="F482" s="10">
        <v>1</v>
      </c>
      <c r="G482" s="10" t="b">
        <v>0</v>
      </c>
      <c r="H482" s="10">
        <v>6</v>
      </c>
      <c r="I482" s="10" t="str">
        <f>IF(OR(Cleaned_datasetB[[#This Row],[Day_Code]]=0,Cleaned_datasetB[[#This Row],[Day_Code]]=6),"Weekend","Weekday")</f>
        <v>Weekend</v>
      </c>
      <c r="J482" s="10">
        <v>2</v>
      </c>
      <c r="K482" s="10">
        <v>0.04</v>
      </c>
      <c r="L482" s="51">
        <v>0</v>
      </c>
      <c r="M482" s="10">
        <v>0.41</v>
      </c>
      <c r="N482" s="10">
        <v>0.3881</v>
      </c>
      <c r="O482" s="10">
        <v>3</v>
      </c>
      <c r="P482" s="10">
        <v>9</v>
      </c>
      <c r="Q482" s="10">
        <v>12</v>
      </c>
      <c r="R482" s="10" t="str">
        <f>VLOOKUP(Cleaned_datasetB[[#This Row],[Weather_Code]],Lookup_Tables!$E$9:$F$13,2,FALSE)</f>
        <v>Cloudy</v>
      </c>
      <c r="S482" s="10" t="str">
        <f>INDEX(Lookup_Tables!$I$10:$I$16,MATCH(Cleaned_datasetB[[#This Row],[Day_Code]],Lookup_Tables!$H$10:$H$16,0))</f>
        <v>Saturday</v>
      </c>
      <c r="T482" s="10" t="str">
        <f>VLOOKUP(Cleaned_datasetB[[#This Row],[Month]], Lookup_Tables!$K$8:$L$19, 2, FALSE)</f>
        <v>January</v>
      </c>
      <c r="U482" s="10" t="str">
        <f>IF(AND(Cleaned_datasetB[[#This Row],[Day_Type]]="Weekday",Cleaned_datasetB[[#This Row],[Is_Holiday]]=FALSE),"Working Day","Non-Working Day")</f>
        <v>Non-Working Day</v>
      </c>
    </row>
    <row r="483" spans="1:21">
      <c r="A483" s="10">
        <v>482</v>
      </c>
      <c r="B483" s="23">
        <v>40565</v>
      </c>
      <c r="C483" s="10">
        <v>1</v>
      </c>
      <c r="D483" s="10">
        <v>0</v>
      </c>
      <c r="E483" s="10">
        <v>1</v>
      </c>
      <c r="F483" s="10">
        <v>2</v>
      </c>
      <c r="G483" s="10" t="b">
        <v>0</v>
      </c>
      <c r="H483" s="10">
        <v>6</v>
      </c>
      <c r="I483" s="10" t="str">
        <f>IF(OR(Cleaned_datasetB[[#This Row],[Day_Code]]=0,Cleaned_datasetB[[#This Row],[Day_Code]]=6),"Weekend","Weekday")</f>
        <v>Weekend</v>
      </c>
      <c r="J483" s="10">
        <v>2</v>
      </c>
      <c r="K483" s="10">
        <v>0.04</v>
      </c>
      <c r="L483" s="51">
        <v>3.0300000000000001E-2</v>
      </c>
      <c r="M483" s="10">
        <v>0.41</v>
      </c>
      <c r="N483" s="10">
        <v>0.25369999999999998</v>
      </c>
      <c r="O483" s="10">
        <v>0</v>
      </c>
      <c r="P483" s="10">
        <v>11</v>
      </c>
      <c r="Q483" s="10">
        <v>11</v>
      </c>
      <c r="R483" s="10" t="str">
        <f>VLOOKUP(Cleaned_datasetB[[#This Row],[Weather_Code]],Lookup_Tables!$E$9:$F$13,2,FALSE)</f>
        <v>Cloudy</v>
      </c>
      <c r="S483" s="10" t="str">
        <f>INDEX(Lookup_Tables!$I$10:$I$16,MATCH(Cleaned_datasetB[[#This Row],[Day_Code]],Lookup_Tables!$H$10:$H$16,0))</f>
        <v>Saturday</v>
      </c>
      <c r="T483" s="10" t="str">
        <f>VLOOKUP(Cleaned_datasetB[[#This Row],[Month]], Lookup_Tables!$K$8:$L$19, 2, FALSE)</f>
        <v>January</v>
      </c>
      <c r="U483" s="10" t="str">
        <f>IF(AND(Cleaned_datasetB[[#This Row],[Day_Type]]="Weekday",Cleaned_datasetB[[#This Row],[Is_Holiday]]=FALSE),"Working Day","Non-Working Day")</f>
        <v>Non-Working Day</v>
      </c>
    </row>
    <row r="484" spans="1:21">
      <c r="A484" s="10">
        <v>483</v>
      </c>
      <c r="B484" s="23">
        <v>40565</v>
      </c>
      <c r="C484" s="10">
        <v>1</v>
      </c>
      <c r="D484" s="10">
        <v>0</v>
      </c>
      <c r="E484" s="10">
        <v>1</v>
      </c>
      <c r="F484" s="10">
        <v>3</v>
      </c>
      <c r="G484" s="10" t="b">
        <v>0</v>
      </c>
      <c r="H484" s="10">
        <v>6</v>
      </c>
      <c r="I484" s="10" t="str">
        <f>IF(OR(Cleaned_datasetB[[#This Row],[Day_Code]]=0,Cleaned_datasetB[[#This Row],[Day_Code]]=6),"Weekend","Weekday")</f>
        <v>Weekend</v>
      </c>
      <c r="J484" s="10">
        <v>2</v>
      </c>
      <c r="K484" s="10">
        <v>0.04</v>
      </c>
      <c r="L484" s="51">
        <v>3.0300000000000001E-2</v>
      </c>
      <c r="M484" s="10">
        <v>0.41</v>
      </c>
      <c r="N484" s="10">
        <v>0.28360000000000002</v>
      </c>
      <c r="O484" s="10">
        <v>1</v>
      </c>
      <c r="P484" s="10">
        <v>6</v>
      </c>
      <c r="Q484" s="10">
        <v>7</v>
      </c>
      <c r="R484" s="10" t="str">
        <f>VLOOKUP(Cleaned_datasetB[[#This Row],[Weather_Code]],Lookup_Tables!$E$9:$F$13,2,FALSE)</f>
        <v>Cloudy</v>
      </c>
      <c r="S484" s="10" t="str">
        <f>INDEX(Lookup_Tables!$I$10:$I$16,MATCH(Cleaned_datasetB[[#This Row],[Day_Code]],Lookup_Tables!$H$10:$H$16,0))</f>
        <v>Saturday</v>
      </c>
      <c r="T484" s="10" t="str">
        <f>VLOOKUP(Cleaned_datasetB[[#This Row],[Month]], Lookup_Tables!$K$8:$L$19, 2, FALSE)</f>
        <v>January</v>
      </c>
      <c r="U484" s="10" t="str">
        <f>IF(AND(Cleaned_datasetB[[#This Row],[Day_Type]]="Weekday",Cleaned_datasetB[[#This Row],[Is_Holiday]]=FALSE),"Working Day","Non-Working Day")</f>
        <v>Non-Working Day</v>
      </c>
    </row>
    <row r="485" spans="1:21">
      <c r="A485" s="10">
        <v>484</v>
      </c>
      <c r="B485" s="23">
        <v>40565</v>
      </c>
      <c r="C485" s="10">
        <v>1</v>
      </c>
      <c r="D485" s="10">
        <v>0</v>
      </c>
      <c r="E485" s="10">
        <v>1</v>
      </c>
      <c r="F485" s="10">
        <v>4</v>
      </c>
      <c r="G485" s="10" t="b">
        <v>0</v>
      </c>
      <c r="H485" s="10">
        <v>6</v>
      </c>
      <c r="I485" s="10" t="str">
        <f>IF(OR(Cleaned_datasetB[[#This Row],[Day_Code]]=0,Cleaned_datasetB[[#This Row],[Day_Code]]=6),"Weekend","Weekday")</f>
        <v>Weekend</v>
      </c>
      <c r="J485" s="10">
        <v>2</v>
      </c>
      <c r="K485" s="10">
        <v>0.02</v>
      </c>
      <c r="L485" s="51">
        <v>1.52E-2</v>
      </c>
      <c r="M485" s="10">
        <v>0.48</v>
      </c>
      <c r="N485" s="10">
        <v>0.29849999999999999</v>
      </c>
      <c r="O485" s="10">
        <v>0</v>
      </c>
      <c r="P485" s="10">
        <v>3</v>
      </c>
      <c r="Q485" s="10">
        <v>3</v>
      </c>
      <c r="R485" s="10" t="str">
        <f>VLOOKUP(Cleaned_datasetB[[#This Row],[Weather_Code]],Lookup_Tables!$E$9:$F$13,2,FALSE)</f>
        <v>Cloudy</v>
      </c>
      <c r="S485" s="10" t="str">
        <f>INDEX(Lookup_Tables!$I$10:$I$16,MATCH(Cleaned_datasetB[[#This Row],[Day_Code]],Lookup_Tables!$H$10:$H$16,0))</f>
        <v>Saturday</v>
      </c>
      <c r="T485" s="10" t="str">
        <f>VLOOKUP(Cleaned_datasetB[[#This Row],[Month]], Lookup_Tables!$K$8:$L$19, 2, FALSE)</f>
        <v>January</v>
      </c>
      <c r="U485" s="10" t="str">
        <f>IF(AND(Cleaned_datasetB[[#This Row],[Day_Type]]="Weekday",Cleaned_datasetB[[#This Row],[Is_Holiday]]=FALSE),"Working Day","Non-Working Day")</f>
        <v>Non-Working Day</v>
      </c>
    </row>
    <row r="486" spans="1:21">
      <c r="A486" s="10">
        <v>485</v>
      </c>
      <c r="B486" s="23">
        <v>40565</v>
      </c>
      <c r="C486" s="10">
        <v>1</v>
      </c>
      <c r="D486" s="10">
        <v>0</v>
      </c>
      <c r="E486" s="10">
        <v>1</v>
      </c>
      <c r="F486" s="10">
        <v>6</v>
      </c>
      <c r="G486" s="10" t="b">
        <v>0</v>
      </c>
      <c r="H486" s="10">
        <v>6</v>
      </c>
      <c r="I486" s="10" t="str">
        <f>IF(OR(Cleaned_datasetB[[#This Row],[Day_Code]]=0,Cleaned_datasetB[[#This Row],[Day_Code]]=6),"Weekend","Weekday")</f>
        <v>Weekend</v>
      </c>
      <c r="J486" s="10">
        <v>2</v>
      </c>
      <c r="K486" s="10">
        <v>0.02</v>
      </c>
      <c r="L486" s="51">
        <v>3.0300000000000001E-2</v>
      </c>
      <c r="M486" s="10">
        <v>0.44</v>
      </c>
      <c r="N486" s="10">
        <v>0.22389999999999999</v>
      </c>
      <c r="O486" s="10">
        <v>0</v>
      </c>
      <c r="P486" s="10">
        <v>2</v>
      </c>
      <c r="Q486" s="10">
        <v>2</v>
      </c>
      <c r="R486" s="10" t="str">
        <f>VLOOKUP(Cleaned_datasetB[[#This Row],[Weather_Code]],Lookup_Tables!$E$9:$F$13,2,FALSE)</f>
        <v>Cloudy</v>
      </c>
      <c r="S486" s="10" t="str">
        <f>INDEX(Lookup_Tables!$I$10:$I$16,MATCH(Cleaned_datasetB[[#This Row],[Day_Code]],Lookup_Tables!$H$10:$H$16,0))</f>
        <v>Saturday</v>
      </c>
      <c r="T486" s="10" t="str">
        <f>VLOOKUP(Cleaned_datasetB[[#This Row],[Month]], Lookup_Tables!$K$8:$L$19, 2, FALSE)</f>
        <v>January</v>
      </c>
      <c r="U486" s="10" t="str">
        <f>IF(AND(Cleaned_datasetB[[#This Row],[Day_Type]]="Weekday",Cleaned_datasetB[[#This Row],[Is_Holiday]]=FALSE),"Working Day","Non-Working Day")</f>
        <v>Non-Working Day</v>
      </c>
    </row>
    <row r="487" spans="1:21">
      <c r="A487" s="10">
        <v>486</v>
      </c>
      <c r="B487" s="23">
        <v>40565</v>
      </c>
      <c r="C487" s="10">
        <v>1</v>
      </c>
      <c r="D487" s="10">
        <v>0</v>
      </c>
      <c r="E487" s="10">
        <v>1</v>
      </c>
      <c r="F487" s="10">
        <v>7</v>
      </c>
      <c r="G487" s="10" t="b">
        <v>0</v>
      </c>
      <c r="H487" s="10">
        <v>6</v>
      </c>
      <c r="I487" s="10" t="str">
        <f>IF(OR(Cleaned_datasetB[[#This Row],[Day_Code]]=0,Cleaned_datasetB[[#This Row],[Day_Code]]=6),"Weekend","Weekday")</f>
        <v>Weekend</v>
      </c>
      <c r="J487" s="10">
        <v>1</v>
      </c>
      <c r="K487" s="10">
        <v>0.02</v>
      </c>
      <c r="L487" s="51">
        <v>1.52E-2</v>
      </c>
      <c r="M487" s="10">
        <v>0.44</v>
      </c>
      <c r="N487" s="10">
        <v>0.28360000000000002</v>
      </c>
      <c r="O487" s="10">
        <v>0</v>
      </c>
      <c r="P487" s="10">
        <v>8</v>
      </c>
      <c r="Q487" s="10">
        <v>8</v>
      </c>
      <c r="R487" s="10" t="str">
        <f>VLOOKUP(Cleaned_datasetB[[#This Row],[Weather_Code]],Lookup_Tables!$E$9:$F$13,2,FALSE)</f>
        <v>Clear</v>
      </c>
      <c r="S487" s="10" t="str">
        <f>INDEX(Lookup_Tables!$I$10:$I$16,MATCH(Cleaned_datasetB[[#This Row],[Day_Code]],Lookup_Tables!$H$10:$H$16,0))</f>
        <v>Saturday</v>
      </c>
      <c r="T487" s="10" t="str">
        <f>VLOOKUP(Cleaned_datasetB[[#This Row],[Month]], Lookup_Tables!$K$8:$L$19, 2, FALSE)</f>
        <v>January</v>
      </c>
      <c r="U487" s="10" t="str">
        <f>IF(AND(Cleaned_datasetB[[#This Row],[Day_Type]]="Weekday",Cleaned_datasetB[[#This Row],[Is_Holiday]]=FALSE),"Working Day","Non-Working Day")</f>
        <v>Non-Working Day</v>
      </c>
    </row>
    <row r="488" spans="1:21">
      <c r="A488" s="10">
        <v>487</v>
      </c>
      <c r="B488" s="23">
        <v>40565</v>
      </c>
      <c r="C488" s="10">
        <v>1</v>
      </c>
      <c r="D488" s="10">
        <v>0</v>
      </c>
      <c r="E488" s="10">
        <v>1</v>
      </c>
      <c r="F488" s="10">
        <v>8</v>
      </c>
      <c r="G488" s="10" t="b">
        <v>0</v>
      </c>
      <c r="H488" s="10">
        <v>6</v>
      </c>
      <c r="I488" s="10" t="str">
        <f>IF(OR(Cleaned_datasetB[[#This Row],[Day_Code]]=0,Cleaned_datasetB[[#This Row],[Day_Code]]=6),"Weekend","Weekday")</f>
        <v>Weekend</v>
      </c>
      <c r="J488" s="10">
        <v>1</v>
      </c>
      <c r="K488" s="10">
        <v>0.02</v>
      </c>
      <c r="L488" s="51">
        <v>0</v>
      </c>
      <c r="M488" s="10">
        <v>0.44</v>
      </c>
      <c r="N488" s="10">
        <v>0.32840000000000003</v>
      </c>
      <c r="O488" s="10">
        <v>1</v>
      </c>
      <c r="P488" s="10">
        <v>26</v>
      </c>
      <c r="Q488" s="10">
        <v>27</v>
      </c>
      <c r="R488" s="10" t="str">
        <f>VLOOKUP(Cleaned_datasetB[[#This Row],[Weather_Code]],Lookup_Tables!$E$9:$F$13,2,FALSE)</f>
        <v>Clear</v>
      </c>
      <c r="S488" s="10" t="str">
        <f>INDEX(Lookup_Tables!$I$10:$I$16,MATCH(Cleaned_datasetB[[#This Row],[Day_Code]],Lookup_Tables!$H$10:$H$16,0))</f>
        <v>Saturday</v>
      </c>
      <c r="T488" s="10" t="str">
        <f>VLOOKUP(Cleaned_datasetB[[#This Row],[Month]], Lookup_Tables!$K$8:$L$19, 2, FALSE)</f>
        <v>January</v>
      </c>
      <c r="U488" s="10" t="str">
        <f>IF(AND(Cleaned_datasetB[[#This Row],[Day_Type]]="Weekday",Cleaned_datasetB[[#This Row],[Is_Holiday]]=FALSE),"Working Day","Non-Working Day")</f>
        <v>Non-Working Day</v>
      </c>
    </row>
    <row r="489" spans="1:21">
      <c r="A489" s="10">
        <v>488</v>
      </c>
      <c r="B489" s="23">
        <v>40565</v>
      </c>
      <c r="C489" s="10">
        <v>1</v>
      </c>
      <c r="D489" s="10">
        <v>0</v>
      </c>
      <c r="E489" s="10">
        <v>1</v>
      </c>
      <c r="F489" s="10">
        <v>9</v>
      </c>
      <c r="G489" s="10" t="b">
        <v>0</v>
      </c>
      <c r="H489" s="10">
        <v>6</v>
      </c>
      <c r="I489" s="10" t="str">
        <f>IF(OR(Cleaned_datasetB[[#This Row],[Day_Code]]=0,Cleaned_datasetB[[#This Row],[Day_Code]]=6),"Weekend","Weekday")</f>
        <v>Weekend</v>
      </c>
      <c r="J489" s="10">
        <v>1</v>
      </c>
      <c r="K489" s="10">
        <v>0.04</v>
      </c>
      <c r="L489" s="51">
        <v>3.0300000000000001E-2</v>
      </c>
      <c r="M489" s="10">
        <v>0.41</v>
      </c>
      <c r="N489" s="10">
        <v>0.25369999999999998</v>
      </c>
      <c r="O489" s="10">
        <v>3</v>
      </c>
      <c r="P489" s="10">
        <v>37</v>
      </c>
      <c r="Q489" s="10">
        <v>40</v>
      </c>
      <c r="R489" s="10" t="str">
        <f>VLOOKUP(Cleaned_datasetB[[#This Row],[Weather_Code]],Lookup_Tables!$E$9:$F$13,2,FALSE)</f>
        <v>Clear</v>
      </c>
      <c r="S489" s="10" t="str">
        <f>INDEX(Lookup_Tables!$I$10:$I$16,MATCH(Cleaned_datasetB[[#This Row],[Day_Code]],Lookup_Tables!$H$10:$H$16,0))</f>
        <v>Saturday</v>
      </c>
      <c r="T489" s="10" t="str">
        <f>VLOOKUP(Cleaned_datasetB[[#This Row],[Month]], Lookup_Tables!$K$8:$L$19, 2, FALSE)</f>
        <v>January</v>
      </c>
      <c r="U489" s="10" t="str">
        <f>IF(AND(Cleaned_datasetB[[#This Row],[Day_Type]]="Weekday",Cleaned_datasetB[[#This Row],[Is_Holiday]]=FALSE),"Working Day","Non-Working Day")</f>
        <v>Non-Working Day</v>
      </c>
    </row>
    <row r="490" spans="1:21">
      <c r="A490" s="10">
        <v>489</v>
      </c>
      <c r="B490" s="23">
        <v>40565</v>
      </c>
      <c r="C490" s="10">
        <v>1</v>
      </c>
      <c r="D490" s="10">
        <v>0</v>
      </c>
      <c r="E490" s="10">
        <v>1</v>
      </c>
      <c r="F490" s="10">
        <v>10</v>
      </c>
      <c r="G490" s="10" t="b">
        <v>0</v>
      </c>
      <c r="H490" s="10">
        <v>6</v>
      </c>
      <c r="I490" s="10" t="str">
        <f>IF(OR(Cleaned_datasetB[[#This Row],[Day_Code]]=0,Cleaned_datasetB[[#This Row],[Day_Code]]=6),"Weekend","Weekday")</f>
        <v>Weekend</v>
      </c>
      <c r="J490" s="10">
        <v>2</v>
      </c>
      <c r="K490" s="10">
        <v>0.04</v>
      </c>
      <c r="L490" s="51">
        <v>6.0600000000000001E-2</v>
      </c>
      <c r="M490" s="10">
        <v>0.41</v>
      </c>
      <c r="N490" s="10">
        <v>0.16420000000000001</v>
      </c>
      <c r="O490" s="10">
        <v>3</v>
      </c>
      <c r="P490" s="10">
        <v>50</v>
      </c>
      <c r="Q490" s="10">
        <v>53</v>
      </c>
      <c r="R490" s="10" t="str">
        <f>VLOOKUP(Cleaned_datasetB[[#This Row],[Weather_Code]],Lookup_Tables!$E$9:$F$13,2,FALSE)</f>
        <v>Cloudy</v>
      </c>
      <c r="S490" s="10" t="str">
        <f>INDEX(Lookup_Tables!$I$10:$I$16,MATCH(Cleaned_datasetB[[#This Row],[Day_Code]],Lookup_Tables!$H$10:$H$16,0))</f>
        <v>Saturday</v>
      </c>
      <c r="T490" s="10" t="str">
        <f>VLOOKUP(Cleaned_datasetB[[#This Row],[Month]], Lookup_Tables!$K$8:$L$19, 2, FALSE)</f>
        <v>January</v>
      </c>
      <c r="U490" s="10" t="str">
        <f>IF(AND(Cleaned_datasetB[[#This Row],[Day_Type]]="Weekday",Cleaned_datasetB[[#This Row],[Is_Holiday]]=FALSE),"Working Day","Non-Working Day")</f>
        <v>Non-Working Day</v>
      </c>
    </row>
    <row r="491" spans="1:21">
      <c r="A491" s="10">
        <v>490</v>
      </c>
      <c r="B491" s="23">
        <v>40565</v>
      </c>
      <c r="C491" s="10">
        <v>1</v>
      </c>
      <c r="D491" s="10">
        <v>0</v>
      </c>
      <c r="E491" s="10">
        <v>1</v>
      </c>
      <c r="F491" s="10">
        <v>11</v>
      </c>
      <c r="G491" s="10" t="b">
        <v>0</v>
      </c>
      <c r="H491" s="10">
        <v>6</v>
      </c>
      <c r="I491" s="10" t="str">
        <f>IF(OR(Cleaned_datasetB[[#This Row],[Day_Code]]=0,Cleaned_datasetB[[#This Row],[Day_Code]]=6),"Weekend","Weekday")</f>
        <v>Weekend</v>
      </c>
      <c r="J491" s="10">
        <v>2</v>
      </c>
      <c r="K491" s="10">
        <v>0.06</v>
      </c>
      <c r="L491" s="51">
        <v>7.5800000000000006E-2</v>
      </c>
      <c r="M491" s="10">
        <v>0.38</v>
      </c>
      <c r="N491" s="10">
        <v>0.1343</v>
      </c>
      <c r="O491" s="10">
        <v>4</v>
      </c>
      <c r="P491" s="10">
        <v>59</v>
      </c>
      <c r="Q491" s="10">
        <v>63</v>
      </c>
      <c r="R491" s="10" t="str">
        <f>VLOOKUP(Cleaned_datasetB[[#This Row],[Weather_Code]],Lookup_Tables!$E$9:$F$13,2,FALSE)</f>
        <v>Cloudy</v>
      </c>
      <c r="S491" s="10" t="str">
        <f>INDEX(Lookup_Tables!$I$10:$I$16,MATCH(Cleaned_datasetB[[#This Row],[Day_Code]],Lookup_Tables!$H$10:$H$16,0))</f>
        <v>Saturday</v>
      </c>
      <c r="T491" s="10" t="str">
        <f>VLOOKUP(Cleaned_datasetB[[#This Row],[Month]], Lookup_Tables!$K$8:$L$19, 2, FALSE)</f>
        <v>January</v>
      </c>
      <c r="U491" s="10" t="str">
        <f>IF(AND(Cleaned_datasetB[[#This Row],[Day_Type]]="Weekday",Cleaned_datasetB[[#This Row],[Is_Holiday]]=FALSE),"Working Day","Non-Working Day")</f>
        <v>Non-Working Day</v>
      </c>
    </row>
    <row r="492" spans="1:21">
      <c r="A492" s="10">
        <v>491</v>
      </c>
      <c r="B492" s="23">
        <v>40565</v>
      </c>
      <c r="C492" s="10">
        <v>1</v>
      </c>
      <c r="D492" s="10">
        <v>0</v>
      </c>
      <c r="E492" s="10">
        <v>1</v>
      </c>
      <c r="F492" s="10">
        <v>12</v>
      </c>
      <c r="G492" s="10" t="b">
        <v>0</v>
      </c>
      <c r="H492" s="10">
        <v>6</v>
      </c>
      <c r="I492" s="10" t="str">
        <f>IF(OR(Cleaned_datasetB[[#This Row],[Day_Code]]=0,Cleaned_datasetB[[#This Row],[Day_Code]]=6),"Weekend","Weekday")</f>
        <v>Weekend</v>
      </c>
      <c r="J492" s="10">
        <v>2</v>
      </c>
      <c r="K492" s="10">
        <v>0.06</v>
      </c>
      <c r="L492" s="51">
        <v>0.1061</v>
      </c>
      <c r="M492" s="10">
        <v>0.38</v>
      </c>
      <c r="N492" s="10">
        <v>0.1045</v>
      </c>
      <c r="O492" s="10">
        <v>10</v>
      </c>
      <c r="P492" s="10">
        <v>60</v>
      </c>
      <c r="Q492" s="10">
        <v>70</v>
      </c>
      <c r="R492" s="10" t="str">
        <f>VLOOKUP(Cleaned_datasetB[[#This Row],[Weather_Code]],Lookup_Tables!$E$9:$F$13,2,FALSE)</f>
        <v>Cloudy</v>
      </c>
      <c r="S492" s="10" t="str">
        <f>INDEX(Lookup_Tables!$I$10:$I$16,MATCH(Cleaned_datasetB[[#This Row],[Day_Code]],Lookup_Tables!$H$10:$H$16,0))</f>
        <v>Saturday</v>
      </c>
      <c r="T492" s="10" t="str">
        <f>VLOOKUP(Cleaned_datasetB[[#This Row],[Month]], Lookup_Tables!$K$8:$L$19, 2, FALSE)</f>
        <v>January</v>
      </c>
      <c r="U492" s="10" t="str">
        <f>IF(AND(Cleaned_datasetB[[#This Row],[Day_Type]]="Weekday",Cleaned_datasetB[[#This Row],[Is_Holiday]]=FALSE),"Working Day","Non-Working Day")</f>
        <v>Non-Working Day</v>
      </c>
    </row>
    <row r="493" spans="1:21">
      <c r="A493" s="10">
        <v>492</v>
      </c>
      <c r="B493" s="23">
        <v>40565</v>
      </c>
      <c r="C493" s="10">
        <v>1</v>
      </c>
      <c r="D493" s="10">
        <v>0</v>
      </c>
      <c r="E493" s="10">
        <v>1</v>
      </c>
      <c r="F493" s="10">
        <v>13</v>
      </c>
      <c r="G493" s="10" t="b">
        <v>0</v>
      </c>
      <c r="H493" s="10">
        <v>6</v>
      </c>
      <c r="I493" s="10" t="str">
        <f>IF(OR(Cleaned_datasetB[[#This Row],[Day_Code]]=0,Cleaned_datasetB[[#This Row],[Day_Code]]=6),"Weekend","Weekday")</f>
        <v>Weekend</v>
      </c>
      <c r="J493" s="10">
        <v>1</v>
      </c>
      <c r="K493" s="10">
        <v>0.08</v>
      </c>
      <c r="L493" s="51">
        <v>0.16669999999999999</v>
      </c>
      <c r="M493" s="10">
        <v>0.35</v>
      </c>
      <c r="N493" s="10">
        <v>0</v>
      </c>
      <c r="O493" s="10">
        <v>12</v>
      </c>
      <c r="P493" s="10">
        <v>72</v>
      </c>
      <c r="Q493" s="10">
        <v>84</v>
      </c>
      <c r="R493" s="10" t="str">
        <f>VLOOKUP(Cleaned_datasetB[[#This Row],[Weather_Code]],Lookup_Tables!$E$9:$F$13,2,FALSE)</f>
        <v>Clear</v>
      </c>
      <c r="S493" s="10" t="str">
        <f>INDEX(Lookup_Tables!$I$10:$I$16,MATCH(Cleaned_datasetB[[#This Row],[Day_Code]],Lookup_Tables!$H$10:$H$16,0))</f>
        <v>Saturday</v>
      </c>
      <c r="T493" s="10" t="str">
        <f>VLOOKUP(Cleaned_datasetB[[#This Row],[Month]], Lookup_Tables!$K$8:$L$19, 2, FALSE)</f>
        <v>January</v>
      </c>
      <c r="U493" s="10" t="str">
        <f>IF(AND(Cleaned_datasetB[[#This Row],[Day_Type]]="Weekday",Cleaned_datasetB[[#This Row],[Is_Holiday]]=FALSE),"Working Day","Non-Working Day")</f>
        <v>Non-Working Day</v>
      </c>
    </row>
    <row r="494" spans="1:21">
      <c r="A494" s="10">
        <v>493</v>
      </c>
      <c r="B494" s="23">
        <v>40565</v>
      </c>
      <c r="C494" s="10">
        <v>1</v>
      </c>
      <c r="D494" s="10">
        <v>0</v>
      </c>
      <c r="E494" s="10">
        <v>1</v>
      </c>
      <c r="F494" s="10">
        <v>14</v>
      </c>
      <c r="G494" s="10" t="b">
        <v>0</v>
      </c>
      <c r="H494" s="10">
        <v>6</v>
      </c>
      <c r="I494" s="10" t="str">
        <f>IF(OR(Cleaned_datasetB[[#This Row],[Day_Code]]=0,Cleaned_datasetB[[#This Row],[Day_Code]]=6),"Weekend","Weekday")</f>
        <v>Weekend</v>
      </c>
      <c r="J494" s="10">
        <v>1</v>
      </c>
      <c r="K494" s="10">
        <v>0.1</v>
      </c>
      <c r="L494" s="51">
        <v>0.13639999999999999</v>
      </c>
      <c r="M494" s="10">
        <v>0.33</v>
      </c>
      <c r="N494" s="10">
        <v>0.1045</v>
      </c>
      <c r="O494" s="10">
        <v>11</v>
      </c>
      <c r="P494" s="10">
        <v>64</v>
      </c>
      <c r="Q494" s="10">
        <v>75</v>
      </c>
      <c r="R494" s="10" t="str">
        <f>VLOOKUP(Cleaned_datasetB[[#This Row],[Weather_Code]],Lookup_Tables!$E$9:$F$13,2,FALSE)</f>
        <v>Clear</v>
      </c>
      <c r="S494" s="10" t="str">
        <f>INDEX(Lookup_Tables!$I$10:$I$16,MATCH(Cleaned_datasetB[[#This Row],[Day_Code]],Lookup_Tables!$H$10:$H$16,0))</f>
        <v>Saturday</v>
      </c>
      <c r="T494" s="10" t="str">
        <f>VLOOKUP(Cleaned_datasetB[[#This Row],[Month]], Lookup_Tables!$K$8:$L$19, 2, FALSE)</f>
        <v>January</v>
      </c>
      <c r="U494" s="10" t="str">
        <f>IF(AND(Cleaned_datasetB[[#This Row],[Day_Type]]="Weekday",Cleaned_datasetB[[#This Row],[Is_Holiday]]=FALSE),"Working Day","Non-Working Day")</f>
        <v>Non-Working Day</v>
      </c>
    </row>
    <row r="495" spans="1:21">
      <c r="A495" s="10">
        <v>494</v>
      </c>
      <c r="B495" s="23">
        <v>40565</v>
      </c>
      <c r="C495" s="10">
        <v>1</v>
      </c>
      <c r="D495" s="10">
        <v>0</v>
      </c>
      <c r="E495" s="10">
        <v>1</v>
      </c>
      <c r="F495" s="10">
        <v>15</v>
      </c>
      <c r="G495" s="10" t="b">
        <v>0</v>
      </c>
      <c r="H495" s="10">
        <v>6</v>
      </c>
      <c r="I495" s="10" t="str">
        <f>IF(OR(Cleaned_datasetB[[#This Row],[Day_Code]]=0,Cleaned_datasetB[[#This Row],[Day_Code]]=6),"Weekend","Weekday")</f>
        <v>Weekend</v>
      </c>
      <c r="J495" s="10">
        <v>1</v>
      </c>
      <c r="K495" s="10">
        <v>0.12</v>
      </c>
      <c r="L495" s="51">
        <v>0.1515</v>
      </c>
      <c r="M495" s="10">
        <v>0.28000000000000003</v>
      </c>
      <c r="N495" s="10">
        <v>0</v>
      </c>
      <c r="O495" s="10">
        <v>10</v>
      </c>
      <c r="P495" s="10">
        <v>93</v>
      </c>
      <c r="Q495" s="10">
        <v>103</v>
      </c>
      <c r="R495" s="10" t="str">
        <f>VLOOKUP(Cleaned_datasetB[[#This Row],[Weather_Code]],Lookup_Tables!$E$9:$F$13,2,FALSE)</f>
        <v>Clear</v>
      </c>
      <c r="S495" s="10" t="str">
        <f>INDEX(Lookup_Tables!$I$10:$I$16,MATCH(Cleaned_datasetB[[#This Row],[Day_Code]],Lookup_Tables!$H$10:$H$16,0))</f>
        <v>Saturday</v>
      </c>
      <c r="T495" s="10" t="str">
        <f>VLOOKUP(Cleaned_datasetB[[#This Row],[Month]], Lookup_Tables!$K$8:$L$19, 2, FALSE)</f>
        <v>January</v>
      </c>
      <c r="U495" s="10" t="str">
        <f>IF(AND(Cleaned_datasetB[[#This Row],[Day_Type]]="Weekday",Cleaned_datasetB[[#This Row],[Is_Holiday]]=FALSE),"Working Day","Non-Working Day")</f>
        <v>Non-Working Day</v>
      </c>
    </row>
    <row r="496" spans="1:21">
      <c r="A496" s="10">
        <v>495</v>
      </c>
      <c r="B496" s="23">
        <v>40565</v>
      </c>
      <c r="C496" s="10">
        <v>1</v>
      </c>
      <c r="D496" s="10">
        <v>0</v>
      </c>
      <c r="E496" s="10">
        <v>1</v>
      </c>
      <c r="F496" s="10">
        <v>16</v>
      </c>
      <c r="G496" s="10" t="b">
        <v>0</v>
      </c>
      <c r="H496" s="10">
        <v>6</v>
      </c>
      <c r="I496" s="10" t="str">
        <f>IF(OR(Cleaned_datasetB[[#This Row],[Day_Code]]=0,Cleaned_datasetB[[#This Row],[Day_Code]]=6),"Weekend","Weekday")</f>
        <v>Weekend</v>
      </c>
      <c r="J496" s="10">
        <v>1</v>
      </c>
      <c r="K496" s="10">
        <v>0.12</v>
      </c>
      <c r="L496" s="51">
        <v>0.13639999999999999</v>
      </c>
      <c r="M496" s="10">
        <v>0.28000000000000003</v>
      </c>
      <c r="N496" s="10">
        <v>0.19400000000000001</v>
      </c>
      <c r="O496" s="10">
        <v>11</v>
      </c>
      <c r="P496" s="10">
        <v>72</v>
      </c>
      <c r="Q496" s="10">
        <v>83</v>
      </c>
      <c r="R496" s="10" t="str">
        <f>VLOOKUP(Cleaned_datasetB[[#This Row],[Weather_Code]],Lookup_Tables!$E$9:$F$13,2,FALSE)</f>
        <v>Clear</v>
      </c>
      <c r="S496" s="10" t="str">
        <f>INDEX(Lookup_Tables!$I$10:$I$16,MATCH(Cleaned_datasetB[[#This Row],[Day_Code]],Lookup_Tables!$H$10:$H$16,0))</f>
        <v>Saturday</v>
      </c>
      <c r="T496" s="10" t="str">
        <f>VLOOKUP(Cleaned_datasetB[[#This Row],[Month]], Lookup_Tables!$K$8:$L$19, 2, FALSE)</f>
        <v>January</v>
      </c>
      <c r="U496" s="10" t="str">
        <f>IF(AND(Cleaned_datasetB[[#This Row],[Day_Type]]="Weekday",Cleaned_datasetB[[#This Row],[Is_Holiday]]=FALSE),"Working Day","Non-Working Day")</f>
        <v>Non-Working Day</v>
      </c>
    </row>
    <row r="497" spans="1:21">
      <c r="A497" s="10">
        <v>496</v>
      </c>
      <c r="B497" s="23">
        <v>40565</v>
      </c>
      <c r="C497" s="10">
        <v>1</v>
      </c>
      <c r="D497" s="10">
        <v>0</v>
      </c>
      <c r="E497" s="10">
        <v>1</v>
      </c>
      <c r="F497" s="10">
        <v>17</v>
      </c>
      <c r="G497" s="10" t="b">
        <v>0</v>
      </c>
      <c r="H497" s="10">
        <v>6</v>
      </c>
      <c r="I497" s="10" t="str">
        <f>IF(OR(Cleaned_datasetB[[#This Row],[Day_Code]]=0,Cleaned_datasetB[[#This Row],[Day_Code]]=6),"Weekend","Weekday")</f>
        <v>Weekend</v>
      </c>
      <c r="J497" s="10">
        <v>1</v>
      </c>
      <c r="K497" s="10">
        <v>0.12</v>
      </c>
      <c r="L497" s="51">
        <v>0.19700000000000001</v>
      </c>
      <c r="M497" s="10">
        <v>0.28000000000000003</v>
      </c>
      <c r="N497" s="10">
        <v>0</v>
      </c>
      <c r="O497" s="10">
        <v>8</v>
      </c>
      <c r="P497" s="10">
        <v>59</v>
      </c>
      <c r="Q497" s="10">
        <v>67</v>
      </c>
      <c r="R497" s="10" t="str">
        <f>VLOOKUP(Cleaned_datasetB[[#This Row],[Weather_Code]],Lookup_Tables!$E$9:$F$13,2,FALSE)</f>
        <v>Clear</v>
      </c>
      <c r="S497" s="10" t="str">
        <f>INDEX(Lookup_Tables!$I$10:$I$16,MATCH(Cleaned_datasetB[[#This Row],[Day_Code]],Lookup_Tables!$H$10:$H$16,0))</f>
        <v>Saturday</v>
      </c>
      <c r="T497" s="10" t="str">
        <f>VLOOKUP(Cleaned_datasetB[[#This Row],[Month]], Lookup_Tables!$K$8:$L$19, 2, FALSE)</f>
        <v>January</v>
      </c>
      <c r="U497" s="10" t="str">
        <f>IF(AND(Cleaned_datasetB[[#This Row],[Day_Type]]="Weekday",Cleaned_datasetB[[#This Row],[Is_Holiday]]=FALSE),"Working Day","Non-Working Day")</f>
        <v>Non-Working Day</v>
      </c>
    </row>
    <row r="498" spans="1:21">
      <c r="A498" s="10">
        <v>497</v>
      </c>
      <c r="B498" s="23">
        <v>40565</v>
      </c>
      <c r="C498" s="10">
        <v>1</v>
      </c>
      <c r="D498" s="10">
        <v>0</v>
      </c>
      <c r="E498" s="10">
        <v>1</v>
      </c>
      <c r="F498" s="10">
        <v>18</v>
      </c>
      <c r="G498" s="10" t="b">
        <v>0</v>
      </c>
      <c r="H498" s="10">
        <v>6</v>
      </c>
      <c r="I498" s="10" t="str">
        <f>IF(OR(Cleaned_datasetB[[#This Row],[Day_Code]]=0,Cleaned_datasetB[[#This Row],[Day_Code]]=6),"Weekend","Weekday")</f>
        <v>Weekend</v>
      </c>
      <c r="J498" s="10">
        <v>1</v>
      </c>
      <c r="K498" s="10">
        <v>0.08</v>
      </c>
      <c r="L498" s="51">
        <v>9.0899999999999995E-2</v>
      </c>
      <c r="M498" s="10">
        <v>0.35</v>
      </c>
      <c r="N498" s="10">
        <v>0.19400000000000001</v>
      </c>
      <c r="O498" s="10">
        <v>0</v>
      </c>
      <c r="P498" s="10">
        <v>54</v>
      </c>
      <c r="Q498" s="10">
        <v>54</v>
      </c>
      <c r="R498" s="10" t="str">
        <f>VLOOKUP(Cleaned_datasetB[[#This Row],[Weather_Code]],Lookup_Tables!$E$9:$F$13,2,FALSE)</f>
        <v>Clear</v>
      </c>
      <c r="S498" s="10" t="str">
        <f>INDEX(Lookup_Tables!$I$10:$I$16,MATCH(Cleaned_datasetB[[#This Row],[Day_Code]],Lookup_Tables!$H$10:$H$16,0))</f>
        <v>Saturday</v>
      </c>
      <c r="T498" s="10" t="str">
        <f>VLOOKUP(Cleaned_datasetB[[#This Row],[Month]], Lookup_Tables!$K$8:$L$19, 2, FALSE)</f>
        <v>January</v>
      </c>
      <c r="U498" s="10" t="str">
        <f>IF(AND(Cleaned_datasetB[[#This Row],[Day_Type]]="Weekday",Cleaned_datasetB[[#This Row],[Is_Holiday]]=FALSE),"Working Day","Non-Working Day")</f>
        <v>Non-Working Day</v>
      </c>
    </row>
    <row r="499" spans="1:21">
      <c r="A499" s="10">
        <v>498</v>
      </c>
      <c r="B499" s="23">
        <v>40565</v>
      </c>
      <c r="C499" s="10">
        <v>1</v>
      </c>
      <c r="D499" s="10">
        <v>0</v>
      </c>
      <c r="E499" s="10">
        <v>1</v>
      </c>
      <c r="F499" s="10">
        <v>19</v>
      </c>
      <c r="G499" s="10" t="b">
        <v>0</v>
      </c>
      <c r="H499" s="10">
        <v>6</v>
      </c>
      <c r="I499" s="10" t="str">
        <f>IF(OR(Cleaned_datasetB[[#This Row],[Day_Code]]=0,Cleaned_datasetB[[#This Row],[Day_Code]]=6),"Weekend","Weekday")</f>
        <v>Weekend</v>
      </c>
      <c r="J499" s="10">
        <v>1</v>
      </c>
      <c r="K499" s="10">
        <v>0.08</v>
      </c>
      <c r="L499" s="51">
        <v>0.1061</v>
      </c>
      <c r="M499" s="10">
        <v>0.35</v>
      </c>
      <c r="N499" s="10">
        <v>0.1343</v>
      </c>
      <c r="O499" s="10">
        <v>6</v>
      </c>
      <c r="P499" s="10">
        <v>53</v>
      </c>
      <c r="Q499" s="10">
        <v>59</v>
      </c>
      <c r="R499" s="10" t="str">
        <f>VLOOKUP(Cleaned_datasetB[[#This Row],[Weather_Code]],Lookup_Tables!$E$9:$F$13,2,FALSE)</f>
        <v>Clear</v>
      </c>
      <c r="S499" s="10" t="str">
        <f>INDEX(Lookup_Tables!$I$10:$I$16,MATCH(Cleaned_datasetB[[#This Row],[Day_Code]],Lookup_Tables!$H$10:$H$16,0))</f>
        <v>Saturday</v>
      </c>
      <c r="T499" s="10" t="str">
        <f>VLOOKUP(Cleaned_datasetB[[#This Row],[Month]], Lookup_Tables!$K$8:$L$19, 2, FALSE)</f>
        <v>January</v>
      </c>
      <c r="U499" s="10" t="str">
        <f>IF(AND(Cleaned_datasetB[[#This Row],[Day_Type]]="Weekday",Cleaned_datasetB[[#This Row],[Is_Holiday]]=FALSE),"Working Day","Non-Working Day")</f>
        <v>Non-Working Day</v>
      </c>
    </row>
    <row r="500" spans="1:21">
      <c r="A500" s="10">
        <v>499</v>
      </c>
      <c r="B500" s="23">
        <v>40565</v>
      </c>
      <c r="C500" s="10">
        <v>1</v>
      </c>
      <c r="D500" s="10">
        <v>0</v>
      </c>
      <c r="E500" s="10">
        <v>1</v>
      </c>
      <c r="F500" s="10">
        <v>20</v>
      </c>
      <c r="G500" s="10" t="b">
        <v>0</v>
      </c>
      <c r="H500" s="10">
        <v>6</v>
      </c>
      <c r="I500" s="10" t="str">
        <f>IF(OR(Cleaned_datasetB[[#This Row],[Day_Code]]=0,Cleaned_datasetB[[#This Row],[Day_Code]]=6),"Weekend","Weekday")</f>
        <v>Weekend</v>
      </c>
      <c r="J500" s="10">
        <v>1</v>
      </c>
      <c r="K500" s="10">
        <v>0.06</v>
      </c>
      <c r="L500" s="51">
        <v>7.5800000000000006E-2</v>
      </c>
      <c r="M500" s="10">
        <v>0.45</v>
      </c>
      <c r="N500" s="10">
        <v>0.16420000000000001</v>
      </c>
      <c r="O500" s="10">
        <v>1</v>
      </c>
      <c r="P500" s="10">
        <v>44</v>
      </c>
      <c r="Q500" s="10">
        <v>45</v>
      </c>
      <c r="R500" s="10" t="str">
        <f>VLOOKUP(Cleaned_datasetB[[#This Row],[Weather_Code]],Lookup_Tables!$E$9:$F$13,2,FALSE)</f>
        <v>Clear</v>
      </c>
      <c r="S500" s="10" t="str">
        <f>INDEX(Lookup_Tables!$I$10:$I$16,MATCH(Cleaned_datasetB[[#This Row],[Day_Code]],Lookup_Tables!$H$10:$H$16,0))</f>
        <v>Saturday</v>
      </c>
      <c r="T500" s="10" t="str">
        <f>VLOOKUP(Cleaned_datasetB[[#This Row],[Month]], Lookup_Tables!$K$8:$L$19, 2, FALSE)</f>
        <v>January</v>
      </c>
      <c r="U500" s="10" t="str">
        <f>IF(AND(Cleaned_datasetB[[#This Row],[Day_Type]]="Weekday",Cleaned_datasetB[[#This Row],[Is_Holiday]]=FALSE),"Working Day","Non-Working Day")</f>
        <v>Non-Working Day</v>
      </c>
    </row>
    <row r="501" spans="1:21">
      <c r="A501" s="10">
        <v>500</v>
      </c>
      <c r="B501" s="23">
        <v>40565</v>
      </c>
      <c r="C501" s="10">
        <v>1</v>
      </c>
      <c r="D501" s="10">
        <v>0</v>
      </c>
      <c r="E501" s="10">
        <v>1</v>
      </c>
      <c r="F501" s="10">
        <v>21</v>
      </c>
      <c r="G501" s="10" t="b">
        <v>0</v>
      </c>
      <c r="H501" s="10">
        <v>6</v>
      </c>
      <c r="I501" s="10" t="str">
        <f>IF(OR(Cleaned_datasetB[[#This Row],[Day_Code]]=0,Cleaned_datasetB[[#This Row],[Day_Code]]=6),"Weekend","Weekday")</f>
        <v>Weekend</v>
      </c>
      <c r="J501" s="10">
        <v>1</v>
      </c>
      <c r="K501" s="10">
        <v>0.06</v>
      </c>
      <c r="L501" s="51">
        <v>0.1061</v>
      </c>
      <c r="M501" s="10">
        <v>0.41</v>
      </c>
      <c r="N501" s="10">
        <v>8.9599999999999999E-2</v>
      </c>
      <c r="O501" s="10">
        <v>0</v>
      </c>
      <c r="P501" s="10">
        <v>39</v>
      </c>
      <c r="Q501" s="10">
        <v>39</v>
      </c>
      <c r="R501" s="10" t="str">
        <f>VLOOKUP(Cleaned_datasetB[[#This Row],[Weather_Code]],Lookup_Tables!$E$9:$F$13,2,FALSE)</f>
        <v>Clear</v>
      </c>
      <c r="S501" s="10" t="str">
        <f>INDEX(Lookup_Tables!$I$10:$I$16,MATCH(Cleaned_datasetB[[#This Row],[Day_Code]],Lookup_Tables!$H$10:$H$16,0))</f>
        <v>Saturday</v>
      </c>
      <c r="T501" s="10" t="str">
        <f>VLOOKUP(Cleaned_datasetB[[#This Row],[Month]], Lookup_Tables!$K$8:$L$19, 2, FALSE)</f>
        <v>January</v>
      </c>
      <c r="U501" s="10" t="str">
        <f>IF(AND(Cleaned_datasetB[[#This Row],[Day_Type]]="Weekday",Cleaned_datasetB[[#This Row],[Is_Holiday]]=FALSE),"Working Day","Non-Working Day")</f>
        <v>Non-Working Day</v>
      </c>
    </row>
    <row r="502" spans="1:21">
      <c r="A502" s="10">
        <v>501</v>
      </c>
      <c r="B502" s="23">
        <v>40565</v>
      </c>
      <c r="C502" s="10">
        <v>1</v>
      </c>
      <c r="D502" s="10">
        <v>0</v>
      </c>
      <c r="E502" s="10">
        <v>1</v>
      </c>
      <c r="F502" s="10">
        <v>22</v>
      </c>
      <c r="G502" s="10" t="b">
        <v>0</v>
      </c>
      <c r="H502" s="10">
        <v>6</v>
      </c>
      <c r="I502" s="10" t="str">
        <f>IF(OR(Cleaned_datasetB[[#This Row],[Day_Code]]=0,Cleaned_datasetB[[#This Row],[Day_Code]]=6),"Weekend","Weekday")</f>
        <v>Weekend</v>
      </c>
      <c r="J502" s="10">
        <v>1</v>
      </c>
      <c r="K502" s="10">
        <v>0.06</v>
      </c>
      <c r="L502" s="51">
        <v>0.1515</v>
      </c>
      <c r="M502" s="10">
        <v>0.49</v>
      </c>
      <c r="N502" s="10">
        <v>0</v>
      </c>
      <c r="O502" s="10">
        <v>7</v>
      </c>
      <c r="P502" s="10">
        <v>23</v>
      </c>
      <c r="Q502" s="10">
        <v>30</v>
      </c>
      <c r="R502" s="10" t="str">
        <f>VLOOKUP(Cleaned_datasetB[[#This Row],[Weather_Code]],Lookup_Tables!$E$9:$F$13,2,FALSE)</f>
        <v>Clear</v>
      </c>
      <c r="S502" s="10" t="str">
        <f>INDEX(Lookup_Tables!$I$10:$I$16,MATCH(Cleaned_datasetB[[#This Row],[Day_Code]],Lookup_Tables!$H$10:$H$16,0))</f>
        <v>Saturday</v>
      </c>
      <c r="T502" s="10" t="str">
        <f>VLOOKUP(Cleaned_datasetB[[#This Row],[Month]], Lookup_Tables!$K$8:$L$19, 2, FALSE)</f>
        <v>January</v>
      </c>
      <c r="U502" s="10" t="str">
        <f>IF(AND(Cleaned_datasetB[[#This Row],[Day_Type]]="Weekday",Cleaned_datasetB[[#This Row],[Is_Holiday]]=FALSE),"Working Day","Non-Working Day")</f>
        <v>Non-Working Day</v>
      </c>
    </row>
    <row r="503" spans="1:21">
      <c r="A503" s="10">
        <v>502</v>
      </c>
      <c r="B503" s="23">
        <v>40565</v>
      </c>
      <c r="C503" s="10">
        <v>1</v>
      </c>
      <c r="D503" s="10">
        <v>0</v>
      </c>
      <c r="E503" s="10">
        <v>1</v>
      </c>
      <c r="F503" s="10">
        <v>23</v>
      </c>
      <c r="G503" s="10" t="b">
        <v>0</v>
      </c>
      <c r="H503" s="10">
        <v>6</v>
      </c>
      <c r="I503" s="10" t="str">
        <f>IF(OR(Cleaned_datasetB[[#This Row],[Day_Code]]=0,Cleaned_datasetB[[#This Row],[Day_Code]]=6),"Weekend","Weekday")</f>
        <v>Weekend</v>
      </c>
      <c r="J503" s="10">
        <v>1</v>
      </c>
      <c r="K503" s="10">
        <v>0.04</v>
      </c>
      <c r="L503" s="51">
        <v>7.5800000000000006E-2</v>
      </c>
      <c r="M503" s="10">
        <v>0.56999999999999995</v>
      </c>
      <c r="N503" s="10">
        <v>0.1045</v>
      </c>
      <c r="O503" s="10">
        <v>2</v>
      </c>
      <c r="P503" s="10">
        <v>31</v>
      </c>
      <c r="Q503" s="10">
        <v>33</v>
      </c>
      <c r="R503" s="10" t="str">
        <f>VLOOKUP(Cleaned_datasetB[[#This Row],[Weather_Code]],Lookup_Tables!$E$9:$F$13,2,FALSE)</f>
        <v>Clear</v>
      </c>
      <c r="S503" s="10" t="str">
        <f>INDEX(Lookup_Tables!$I$10:$I$16,MATCH(Cleaned_datasetB[[#This Row],[Day_Code]],Lookup_Tables!$H$10:$H$16,0))</f>
        <v>Saturday</v>
      </c>
      <c r="T503" s="10" t="str">
        <f>VLOOKUP(Cleaned_datasetB[[#This Row],[Month]], Lookup_Tables!$K$8:$L$19, 2, FALSE)</f>
        <v>January</v>
      </c>
      <c r="U503" s="10" t="str">
        <f>IF(AND(Cleaned_datasetB[[#This Row],[Day_Type]]="Weekday",Cleaned_datasetB[[#This Row],[Is_Holiday]]=FALSE),"Working Day","Non-Working Day")</f>
        <v>Non-Working Day</v>
      </c>
    </row>
    <row r="504" spans="1:21">
      <c r="A504" s="10">
        <v>503</v>
      </c>
      <c r="B504" s="23">
        <v>40566</v>
      </c>
      <c r="C504" s="10">
        <v>1</v>
      </c>
      <c r="D504" s="10">
        <v>0</v>
      </c>
      <c r="E504" s="10">
        <v>1</v>
      </c>
      <c r="F504" s="10">
        <v>0</v>
      </c>
      <c r="G504" s="10" t="b">
        <v>0</v>
      </c>
      <c r="H504" s="10">
        <v>0</v>
      </c>
      <c r="I504" s="10" t="str">
        <f>IF(OR(Cleaned_datasetB[[#This Row],[Day_Code]]=0,Cleaned_datasetB[[#This Row],[Day_Code]]=6),"Weekend","Weekday")</f>
        <v>Weekend</v>
      </c>
      <c r="J504" s="10">
        <v>1</v>
      </c>
      <c r="K504" s="10">
        <v>0.04</v>
      </c>
      <c r="L504" s="51">
        <v>7.5800000000000006E-2</v>
      </c>
      <c r="M504" s="10">
        <v>0.56999999999999995</v>
      </c>
      <c r="N504" s="10">
        <v>0.1045</v>
      </c>
      <c r="O504" s="10">
        <v>2</v>
      </c>
      <c r="P504" s="10">
        <v>20</v>
      </c>
      <c r="Q504" s="10">
        <v>22</v>
      </c>
      <c r="R504" s="10" t="str">
        <f>VLOOKUP(Cleaned_datasetB[[#This Row],[Weather_Code]],Lookup_Tables!$E$9:$F$13,2,FALSE)</f>
        <v>Clear</v>
      </c>
      <c r="S504" s="10" t="str">
        <f>INDEX(Lookup_Tables!$I$10:$I$16,MATCH(Cleaned_datasetB[[#This Row],[Day_Code]],Lookup_Tables!$H$10:$H$16,0))</f>
        <v>Sunday</v>
      </c>
      <c r="T504" s="10" t="str">
        <f>VLOOKUP(Cleaned_datasetB[[#This Row],[Month]], Lookup_Tables!$K$8:$L$19, 2, FALSE)</f>
        <v>January</v>
      </c>
      <c r="U504" s="10" t="str">
        <f>IF(AND(Cleaned_datasetB[[#This Row],[Day_Type]]="Weekday",Cleaned_datasetB[[#This Row],[Is_Holiday]]=FALSE),"Working Day","Non-Working Day")</f>
        <v>Non-Working Day</v>
      </c>
    </row>
    <row r="505" spans="1:21">
      <c r="A505" s="10">
        <v>504</v>
      </c>
      <c r="B505" s="23">
        <v>40566</v>
      </c>
      <c r="C505" s="10">
        <v>1</v>
      </c>
      <c r="D505" s="10">
        <v>0</v>
      </c>
      <c r="E505" s="10">
        <v>1</v>
      </c>
      <c r="F505" s="10">
        <v>1</v>
      </c>
      <c r="G505" s="10" t="b">
        <v>0</v>
      </c>
      <c r="H505" s="10">
        <v>0</v>
      </c>
      <c r="I505" s="10" t="str">
        <f>IF(OR(Cleaned_datasetB[[#This Row],[Day_Code]]=0,Cleaned_datasetB[[#This Row],[Day_Code]]=6),"Weekend","Weekday")</f>
        <v>Weekend</v>
      </c>
      <c r="J505" s="10">
        <v>1</v>
      </c>
      <c r="K505" s="10">
        <v>0.04</v>
      </c>
      <c r="L505" s="51">
        <v>7.5800000000000006E-2</v>
      </c>
      <c r="M505" s="10">
        <v>0.56999999999999995</v>
      </c>
      <c r="N505" s="10">
        <v>0.1045</v>
      </c>
      <c r="O505" s="10">
        <v>1</v>
      </c>
      <c r="P505" s="10">
        <v>12</v>
      </c>
      <c r="Q505" s="10">
        <v>13</v>
      </c>
      <c r="R505" s="10" t="str">
        <f>VLOOKUP(Cleaned_datasetB[[#This Row],[Weather_Code]],Lookup_Tables!$E$9:$F$13,2,FALSE)</f>
        <v>Clear</v>
      </c>
      <c r="S505" s="10" t="str">
        <f>INDEX(Lookup_Tables!$I$10:$I$16,MATCH(Cleaned_datasetB[[#This Row],[Day_Code]],Lookup_Tables!$H$10:$H$16,0))</f>
        <v>Sunday</v>
      </c>
      <c r="T505" s="10" t="str">
        <f>VLOOKUP(Cleaned_datasetB[[#This Row],[Month]], Lookup_Tables!$K$8:$L$19, 2, FALSE)</f>
        <v>January</v>
      </c>
      <c r="U505" s="10" t="str">
        <f>IF(AND(Cleaned_datasetB[[#This Row],[Day_Type]]="Weekday",Cleaned_datasetB[[#This Row],[Is_Holiday]]=FALSE),"Working Day","Non-Working Day")</f>
        <v>Non-Working Day</v>
      </c>
    </row>
    <row r="506" spans="1:21">
      <c r="A506" s="10">
        <v>505</v>
      </c>
      <c r="B506" s="23">
        <v>40566</v>
      </c>
      <c r="C506" s="10">
        <v>1</v>
      </c>
      <c r="D506" s="10">
        <v>0</v>
      </c>
      <c r="E506" s="10">
        <v>1</v>
      </c>
      <c r="F506" s="10">
        <v>2</v>
      </c>
      <c r="G506" s="10" t="b">
        <v>0</v>
      </c>
      <c r="H506" s="10">
        <v>0</v>
      </c>
      <c r="I506" s="10" t="str">
        <f>IF(OR(Cleaned_datasetB[[#This Row],[Day_Code]]=0,Cleaned_datasetB[[#This Row],[Day_Code]]=6),"Weekend","Weekday")</f>
        <v>Weekend</v>
      </c>
      <c r="J506" s="10">
        <v>1</v>
      </c>
      <c r="K506" s="10">
        <v>0.02</v>
      </c>
      <c r="L506" s="51">
        <v>6.0600000000000001E-2</v>
      </c>
      <c r="M506" s="10">
        <v>0.62</v>
      </c>
      <c r="N506" s="10">
        <v>0.1343</v>
      </c>
      <c r="O506" s="10">
        <v>3</v>
      </c>
      <c r="P506" s="10">
        <v>15</v>
      </c>
      <c r="Q506" s="10">
        <v>18</v>
      </c>
      <c r="R506" s="10" t="str">
        <f>VLOOKUP(Cleaned_datasetB[[#This Row],[Weather_Code]],Lookup_Tables!$E$9:$F$13,2,FALSE)</f>
        <v>Clear</v>
      </c>
      <c r="S506" s="10" t="str">
        <f>INDEX(Lookup_Tables!$I$10:$I$16,MATCH(Cleaned_datasetB[[#This Row],[Day_Code]],Lookup_Tables!$H$10:$H$16,0))</f>
        <v>Sunday</v>
      </c>
      <c r="T506" s="10" t="str">
        <f>VLOOKUP(Cleaned_datasetB[[#This Row],[Month]], Lookup_Tables!$K$8:$L$19, 2, FALSE)</f>
        <v>January</v>
      </c>
      <c r="U506" s="10" t="str">
        <f>IF(AND(Cleaned_datasetB[[#This Row],[Day_Type]]="Weekday",Cleaned_datasetB[[#This Row],[Is_Holiday]]=FALSE),"Working Day","Non-Working Day")</f>
        <v>Non-Working Day</v>
      </c>
    </row>
    <row r="507" spans="1:21">
      <c r="A507" s="10">
        <v>506</v>
      </c>
      <c r="B507" s="23">
        <v>40566</v>
      </c>
      <c r="C507" s="10">
        <v>1</v>
      </c>
      <c r="D507" s="10">
        <v>0</v>
      </c>
      <c r="E507" s="10">
        <v>1</v>
      </c>
      <c r="F507" s="10">
        <v>3</v>
      </c>
      <c r="G507" s="10" t="b">
        <v>0</v>
      </c>
      <c r="H507" s="10">
        <v>0</v>
      </c>
      <c r="I507" s="10" t="str">
        <f>IF(OR(Cleaned_datasetB[[#This Row],[Day_Code]]=0,Cleaned_datasetB[[#This Row],[Day_Code]]=6),"Weekend","Weekday")</f>
        <v>Weekend</v>
      </c>
      <c r="J507" s="10">
        <v>1</v>
      </c>
      <c r="K507" s="10">
        <v>0.02</v>
      </c>
      <c r="L507" s="51">
        <v>6.0600000000000001E-2</v>
      </c>
      <c r="M507" s="10">
        <v>0.62</v>
      </c>
      <c r="N507" s="10">
        <v>0.1343</v>
      </c>
      <c r="O507" s="10">
        <v>1</v>
      </c>
      <c r="P507" s="10">
        <v>4</v>
      </c>
      <c r="Q507" s="10">
        <v>5</v>
      </c>
      <c r="R507" s="10" t="str">
        <f>VLOOKUP(Cleaned_datasetB[[#This Row],[Weather_Code]],Lookup_Tables!$E$9:$F$13,2,FALSE)</f>
        <v>Clear</v>
      </c>
      <c r="S507" s="10" t="str">
        <f>INDEX(Lookup_Tables!$I$10:$I$16,MATCH(Cleaned_datasetB[[#This Row],[Day_Code]],Lookup_Tables!$H$10:$H$16,0))</f>
        <v>Sunday</v>
      </c>
      <c r="T507" s="10" t="str">
        <f>VLOOKUP(Cleaned_datasetB[[#This Row],[Month]], Lookup_Tables!$K$8:$L$19, 2, FALSE)</f>
        <v>January</v>
      </c>
      <c r="U507" s="10" t="str">
        <f>IF(AND(Cleaned_datasetB[[#This Row],[Day_Type]]="Weekday",Cleaned_datasetB[[#This Row],[Is_Holiday]]=FALSE),"Working Day","Non-Working Day")</f>
        <v>Non-Working Day</v>
      </c>
    </row>
    <row r="508" spans="1:21">
      <c r="A508" s="10">
        <v>507</v>
      </c>
      <c r="B508" s="23">
        <v>40566</v>
      </c>
      <c r="C508" s="10">
        <v>1</v>
      </c>
      <c r="D508" s="10">
        <v>0</v>
      </c>
      <c r="E508" s="10">
        <v>1</v>
      </c>
      <c r="F508" s="10">
        <v>5</v>
      </c>
      <c r="G508" s="10" t="b">
        <v>0</v>
      </c>
      <c r="H508" s="10">
        <v>0</v>
      </c>
      <c r="I508" s="10" t="str">
        <f>IF(OR(Cleaned_datasetB[[#This Row],[Day_Code]]=0,Cleaned_datasetB[[#This Row],[Day_Code]]=6),"Weekend","Weekday")</f>
        <v>Weekend</v>
      </c>
      <c r="J508" s="10">
        <v>2</v>
      </c>
      <c r="K508" s="10">
        <v>0.04</v>
      </c>
      <c r="L508" s="51">
        <v>7.5800000000000006E-2</v>
      </c>
      <c r="M508" s="10">
        <v>0.56999999999999995</v>
      </c>
      <c r="N508" s="10">
        <v>0.1045</v>
      </c>
      <c r="O508" s="10">
        <v>0</v>
      </c>
      <c r="P508" s="10">
        <v>3</v>
      </c>
      <c r="Q508" s="10">
        <v>3</v>
      </c>
      <c r="R508" s="10" t="str">
        <f>VLOOKUP(Cleaned_datasetB[[#This Row],[Weather_Code]],Lookup_Tables!$E$9:$F$13,2,FALSE)</f>
        <v>Cloudy</v>
      </c>
      <c r="S508" s="10" t="str">
        <f>INDEX(Lookup_Tables!$I$10:$I$16,MATCH(Cleaned_datasetB[[#This Row],[Day_Code]],Lookup_Tables!$H$10:$H$16,0))</f>
        <v>Sunday</v>
      </c>
      <c r="T508" s="10" t="str">
        <f>VLOOKUP(Cleaned_datasetB[[#This Row],[Month]], Lookup_Tables!$K$8:$L$19, 2, FALSE)</f>
        <v>January</v>
      </c>
      <c r="U508" s="10" t="str">
        <f>IF(AND(Cleaned_datasetB[[#This Row],[Day_Type]]="Weekday",Cleaned_datasetB[[#This Row],[Is_Holiday]]=FALSE),"Working Day","Non-Working Day")</f>
        <v>Non-Working Day</v>
      </c>
    </row>
    <row r="509" spans="1:21">
      <c r="A509" s="10">
        <v>508</v>
      </c>
      <c r="B509" s="23">
        <v>40566</v>
      </c>
      <c r="C509" s="10">
        <v>1</v>
      </c>
      <c r="D509" s="10">
        <v>0</v>
      </c>
      <c r="E509" s="10">
        <v>1</v>
      </c>
      <c r="F509" s="10">
        <v>6</v>
      </c>
      <c r="G509" s="10" t="b">
        <v>0</v>
      </c>
      <c r="H509" s="10">
        <v>0</v>
      </c>
      <c r="I509" s="10" t="str">
        <f>IF(OR(Cleaned_datasetB[[#This Row],[Day_Code]]=0,Cleaned_datasetB[[#This Row],[Day_Code]]=6),"Weekend","Weekday")</f>
        <v>Weekend</v>
      </c>
      <c r="J509" s="10">
        <v>2</v>
      </c>
      <c r="K509" s="10">
        <v>0.04</v>
      </c>
      <c r="L509" s="51">
        <v>7.5800000000000006E-2</v>
      </c>
      <c r="M509" s="10">
        <v>0.56999999999999995</v>
      </c>
      <c r="N509" s="10">
        <v>0.1045</v>
      </c>
      <c r="O509" s="10">
        <v>0</v>
      </c>
      <c r="P509" s="10">
        <v>1</v>
      </c>
      <c r="Q509" s="10">
        <v>1</v>
      </c>
      <c r="R509" s="10" t="str">
        <f>VLOOKUP(Cleaned_datasetB[[#This Row],[Weather_Code]],Lookup_Tables!$E$9:$F$13,2,FALSE)</f>
        <v>Cloudy</v>
      </c>
      <c r="S509" s="10" t="str">
        <f>INDEX(Lookup_Tables!$I$10:$I$16,MATCH(Cleaned_datasetB[[#This Row],[Day_Code]],Lookup_Tables!$H$10:$H$16,0))</f>
        <v>Sunday</v>
      </c>
      <c r="T509" s="10" t="str">
        <f>VLOOKUP(Cleaned_datasetB[[#This Row],[Month]], Lookup_Tables!$K$8:$L$19, 2, FALSE)</f>
        <v>January</v>
      </c>
      <c r="U509" s="10" t="str">
        <f>IF(AND(Cleaned_datasetB[[#This Row],[Day_Type]]="Weekday",Cleaned_datasetB[[#This Row],[Is_Holiday]]=FALSE),"Working Day","Non-Working Day")</f>
        <v>Non-Working Day</v>
      </c>
    </row>
    <row r="510" spans="1:21">
      <c r="A510" s="10">
        <v>509</v>
      </c>
      <c r="B510" s="23">
        <v>40566</v>
      </c>
      <c r="C510" s="10">
        <v>1</v>
      </c>
      <c r="D510" s="10">
        <v>0</v>
      </c>
      <c r="E510" s="10">
        <v>1</v>
      </c>
      <c r="F510" s="10">
        <v>7</v>
      </c>
      <c r="G510" s="10" t="b">
        <v>0</v>
      </c>
      <c r="H510" s="10">
        <v>0</v>
      </c>
      <c r="I510" s="10" t="str">
        <f>IF(OR(Cleaned_datasetB[[#This Row],[Day_Code]]=0,Cleaned_datasetB[[#This Row],[Day_Code]]=6),"Weekend","Weekday")</f>
        <v>Weekend</v>
      </c>
      <c r="J510" s="10">
        <v>1</v>
      </c>
      <c r="K510" s="10">
        <v>0.08</v>
      </c>
      <c r="L510" s="51">
        <v>0.1061</v>
      </c>
      <c r="M510" s="10">
        <v>0.57999999999999996</v>
      </c>
      <c r="N510" s="10">
        <v>0.16420000000000001</v>
      </c>
      <c r="O510" s="10">
        <v>1</v>
      </c>
      <c r="P510" s="10">
        <v>1</v>
      </c>
      <c r="Q510" s="10">
        <v>2</v>
      </c>
      <c r="R510" s="10" t="str">
        <f>VLOOKUP(Cleaned_datasetB[[#This Row],[Weather_Code]],Lookup_Tables!$E$9:$F$13,2,FALSE)</f>
        <v>Clear</v>
      </c>
      <c r="S510" s="10" t="str">
        <f>INDEX(Lookup_Tables!$I$10:$I$16,MATCH(Cleaned_datasetB[[#This Row],[Day_Code]],Lookup_Tables!$H$10:$H$16,0))</f>
        <v>Sunday</v>
      </c>
      <c r="T510" s="10" t="str">
        <f>VLOOKUP(Cleaned_datasetB[[#This Row],[Month]], Lookup_Tables!$K$8:$L$19, 2, FALSE)</f>
        <v>January</v>
      </c>
      <c r="U510" s="10" t="str">
        <f>IF(AND(Cleaned_datasetB[[#This Row],[Day_Type]]="Weekday",Cleaned_datasetB[[#This Row],[Is_Holiday]]=FALSE),"Working Day","Non-Working Day")</f>
        <v>Non-Working Day</v>
      </c>
    </row>
    <row r="511" spans="1:21">
      <c r="A511" s="10">
        <v>510</v>
      </c>
      <c r="B511" s="23">
        <v>40566</v>
      </c>
      <c r="C511" s="10">
        <v>1</v>
      </c>
      <c r="D511" s="10">
        <v>0</v>
      </c>
      <c r="E511" s="10">
        <v>1</v>
      </c>
      <c r="F511" s="10">
        <v>8</v>
      </c>
      <c r="G511" s="10" t="b">
        <v>0</v>
      </c>
      <c r="H511" s="10">
        <v>0</v>
      </c>
      <c r="I511" s="10" t="str">
        <f>IF(OR(Cleaned_datasetB[[#This Row],[Day_Code]]=0,Cleaned_datasetB[[#This Row],[Day_Code]]=6),"Weekend","Weekday")</f>
        <v>Weekend</v>
      </c>
      <c r="J511" s="10">
        <v>1</v>
      </c>
      <c r="K511" s="10">
        <v>0.06</v>
      </c>
      <c r="L511" s="51">
        <v>7.5800000000000006E-2</v>
      </c>
      <c r="M511" s="10">
        <v>0.62</v>
      </c>
      <c r="N511" s="10">
        <v>0.16420000000000001</v>
      </c>
      <c r="O511" s="10">
        <v>2</v>
      </c>
      <c r="P511" s="10">
        <v>17</v>
      </c>
      <c r="Q511" s="10">
        <v>19</v>
      </c>
      <c r="R511" s="10" t="str">
        <f>VLOOKUP(Cleaned_datasetB[[#This Row],[Weather_Code]],Lookup_Tables!$E$9:$F$13,2,FALSE)</f>
        <v>Clear</v>
      </c>
      <c r="S511" s="10" t="str">
        <f>INDEX(Lookup_Tables!$I$10:$I$16,MATCH(Cleaned_datasetB[[#This Row],[Day_Code]],Lookup_Tables!$H$10:$H$16,0))</f>
        <v>Sunday</v>
      </c>
      <c r="T511" s="10" t="str">
        <f>VLOOKUP(Cleaned_datasetB[[#This Row],[Month]], Lookup_Tables!$K$8:$L$19, 2, FALSE)</f>
        <v>January</v>
      </c>
      <c r="U511" s="10" t="str">
        <f>IF(AND(Cleaned_datasetB[[#This Row],[Day_Type]]="Weekday",Cleaned_datasetB[[#This Row],[Is_Holiday]]=FALSE),"Working Day","Non-Working Day")</f>
        <v>Non-Working Day</v>
      </c>
    </row>
    <row r="512" spans="1:21">
      <c r="A512" s="10">
        <v>511</v>
      </c>
      <c r="B512" s="23">
        <v>40566</v>
      </c>
      <c r="C512" s="10">
        <v>1</v>
      </c>
      <c r="D512" s="10">
        <v>0</v>
      </c>
      <c r="E512" s="10">
        <v>1</v>
      </c>
      <c r="F512" s="10">
        <v>9</v>
      </c>
      <c r="G512" s="10" t="b">
        <v>0</v>
      </c>
      <c r="H512" s="10">
        <v>0</v>
      </c>
      <c r="I512" s="10" t="str">
        <f>IF(OR(Cleaned_datasetB[[#This Row],[Day_Code]]=0,Cleaned_datasetB[[#This Row],[Day_Code]]=6),"Weekend","Weekday")</f>
        <v>Weekend</v>
      </c>
      <c r="J512" s="10">
        <v>1</v>
      </c>
      <c r="K512" s="10">
        <v>0.1</v>
      </c>
      <c r="L512" s="51">
        <v>7.5800000000000006E-2</v>
      </c>
      <c r="M512" s="10">
        <v>0.54</v>
      </c>
      <c r="N512" s="10">
        <v>0.35820000000000002</v>
      </c>
      <c r="O512" s="10">
        <v>3</v>
      </c>
      <c r="P512" s="10">
        <v>25</v>
      </c>
      <c r="Q512" s="10">
        <v>28</v>
      </c>
      <c r="R512" s="10" t="str">
        <f>VLOOKUP(Cleaned_datasetB[[#This Row],[Weather_Code]],Lookup_Tables!$E$9:$F$13,2,FALSE)</f>
        <v>Clear</v>
      </c>
      <c r="S512" s="10" t="str">
        <f>INDEX(Lookup_Tables!$I$10:$I$16,MATCH(Cleaned_datasetB[[#This Row],[Day_Code]],Lookup_Tables!$H$10:$H$16,0))</f>
        <v>Sunday</v>
      </c>
      <c r="T512" s="10" t="str">
        <f>VLOOKUP(Cleaned_datasetB[[#This Row],[Month]], Lookup_Tables!$K$8:$L$19, 2, FALSE)</f>
        <v>January</v>
      </c>
      <c r="U512" s="10" t="str">
        <f>IF(AND(Cleaned_datasetB[[#This Row],[Day_Type]]="Weekday",Cleaned_datasetB[[#This Row],[Is_Holiday]]=FALSE),"Working Day","Non-Working Day")</f>
        <v>Non-Working Day</v>
      </c>
    </row>
    <row r="513" spans="1:21">
      <c r="A513" s="10">
        <v>512</v>
      </c>
      <c r="B513" s="23">
        <v>40566</v>
      </c>
      <c r="C513" s="10">
        <v>1</v>
      </c>
      <c r="D513" s="10">
        <v>0</v>
      </c>
      <c r="E513" s="10">
        <v>1</v>
      </c>
      <c r="F513" s="10">
        <v>10</v>
      </c>
      <c r="G513" s="10" t="b">
        <v>0</v>
      </c>
      <c r="H513" s="10">
        <v>0</v>
      </c>
      <c r="I513" s="10" t="str">
        <f>IF(OR(Cleaned_datasetB[[#This Row],[Day_Code]]=0,Cleaned_datasetB[[#This Row],[Day_Code]]=6),"Weekend","Weekday")</f>
        <v>Weekend</v>
      </c>
      <c r="J513" s="10">
        <v>1</v>
      </c>
      <c r="K513" s="10">
        <v>0.14000000000000001</v>
      </c>
      <c r="L513" s="51">
        <v>0.1061</v>
      </c>
      <c r="M513" s="10">
        <v>0.46</v>
      </c>
      <c r="N513" s="10">
        <v>0.3881</v>
      </c>
      <c r="O513" s="10">
        <v>7</v>
      </c>
      <c r="P513" s="10">
        <v>51</v>
      </c>
      <c r="Q513" s="10">
        <v>58</v>
      </c>
      <c r="R513" s="10" t="str">
        <f>VLOOKUP(Cleaned_datasetB[[#This Row],[Weather_Code]],Lookup_Tables!$E$9:$F$13,2,FALSE)</f>
        <v>Clear</v>
      </c>
      <c r="S513" s="10" t="str">
        <f>INDEX(Lookup_Tables!$I$10:$I$16,MATCH(Cleaned_datasetB[[#This Row],[Day_Code]],Lookup_Tables!$H$10:$H$16,0))</f>
        <v>Sunday</v>
      </c>
      <c r="T513" s="10" t="str">
        <f>VLOOKUP(Cleaned_datasetB[[#This Row],[Month]], Lookup_Tables!$K$8:$L$19, 2, FALSE)</f>
        <v>January</v>
      </c>
      <c r="U513" s="10" t="str">
        <f>IF(AND(Cleaned_datasetB[[#This Row],[Day_Type]]="Weekday",Cleaned_datasetB[[#This Row],[Is_Holiday]]=FALSE),"Working Day","Non-Working Day")</f>
        <v>Non-Working Day</v>
      </c>
    </row>
    <row r="514" spans="1:21">
      <c r="A514" s="10">
        <v>513</v>
      </c>
      <c r="B514" s="23">
        <v>40566</v>
      </c>
      <c r="C514" s="10">
        <v>1</v>
      </c>
      <c r="D514" s="10">
        <v>0</v>
      </c>
      <c r="E514" s="10">
        <v>1</v>
      </c>
      <c r="F514" s="10">
        <v>11</v>
      </c>
      <c r="G514" s="10" t="b">
        <v>0</v>
      </c>
      <c r="H514" s="10">
        <v>0</v>
      </c>
      <c r="I514" s="10" t="str">
        <f>IF(OR(Cleaned_datasetB[[#This Row],[Day_Code]]=0,Cleaned_datasetB[[#This Row],[Day_Code]]=6),"Weekend","Weekday")</f>
        <v>Weekend</v>
      </c>
      <c r="J514" s="10">
        <v>1</v>
      </c>
      <c r="K514" s="10">
        <v>0.14000000000000001</v>
      </c>
      <c r="L514" s="51">
        <v>0.13639999999999999</v>
      </c>
      <c r="M514" s="10">
        <v>0.43</v>
      </c>
      <c r="N514" s="10">
        <v>0.22389999999999999</v>
      </c>
      <c r="O514" s="10">
        <v>22</v>
      </c>
      <c r="P514" s="10">
        <v>77</v>
      </c>
      <c r="Q514" s="10">
        <v>99</v>
      </c>
      <c r="R514" s="10" t="str">
        <f>VLOOKUP(Cleaned_datasetB[[#This Row],[Weather_Code]],Lookup_Tables!$E$9:$F$13,2,FALSE)</f>
        <v>Clear</v>
      </c>
      <c r="S514" s="10" t="str">
        <f>INDEX(Lookup_Tables!$I$10:$I$16,MATCH(Cleaned_datasetB[[#This Row],[Day_Code]],Lookup_Tables!$H$10:$H$16,0))</f>
        <v>Sunday</v>
      </c>
      <c r="T514" s="10" t="str">
        <f>VLOOKUP(Cleaned_datasetB[[#This Row],[Month]], Lookup_Tables!$K$8:$L$19, 2, FALSE)</f>
        <v>January</v>
      </c>
      <c r="U514" s="10" t="str">
        <f>IF(AND(Cleaned_datasetB[[#This Row],[Day_Type]]="Weekday",Cleaned_datasetB[[#This Row],[Is_Holiday]]=FALSE),"Working Day","Non-Working Day")</f>
        <v>Non-Working Day</v>
      </c>
    </row>
    <row r="515" spans="1:21">
      <c r="A515" s="10">
        <v>514</v>
      </c>
      <c r="B515" s="23">
        <v>40566</v>
      </c>
      <c r="C515" s="10">
        <v>1</v>
      </c>
      <c r="D515" s="10">
        <v>0</v>
      </c>
      <c r="E515" s="10">
        <v>1</v>
      </c>
      <c r="F515" s="10">
        <v>12</v>
      </c>
      <c r="G515" s="10" t="b">
        <v>0</v>
      </c>
      <c r="H515" s="10">
        <v>0</v>
      </c>
      <c r="I515" s="10" t="str">
        <f>IF(OR(Cleaned_datasetB[[#This Row],[Day_Code]]=0,Cleaned_datasetB[[#This Row],[Day_Code]]=6),"Weekend","Weekday")</f>
        <v>Weekend</v>
      </c>
      <c r="J515" s="10">
        <v>1</v>
      </c>
      <c r="K515" s="10">
        <v>0.16</v>
      </c>
      <c r="L515" s="51">
        <v>0.1212</v>
      </c>
      <c r="M515" s="10">
        <v>0.37</v>
      </c>
      <c r="N515" s="10">
        <v>0.4627</v>
      </c>
      <c r="O515" s="10">
        <v>24</v>
      </c>
      <c r="P515" s="10">
        <v>92</v>
      </c>
      <c r="Q515" s="10">
        <v>116</v>
      </c>
      <c r="R515" s="10" t="str">
        <f>VLOOKUP(Cleaned_datasetB[[#This Row],[Weather_Code]],Lookup_Tables!$E$9:$F$13,2,FALSE)</f>
        <v>Clear</v>
      </c>
      <c r="S515" s="10" t="str">
        <f>INDEX(Lookup_Tables!$I$10:$I$16,MATCH(Cleaned_datasetB[[#This Row],[Day_Code]],Lookup_Tables!$H$10:$H$16,0))</f>
        <v>Sunday</v>
      </c>
      <c r="T515" s="10" t="str">
        <f>VLOOKUP(Cleaned_datasetB[[#This Row],[Month]], Lookup_Tables!$K$8:$L$19, 2, FALSE)</f>
        <v>January</v>
      </c>
      <c r="U515" s="10" t="str">
        <f>IF(AND(Cleaned_datasetB[[#This Row],[Day_Type]]="Weekday",Cleaned_datasetB[[#This Row],[Is_Holiday]]=FALSE),"Working Day","Non-Working Day")</f>
        <v>Non-Working Day</v>
      </c>
    </row>
    <row r="516" spans="1:21">
      <c r="A516" s="10">
        <v>515</v>
      </c>
      <c r="B516" s="23">
        <v>40566</v>
      </c>
      <c r="C516" s="10">
        <v>1</v>
      </c>
      <c r="D516" s="10">
        <v>0</v>
      </c>
      <c r="E516" s="10">
        <v>1</v>
      </c>
      <c r="F516" s="10">
        <v>13</v>
      </c>
      <c r="G516" s="10" t="b">
        <v>0</v>
      </c>
      <c r="H516" s="10">
        <v>0</v>
      </c>
      <c r="I516" s="10" t="str">
        <f>IF(OR(Cleaned_datasetB[[#This Row],[Day_Code]]=0,Cleaned_datasetB[[#This Row],[Day_Code]]=6),"Weekend","Weekday")</f>
        <v>Weekend</v>
      </c>
      <c r="J516" s="10">
        <v>1</v>
      </c>
      <c r="K516" s="10">
        <v>0.14000000000000001</v>
      </c>
      <c r="L516" s="51">
        <v>0.1061</v>
      </c>
      <c r="M516" s="10">
        <v>0.33</v>
      </c>
      <c r="N516" s="10">
        <v>0.3881</v>
      </c>
      <c r="O516" s="10">
        <v>12</v>
      </c>
      <c r="P516" s="10">
        <v>75</v>
      </c>
      <c r="Q516" s="10">
        <v>87</v>
      </c>
      <c r="R516" s="10" t="str">
        <f>VLOOKUP(Cleaned_datasetB[[#This Row],[Weather_Code]],Lookup_Tables!$E$9:$F$13,2,FALSE)</f>
        <v>Clear</v>
      </c>
      <c r="S516" s="10" t="str">
        <f>INDEX(Lookup_Tables!$I$10:$I$16,MATCH(Cleaned_datasetB[[#This Row],[Day_Code]],Lookup_Tables!$H$10:$H$16,0))</f>
        <v>Sunday</v>
      </c>
      <c r="T516" s="10" t="str">
        <f>VLOOKUP(Cleaned_datasetB[[#This Row],[Month]], Lookup_Tables!$K$8:$L$19, 2, FALSE)</f>
        <v>January</v>
      </c>
      <c r="U516" s="10" t="str">
        <f>IF(AND(Cleaned_datasetB[[#This Row],[Day_Type]]="Weekday",Cleaned_datasetB[[#This Row],[Is_Holiday]]=FALSE),"Working Day","Non-Working Day")</f>
        <v>Non-Working Day</v>
      </c>
    </row>
    <row r="517" spans="1:21">
      <c r="A517" s="10">
        <v>516</v>
      </c>
      <c r="B517" s="23">
        <v>40566</v>
      </c>
      <c r="C517" s="10">
        <v>1</v>
      </c>
      <c r="D517" s="10">
        <v>0</v>
      </c>
      <c r="E517" s="10">
        <v>1</v>
      </c>
      <c r="F517" s="10">
        <v>14</v>
      </c>
      <c r="G517" s="10" t="b">
        <v>0</v>
      </c>
      <c r="H517" s="10">
        <v>0</v>
      </c>
      <c r="I517" s="10" t="str">
        <f>IF(OR(Cleaned_datasetB[[#This Row],[Day_Code]]=0,Cleaned_datasetB[[#This Row],[Day_Code]]=6),"Weekend","Weekday")</f>
        <v>Weekend</v>
      </c>
      <c r="J517" s="10">
        <v>1</v>
      </c>
      <c r="K517" s="10">
        <v>0.16</v>
      </c>
      <c r="L517" s="51">
        <v>0.13639999999999999</v>
      </c>
      <c r="M517" s="10">
        <v>0.28000000000000003</v>
      </c>
      <c r="N517" s="10">
        <v>0.35820000000000002</v>
      </c>
      <c r="O517" s="10">
        <v>17</v>
      </c>
      <c r="P517" s="10">
        <v>93</v>
      </c>
      <c r="Q517" s="10">
        <v>110</v>
      </c>
      <c r="R517" s="10" t="str">
        <f>VLOOKUP(Cleaned_datasetB[[#This Row],[Weather_Code]],Lookup_Tables!$E$9:$F$13,2,FALSE)</f>
        <v>Clear</v>
      </c>
      <c r="S517" s="10" t="str">
        <f>INDEX(Lookup_Tables!$I$10:$I$16,MATCH(Cleaned_datasetB[[#This Row],[Day_Code]],Lookup_Tables!$H$10:$H$16,0))</f>
        <v>Sunday</v>
      </c>
      <c r="T517" s="10" t="str">
        <f>VLOOKUP(Cleaned_datasetB[[#This Row],[Month]], Lookup_Tables!$K$8:$L$19, 2, FALSE)</f>
        <v>January</v>
      </c>
      <c r="U517" s="10" t="str">
        <f>IF(AND(Cleaned_datasetB[[#This Row],[Day_Type]]="Weekday",Cleaned_datasetB[[#This Row],[Is_Holiday]]=FALSE),"Working Day","Non-Working Day")</f>
        <v>Non-Working Day</v>
      </c>
    </row>
    <row r="518" spans="1:21">
      <c r="A518" s="10">
        <v>517</v>
      </c>
      <c r="B518" s="23">
        <v>40566</v>
      </c>
      <c r="C518" s="10">
        <v>1</v>
      </c>
      <c r="D518" s="10">
        <v>0</v>
      </c>
      <c r="E518" s="10">
        <v>1</v>
      </c>
      <c r="F518" s="10">
        <v>15</v>
      </c>
      <c r="G518" s="10" t="b">
        <v>0</v>
      </c>
      <c r="H518" s="10">
        <v>0</v>
      </c>
      <c r="I518" s="10" t="str">
        <f>IF(OR(Cleaned_datasetB[[#This Row],[Day_Code]]=0,Cleaned_datasetB[[#This Row],[Day_Code]]=6),"Weekend","Weekday")</f>
        <v>Weekend</v>
      </c>
      <c r="J518" s="10">
        <v>1</v>
      </c>
      <c r="K518" s="10">
        <v>0.16</v>
      </c>
      <c r="L518" s="51">
        <v>0.13639999999999999</v>
      </c>
      <c r="M518" s="10">
        <v>0.28000000000000003</v>
      </c>
      <c r="N518" s="10">
        <v>0.35820000000000002</v>
      </c>
      <c r="O518" s="10">
        <v>13</v>
      </c>
      <c r="P518" s="10">
        <v>64</v>
      </c>
      <c r="Q518" s="10">
        <v>77</v>
      </c>
      <c r="R518" s="10" t="str">
        <f>VLOOKUP(Cleaned_datasetB[[#This Row],[Weather_Code]],Lookup_Tables!$E$9:$F$13,2,FALSE)</f>
        <v>Clear</v>
      </c>
      <c r="S518" s="10" t="str">
        <f>INDEX(Lookup_Tables!$I$10:$I$16,MATCH(Cleaned_datasetB[[#This Row],[Day_Code]],Lookup_Tables!$H$10:$H$16,0))</f>
        <v>Sunday</v>
      </c>
      <c r="T518" s="10" t="str">
        <f>VLOOKUP(Cleaned_datasetB[[#This Row],[Month]], Lookup_Tables!$K$8:$L$19, 2, FALSE)</f>
        <v>January</v>
      </c>
      <c r="U518" s="10" t="str">
        <f>IF(AND(Cleaned_datasetB[[#This Row],[Day_Type]]="Weekday",Cleaned_datasetB[[#This Row],[Is_Holiday]]=FALSE),"Working Day","Non-Working Day")</f>
        <v>Non-Working Day</v>
      </c>
    </row>
    <row r="519" spans="1:21">
      <c r="A519" s="10">
        <v>518</v>
      </c>
      <c r="B519" s="23">
        <v>40566</v>
      </c>
      <c r="C519" s="10">
        <v>1</v>
      </c>
      <c r="D519" s="10">
        <v>0</v>
      </c>
      <c r="E519" s="10">
        <v>1</v>
      </c>
      <c r="F519" s="10">
        <v>16</v>
      </c>
      <c r="G519" s="10" t="b">
        <v>0</v>
      </c>
      <c r="H519" s="10">
        <v>0</v>
      </c>
      <c r="I519" s="10" t="str">
        <f>IF(OR(Cleaned_datasetB[[#This Row],[Day_Code]]=0,Cleaned_datasetB[[#This Row],[Day_Code]]=6),"Weekend","Weekday")</f>
        <v>Weekend</v>
      </c>
      <c r="J519" s="10">
        <v>1</v>
      </c>
      <c r="K519" s="10">
        <v>0.16</v>
      </c>
      <c r="L519" s="51">
        <v>0.13639999999999999</v>
      </c>
      <c r="M519" s="10">
        <v>0.26</v>
      </c>
      <c r="N519" s="10">
        <v>0.32840000000000003</v>
      </c>
      <c r="O519" s="10">
        <v>9</v>
      </c>
      <c r="P519" s="10">
        <v>56</v>
      </c>
      <c r="Q519" s="10">
        <v>65</v>
      </c>
      <c r="R519" s="10" t="str">
        <f>VLOOKUP(Cleaned_datasetB[[#This Row],[Weather_Code]],Lookup_Tables!$E$9:$F$13,2,FALSE)</f>
        <v>Clear</v>
      </c>
      <c r="S519" s="10" t="str">
        <f>INDEX(Lookup_Tables!$I$10:$I$16,MATCH(Cleaned_datasetB[[#This Row],[Day_Code]],Lookup_Tables!$H$10:$H$16,0))</f>
        <v>Sunday</v>
      </c>
      <c r="T519" s="10" t="str">
        <f>VLOOKUP(Cleaned_datasetB[[#This Row],[Month]], Lookup_Tables!$K$8:$L$19, 2, FALSE)</f>
        <v>January</v>
      </c>
      <c r="U519" s="10" t="str">
        <f>IF(AND(Cleaned_datasetB[[#This Row],[Day_Type]]="Weekday",Cleaned_datasetB[[#This Row],[Is_Holiday]]=FALSE),"Working Day","Non-Working Day")</f>
        <v>Non-Working Day</v>
      </c>
    </row>
    <row r="520" spans="1:21">
      <c r="A520" s="10">
        <v>519</v>
      </c>
      <c r="B520" s="23">
        <v>40566</v>
      </c>
      <c r="C520" s="10">
        <v>1</v>
      </c>
      <c r="D520" s="10">
        <v>0</v>
      </c>
      <c r="E520" s="10">
        <v>1</v>
      </c>
      <c r="F520" s="10">
        <v>17</v>
      </c>
      <c r="G520" s="10" t="b">
        <v>0</v>
      </c>
      <c r="H520" s="10">
        <v>0</v>
      </c>
      <c r="I520" s="10" t="str">
        <f>IF(OR(Cleaned_datasetB[[#This Row],[Day_Code]]=0,Cleaned_datasetB[[#This Row],[Day_Code]]=6),"Weekend","Weekday")</f>
        <v>Weekend</v>
      </c>
      <c r="J520" s="10">
        <v>1</v>
      </c>
      <c r="K520" s="10">
        <v>0.14000000000000001</v>
      </c>
      <c r="L520" s="51">
        <v>0.1061</v>
      </c>
      <c r="M520" s="10">
        <v>0.26</v>
      </c>
      <c r="N520" s="10">
        <v>0.3881</v>
      </c>
      <c r="O520" s="10">
        <v>5</v>
      </c>
      <c r="P520" s="10">
        <v>50</v>
      </c>
      <c r="Q520" s="10">
        <v>55</v>
      </c>
      <c r="R520" s="10" t="str">
        <f>VLOOKUP(Cleaned_datasetB[[#This Row],[Weather_Code]],Lookup_Tables!$E$9:$F$13,2,FALSE)</f>
        <v>Clear</v>
      </c>
      <c r="S520" s="10" t="str">
        <f>INDEX(Lookup_Tables!$I$10:$I$16,MATCH(Cleaned_datasetB[[#This Row],[Day_Code]],Lookup_Tables!$H$10:$H$16,0))</f>
        <v>Sunday</v>
      </c>
      <c r="T520" s="10" t="str">
        <f>VLOOKUP(Cleaned_datasetB[[#This Row],[Month]], Lookup_Tables!$K$8:$L$19, 2, FALSE)</f>
        <v>January</v>
      </c>
      <c r="U520" s="10" t="str">
        <f>IF(AND(Cleaned_datasetB[[#This Row],[Day_Type]]="Weekday",Cleaned_datasetB[[#This Row],[Is_Holiday]]=FALSE),"Working Day","Non-Working Day")</f>
        <v>Non-Working Day</v>
      </c>
    </row>
    <row r="521" spans="1:21">
      <c r="A521" s="10">
        <v>520</v>
      </c>
      <c r="B521" s="23">
        <v>40566</v>
      </c>
      <c r="C521" s="10">
        <v>1</v>
      </c>
      <c r="D521" s="10">
        <v>0</v>
      </c>
      <c r="E521" s="10">
        <v>1</v>
      </c>
      <c r="F521" s="10">
        <v>18</v>
      </c>
      <c r="G521" s="10" t="b">
        <v>0</v>
      </c>
      <c r="H521" s="10">
        <v>0</v>
      </c>
      <c r="I521" s="10" t="str">
        <f>IF(OR(Cleaned_datasetB[[#This Row],[Day_Code]]=0,Cleaned_datasetB[[#This Row],[Day_Code]]=6),"Weekend","Weekday")</f>
        <v>Weekend</v>
      </c>
      <c r="J521" s="10">
        <v>1</v>
      </c>
      <c r="K521" s="10">
        <v>0.12</v>
      </c>
      <c r="L521" s="51">
        <v>0.1212</v>
      </c>
      <c r="M521" s="10">
        <v>0.3</v>
      </c>
      <c r="N521" s="10">
        <v>0.25369999999999998</v>
      </c>
      <c r="O521" s="10">
        <v>5</v>
      </c>
      <c r="P521" s="10">
        <v>44</v>
      </c>
      <c r="Q521" s="10">
        <v>49</v>
      </c>
      <c r="R521" s="10" t="str">
        <f>VLOOKUP(Cleaned_datasetB[[#This Row],[Weather_Code]],Lookup_Tables!$E$9:$F$13,2,FALSE)</f>
        <v>Clear</v>
      </c>
      <c r="S521" s="10" t="str">
        <f>INDEX(Lookup_Tables!$I$10:$I$16,MATCH(Cleaned_datasetB[[#This Row],[Day_Code]],Lookup_Tables!$H$10:$H$16,0))</f>
        <v>Sunday</v>
      </c>
      <c r="T521" s="10" t="str">
        <f>VLOOKUP(Cleaned_datasetB[[#This Row],[Month]], Lookup_Tables!$K$8:$L$19, 2, FALSE)</f>
        <v>January</v>
      </c>
      <c r="U521" s="10" t="str">
        <f>IF(AND(Cleaned_datasetB[[#This Row],[Day_Type]]="Weekday",Cleaned_datasetB[[#This Row],[Is_Holiday]]=FALSE),"Working Day","Non-Working Day")</f>
        <v>Non-Working Day</v>
      </c>
    </row>
    <row r="522" spans="1:21">
      <c r="A522" s="10">
        <v>521</v>
      </c>
      <c r="B522" s="23">
        <v>40566</v>
      </c>
      <c r="C522" s="10">
        <v>1</v>
      </c>
      <c r="D522" s="10">
        <v>0</v>
      </c>
      <c r="E522" s="10">
        <v>1</v>
      </c>
      <c r="F522" s="10">
        <v>19</v>
      </c>
      <c r="G522" s="10" t="b">
        <v>0</v>
      </c>
      <c r="H522" s="10">
        <v>0</v>
      </c>
      <c r="I522" s="10" t="str">
        <f>IF(OR(Cleaned_datasetB[[#This Row],[Day_Code]]=0,Cleaned_datasetB[[#This Row],[Day_Code]]=6),"Weekend","Weekday")</f>
        <v>Weekend</v>
      </c>
      <c r="J522" s="10">
        <v>1</v>
      </c>
      <c r="K522" s="10">
        <v>0.12</v>
      </c>
      <c r="L522" s="51">
        <v>0.1212</v>
      </c>
      <c r="M522" s="10">
        <v>0.3</v>
      </c>
      <c r="N522" s="10">
        <v>0.28360000000000002</v>
      </c>
      <c r="O522" s="10">
        <v>5</v>
      </c>
      <c r="P522" s="10">
        <v>45</v>
      </c>
      <c r="Q522" s="10">
        <v>50</v>
      </c>
      <c r="R522" s="10" t="str">
        <f>VLOOKUP(Cleaned_datasetB[[#This Row],[Weather_Code]],Lookup_Tables!$E$9:$F$13,2,FALSE)</f>
        <v>Clear</v>
      </c>
      <c r="S522" s="10" t="str">
        <f>INDEX(Lookup_Tables!$I$10:$I$16,MATCH(Cleaned_datasetB[[#This Row],[Day_Code]],Lookup_Tables!$H$10:$H$16,0))</f>
        <v>Sunday</v>
      </c>
      <c r="T522" s="10" t="str">
        <f>VLOOKUP(Cleaned_datasetB[[#This Row],[Month]], Lookup_Tables!$K$8:$L$19, 2, FALSE)</f>
        <v>January</v>
      </c>
      <c r="U522" s="10" t="str">
        <f>IF(AND(Cleaned_datasetB[[#This Row],[Day_Type]]="Weekday",Cleaned_datasetB[[#This Row],[Is_Holiday]]=FALSE),"Working Day","Non-Working Day")</f>
        <v>Non-Working Day</v>
      </c>
    </row>
    <row r="523" spans="1:21">
      <c r="A523" s="10">
        <v>522</v>
      </c>
      <c r="B523" s="23">
        <v>40566</v>
      </c>
      <c r="C523" s="10">
        <v>1</v>
      </c>
      <c r="D523" s="10">
        <v>0</v>
      </c>
      <c r="E523" s="10">
        <v>1</v>
      </c>
      <c r="F523" s="10">
        <v>20</v>
      </c>
      <c r="G523" s="10" t="b">
        <v>0</v>
      </c>
      <c r="H523" s="10">
        <v>0</v>
      </c>
      <c r="I523" s="10" t="str">
        <f>IF(OR(Cleaned_datasetB[[#This Row],[Day_Code]]=0,Cleaned_datasetB[[#This Row],[Day_Code]]=6),"Weekend","Weekday")</f>
        <v>Weekend</v>
      </c>
      <c r="J523" s="10">
        <v>1</v>
      </c>
      <c r="K523" s="10">
        <v>0.1</v>
      </c>
      <c r="L523" s="51">
        <v>0.1061</v>
      </c>
      <c r="M523" s="10">
        <v>0.36</v>
      </c>
      <c r="N523" s="10">
        <v>0.25369999999999998</v>
      </c>
      <c r="O523" s="10">
        <v>4</v>
      </c>
      <c r="P523" s="10">
        <v>31</v>
      </c>
      <c r="Q523" s="10">
        <v>35</v>
      </c>
      <c r="R523" s="10" t="str">
        <f>VLOOKUP(Cleaned_datasetB[[#This Row],[Weather_Code]],Lookup_Tables!$E$9:$F$13,2,FALSE)</f>
        <v>Clear</v>
      </c>
      <c r="S523" s="10" t="str">
        <f>INDEX(Lookup_Tables!$I$10:$I$16,MATCH(Cleaned_datasetB[[#This Row],[Day_Code]],Lookup_Tables!$H$10:$H$16,0))</f>
        <v>Sunday</v>
      </c>
      <c r="T523" s="10" t="str">
        <f>VLOOKUP(Cleaned_datasetB[[#This Row],[Month]], Lookup_Tables!$K$8:$L$19, 2, FALSE)</f>
        <v>January</v>
      </c>
      <c r="U523" s="10" t="str">
        <f>IF(AND(Cleaned_datasetB[[#This Row],[Day_Type]]="Weekday",Cleaned_datasetB[[#This Row],[Is_Holiday]]=FALSE),"Working Day","Non-Working Day")</f>
        <v>Non-Working Day</v>
      </c>
    </row>
    <row r="524" spans="1:21">
      <c r="A524" s="10">
        <v>523</v>
      </c>
      <c r="B524" s="23">
        <v>40566</v>
      </c>
      <c r="C524" s="10">
        <v>1</v>
      </c>
      <c r="D524" s="10">
        <v>0</v>
      </c>
      <c r="E524" s="10">
        <v>1</v>
      </c>
      <c r="F524" s="10">
        <v>21</v>
      </c>
      <c r="G524" s="10" t="b">
        <v>0</v>
      </c>
      <c r="H524" s="10">
        <v>0</v>
      </c>
      <c r="I524" s="10" t="str">
        <f>IF(OR(Cleaned_datasetB[[#This Row],[Day_Code]]=0,Cleaned_datasetB[[#This Row],[Day_Code]]=6),"Weekend","Weekday")</f>
        <v>Weekend</v>
      </c>
      <c r="J524" s="10">
        <v>1</v>
      </c>
      <c r="K524" s="10">
        <v>0.1</v>
      </c>
      <c r="L524" s="51">
        <v>0.1061</v>
      </c>
      <c r="M524" s="10">
        <v>0.36</v>
      </c>
      <c r="N524" s="10">
        <v>0.19400000000000001</v>
      </c>
      <c r="O524" s="10">
        <v>5</v>
      </c>
      <c r="P524" s="10">
        <v>20</v>
      </c>
      <c r="Q524" s="10">
        <v>25</v>
      </c>
      <c r="R524" s="10" t="str">
        <f>VLOOKUP(Cleaned_datasetB[[#This Row],[Weather_Code]],Lookup_Tables!$E$9:$F$13,2,FALSE)</f>
        <v>Clear</v>
      </c>
      <c r="S524" s="10" t="str">
        <f>INDEX(Lookup_Tables!$I$10:$I$16,MATCH(Cleaned_datasetB[[#This Row],[Day_Code]],Lookup_Tables!$H$10:$H$16,0))</f>
        <v>Sunday</v>
      </c>
      <c r="T524" s="10" t="str">
        <f>VLOOKUP(Cleaned_datasetB[[#This Row],[Month]], Lookup_Tables!$K$8:$L$19, 2, FALSE)</f>
        <v>January</v>
      </c>
      <c r="U524" s="10" t="str">
        <f>IF(AND(Cleaned_datasetB[[#This Row],[Day_Type]]="Weekday",Cleaned_datasetB[[#This Row],[Is_Holiday]]=FALSE),"Working Day","Non-Working Day")</f>
        <v>Non-Working Day</v>
      </c>
    </row>
    <row r="525" spans="1:21">
      <c r="A525" s="10">
        <v>524</v>
      </c>
      <c r="B525" s="23">
        <v>40566</v>
      </c>
      <c r="C525" s="10">
        <v>1</v>
      </c>
      <c r="D525" s="10">
        <v>0</v>
      </c>
      <c r="E525" s="10">
        <v>1</v>
      </c>
      <c r="F525" s="10">
        <v>22</v>
      </c>
      <c r="G525" s="10" t="b">
        <v>0</v>
      </c>
      <c r="H525" s="10">
        <v>0</v>
      </c>
      <c r="I525" s="10" t="str">
        <f>IF(OR(Cleaned_datasetB[[#This Row],[Day_Code]]=0,Cleaned_datasetB[[#This Row],[Day_Code]]=6),"Weekend","Weekday")</f>
        <v>Weekend</v>
      </c>
      <c r="J525" s="10">
        <v>1</v>
      </c>
      <c r="K525" s="10">
        <v>0.08</v>
      </c>
      <c r="L525" s="51">
        <v>9.0899999999999995E-2</v>
      </c>
      <c r="M525" s="10">
        <v>0.38</v>
      </c>
      <c r="N525" s="10">
        <v>0.19400000000000001</v>
      </c>
      <c r="O525" s="10">
        <v>5</v>
      </c>
      <c r="P525" s="10">
        <v>23</v>
      </c>
      <c r="Q525" s="10">
        <v>28</v>
      </c>
      <c r="R525" s="10" t="str">
        <f>VLOOKUP(Cleaned_datasetB[[#This Row],[Weather_Code]],Lookup_Tables!$E$9:$F$13,2,FALSE)</f>
        <v>Clear</v>
      </c>
      <c r="S525" s="10" t="str">
        <f>INDEX(Lookup_Tables!$I$10:$I$16,MATCH(Cleaned_datasetB[[#This Row],[Day_Code]],Lookup_Tables!$H$10:$H$16,0))</f>
        <v>Sunday</v>
      </c>
      <c r="T525" s="10" t="str">
        <f>VLOOKUP(Cleaned_datasetB[[#This Row],[Month]], Lookup_Tables!$K$8:$L$19, 2, FALSE)</f>
        <v>January</v>
      </c>
      <c r="U525" s="10" t="str">
        <f>IF(AND(Cleaned_datasetB[[#This Row],[Day_Type]]="Weekday",Cleaned_datasetB[[#This Row],[Is_Holiday]]=FALSE),"Working Day","Non-Working Day")</f>
        <v>Non-Working Day</v>
      </c>
    </row>
    <row r="526" spans="1:21">
      <c r="A526" s="10">
        <v>525</v>
      </c>
      <c r="B526" s="23">
        <v>40566</v>
      </c>
      <c r="C526" s="10">
        <v>1</v>
      </c>
      <c r="D526" s="10">
        <v>0</v>
      </c>
      <c r="E526" s="10">
        <v>1</v>
      </c>
      <c r="F526" s="10">
        <v>23</v>
      </c>
      <c r="G526" s="10" t="b">
        <v>0</v>
      </c>
      <c r="H526" s="10">
        <v>0</v>
      </c>
      <c r="I526" s="10" t="str">
        <f>IF(OR(Cleaned_datasetB[[#This Row],[Day_Code]]=0,Cleaned_datasetB[[#This Row],[Day_Code]]=6),"Weekend","Weekday")</f>
        <v>Weekend</v>
      </c>
      <c r="J526" s="10">
        <v>1</v>
      </c>
      <c r="K526" s="10">
        <v>0.06</v>
      </c>
      <c r="L526" s="51">
        <v>6.0600000000000001E-2</v>
      </c>
      <c r="M526" s="10">
        <v>0.41</v>
      </c>
      <c r="N526" s="10">
        <v>0.22389999999999999</v>
      </c>
      <c r="O526" s="10">
        <v>4</v>
      </c>
      <c r="P526" s="10">
        <v>17</v>
      </c>
      <c r="Q526" s="10">
        <v>21</v>
      </c>
      <c r="R526" s="10" t="str">
        <f>VLOOKUP(Cleaned_datasetB[[#This Row],[Weather_Code]],Lookup_Tables!$E$9:$F$13,2,FALSE)</f>
        <v>Clear</v>
      </c>
      <c r="S526" s="10" t="str">
        <f>INDEX(Lookup_Tables!$I$10:$I$16,MATCH(Cleaned_datasetB[[#This Row],[Day_Code]],Lookup_Tables!$H$10:$H$16,0))</f>
        <v>Sunday</v>
      </c>
      <c r="T526" s="10" t="str">
        <f>VLOOKUP(Cleaned_datasetB[[#This Row],[Month]], Lookup_Tables!$K$8:$L$19, 2, FALSE)</f>
        <v>January</v>
      </c>
      <c r="U526" s="10" t="str">
        <f>IF(AND(Cleaned_datasetB[[#This Row],[Day_Type]]="Weekday",Cleaned_datasetB[[#This Row],[Is_Holiday]]=FALSE),"Working Day","Non-Working Day")</f>
        <v>Non-Working Day</v>
      </c>
    </row>
    <row r="527" spans="1:21">
      <c r="A527" s="10">
        <v>526</v>
      </c>
      <c r="B527" s="23">
        <v>40567</v>
      </c>
      <c r="C527" s="10">
        <v>1</v>
      </c>
      <c r="D527" s="10">
        <v>0</v>
      </c>
      <c r="E527" s="10">
        <v>1</v>
      </c>
      <c r="F527" s="10">
        <v>0</v>
      </c>
      <c r="G527" s="10" t="b">
        <v>0</v>
      </c>
      <c r="H527" s="10">
        <v>1</v>
      </c>
      <c r="I527" s="10" t="str">
        <f>IF(OR(Cleaned_datasetB[[#This Row],[Day_Code]]=0,Cleaned_datasetB[[#This Row],[Day_Code]]=6),"Weekend","Weekday")</f>
        <v>Weekday</v>
      </c>
      <c r="J527" s="10">
        <v>1</v>
      </c>
      <c r="K527" s="10">
        <v>0.06</v>
      </c>
      <c r="L527" s="51">
        <v>6.0600000000000001E-2</v>
      </c>
      <c r="M527" s="10">
        <v>0.41</v>
      </c>
      <c r="N527" s="10">
        <v>0.19400000000000001</v>
      </c>
      <c r="O527" s="10">
        <v>0</v>
      </c>
      <c r="P527" s="10">
        <v>7</v>
      </c>
      <c r="Q527" s="10">
        <v>7</v>
      </c>
      <c r="R527" s="10" t="str">
        <f>VLOOKUP(Cleaned_datasetB[[#This Row],[Weather_Code]],Lookup_Tables!$E$9:$F$13,2,FALSE)</f>
        <v>Clear</v>
      </c>
      <c r="S527" s="10" t="str">
        <f>INDEX(Lookup_Tables!$I$10:$I$16,MATCH(Cleaned_datasetB[[#This Row],[Day_Code]],Lookup_Tables!$H$10:$H$16,0))</f>
        <v>Monday</v>
      </c>
      <c r="T527" s="10" t="str">
        <f>VLOOKUP(Cleaned_datasetB[[#This Row],[Month]], Lookup_Tables!$K$8:$L$19, 2, FALSE)</f>
        <v>January</v>
      </c>
      <c r="U527" s="10" t="str">
        <f>IF(AND(Cleaned_datasetB[[#This Row],[Day_Type]]="Weekday",Cleaned_datasetB[[#This Row],[Is_Holiday]]=FALSE),"Working Day","Non-Working Day")</f>
        <v>Working Day</v>
      </c>
    </row>
    <row r="528" spans="1:21">
      <c r="A528" s="10">
        <v>527</v>
      </c>
      <c r="B528" s="23">
        <v>40567</v>
      </c>
      <c r="C528" s="10">
        <v>1</v>
      </c>
      <c r="D528" s="10">
        <v>0</v>
      </c>
      <c r="E528" s="10">
        <v>1</v>
      </c>
      <c r="F528" s="10">
        <v>1</v>
      </c>
      <c r="G528" s="10" t="b">
        <v>0</v>
      </c>
      <c r="H528" s="10">
        <v>1</v>
      </c>
      <c r="I528" s="10" t="str">
        <f>IF(OR(Cleaned_datasetB[[#This Row],[Day_Code]]=0,Cleaned_datasetB[[#This Row],[Day_Code]]=6),"Weekend","Weekday")</f>
        <v>Weekday</v>
      </c>
      <c r="J528" s="10">
        <v>1</v>
      </c>
      <c r="K528" s="10">
        <v>0.04</v>
      </c>
      <c r="L528" s="51">
        <v>4.5499999999999999E-2</v>
      </c>
      <c r="M528" s="10">
        <v>0.45</v>
      </c>
      <c r="N528" s="10">
        <v>0.19400000000000001</v>
      </c>
      <c r="O528" s="10">
        <v>0</v>
      </c>
      <c r="P528" s="10">
        <v>1</v>
      </c>
      <c r="Q528" s="10">
        <v>1</v>
      </c>
      <c r="R528" s="10" t="str">
        <f>VLOOKUP(Cleaned_datasetB[[#This Row],[Weather_Code]],Lookup_Tables!$E$9:$F$13,2,FALSE)</f>
        <v>Clear</v>
      </c>
      <c r="S528" s="10" t="str">
        <f>INDEX(Lookup_Tables!$I$10:$I$16,MATCH(Cleaned_datasetB[[#This Row],[Day_Code]],Lookup_Tables!$H$10:$H$16,0))</f>
        <v>Monday</v>
      </c>
      <c r="T528" s="10" t="str">
        <f>VLOOKUP(Cleaned_datasetB[[#This Row],[Month]], Lookup_Tables!$K$8:$L$19, 2, FALSE)</f>
        <v>January</v>
      </c>
      <c r="U528" s="10" t="str">
        <f>IF(AND(Cleaned_datasetB[[#This Row],[Day_Type]]="Weekday",Cleaned_datasetB[[#This Row],[Is_Holiday]]=FALSE),"Working Day","Non-Working Day")</f>
        <v>Working Day</v>
      </c>
    </row>
    <row r="529" spans="1:21">
      <c r="A529" s="10">
        <v>528</v>
      </c>
      <c r="B529" s="23">
        <v>40567</v>
      </c>
      <c r="C529" s="10">
        <v>1</v>
      </c>
      <c r="D529" s="10">
        <v>0</v>
      </c>
      <c r="E529" s="10">
        <v>1</v>
      </c>
      <c r="F529" s="10">
        <v>3</v>
      </c>
      <c r="G529" s="10" t="b">
        <v>0</v>
      </c>
      <c r="H529" s="10">
        <v>1</v>
      </c>
      <c r="I529" s="10" t="str">
        <f>IF(OR(Cleaned_datasetB[[#This Row],[Day_Code]]=0,Cleaned_datasetB[[#This Row],[Day_Code]]=6),"Weekend","Weekday")</f>
        <v>Weekday</v>
      </c>
      <c r="J529" s="10">
        <v>1</v>
      </c>
      <c r="K529" s="10">
        <v>0.04</v>
      </c>
      <c r="L529" s="51">
        <v>3.0300000000000001E-2</v>
      </c>
      <c r="M529" s="10">
        <v>0.45</v>
      </c>
      <c r="N529" s="10">
        <v>0.25369999999999998</v>
      </c>
      <c r="O529" s="10">
        <v>0</v>
      </c>
      <c r="P529" s="10">
        <v>1</v>
      </c>
      <c r="Q529" s="10">
        <v>1</v>
      </c>
      <c r="R529" s="10" t="str">
        <f>VLOOKUP(Cleaned_datasetB[[#This Row],[Weather_Code]],Lookup_Tables!$E$9:$F$13,2,FALSE)</f>
        <v>Clear</v>
      </c>
      <c r="S529" s="10" t="str">
        <f>INDEX(Lookup_Tables!$I$10:$I$16,MATCH(Cleaned_datasetB[[#This Row],[Day_Code]],Lookup_Tables!$H$10:$H$16,0))</f>
        <v>Monday</v>
      </c>
      <c r="T529" s="10" t="str">
        <f>VLOOKUP(Cleaned_datasetB[[#This Row],[Month]], Lookup_Tables!$K$8:$L$19, 2, FALSE)</f>
        <v>January</v>
      </c>
      <c r="U529" s="10" t="str">
        <f>IF(AND(Cleaned_datasetB[[#This Row],[Day_Type]]="Weekday",Cleaned_datasetB[[#This Row],[Is_Holiday]]=FALSE),"Working Day","Non-Working Day")</f>
        <v>Working Day</v>
      </c>
    </row>
    <row r="530" spans="1:21">
      <c r="A530" s="10">
        <v>529</v>
      </c>
      <c r="B530" s="23">
        <v>40567</v>
      </c>
      <c r="C530" s="10">
        <v>1</v>
      </c>
      <c r="D530" s="10">
        <v>0</v>
      </c>
      <c r="E530" s="10">
        <v>1</v>
      </c>
      <c r="F530" s="10">
        <v>4</v>
      </c>
      <c r="G530" s="10" t="b">
        <v>0</v>
      </c>
      <c r="H530" s="10">
        <v>1</v>
      </c>
      <c r="I530" s="10" t="str">
        <f>IF(OR(Cleaned_datasetB[[#This Row],[Day_Code]]=0,Cleaned_datasetB[[#This Row],[Day_Code]]=6),"Weekend","Weekday")</f>
        <v>Weekday</v>
      </c>
      <c r="J530" s="10">
        <v>1</v>
      </c>
      <c r="K530" s="10">
        <v>0.02</v>
      </c>
      <c r="L530" s="51">
        <v>6.0600000000000001E-2</v>
      </c>
      <c r="M530" s="10">
        <v>0.48</v>
      </c>
      <c r="N530" s="10">
        <v>0.1343</v>
      </c>
      <c r="O530" s="10">
        <v>0</v>
      </c>
      <c r="P530" s="10">
        <v>1</v>
      </c>
      <c r="Q530" s="10">
        <v>1</v>
      </c>
      <c r="R530" s="10" t="str">
        <f>VLOOKUP(Cleaned_datasetB[[#This Row],[Weather_Code]],Lookup_Tables!$E$9:$F$13,2,FALSE)</f>
        <v>Clear</v>
      </c>
      <c r="S530" s="10" t="str">
        <f>INDEX(Lookup_Tables!$I$10:$I$16,MATCH(Cleaned_datasetB[[#This Row],[Day_Code]],Lookup_Tables!$H$10:$H$16,0))</f>
        <v>Monday</v>
      </c>
      <c r="T530" s="10" t="str">
        <f>VLOOKUP(Cleaned_datasetB[[#This Row],[Month]], Lookup_Tables!$K$8:$L$19, 2, FALSE)</f>
        <v>January</v>
      </c>
      <c r="U530" s="10" t="str">
        <f>IF(AND(Cleaned_datasetB[[#This Row],[Day_Type]]="Weekday",Cleaned_datasetB[[#This Row],[Is_Holiday]]=FALSE),"Working Day","Non-Working Day")</f>
        <v>Working Day</v>
      </c>
    </row>
    <row r="531" spans="1:21">
      <c r="A531" s="10">
        <v>530</v>
      </c>
      <c r="B531" s="23">
        <v>40567</v>
      </c>
      <c r="C531" s="10">
        <v>1</v>
      </c>
      <c r="D531" s="10">
        <v>0</v>
      </c>
      <c r="E531" s="10">
        <v>1</v>
      </c>
      <c r="F531" s="10">
        <v>5</v>
      </c>
      <c r="G531" s="10" t="b">
        <v>0</v>
      </c>
      <c r="H531" s="10">
        <v>1</v>
      </c>
      <c r="I531" s="10" t="str">
        <f>IF(OR(Cleaned_datasetB[[#This Row],[Day_Code]]=0,Cleaned_datasetB[[#This Row],[Day_Code]]=6),"Weekend","Weekday")</f>
        <v>Weekday</v>
      </c>
      <c r="J531" s="10">
        <v>1</v>
      </c>
      <c r="K531" s="10">
        <v>0.02</v>
      </c>
      <c r="L531" s="51">
        <v>6.0600000000000001E-2</v>
      </c>
      <c r="M531" s="10">
        <v>0.48</v>
      </c>
      <c r="N531" s="10">
        <v>0.1343</v>
      </c>
      <c r="O531" s="10">
        <v>0</v>
      </c>
      <c r="P531" s="10">
        <v>5</v>
      </c>
      <c r="Q531" s="10">
        <v>5</v>
      </c>
      <c r="R531" s="10" t="str">
        <f>VLOOKUP(Cleaned_datasetB[[#This Row],[Weather_Code]],Lookup_Tables!$E$9:$F$13,2,FALSE)</f>
        <v>Clear</v>
      </c>
      <c r="S531" s="10" t="str">
        <f>INDEX(Lookup_Tables!$I$10:$I$16,MATCH(Cleaned_datasetB[[#This Row],[Day_Code]],Lookup_Tables!$H$10:$H$16,0))</f>
        <v>Monday</v>
      </c>
      <c r="T531" s="10" t="str">
        <f>VLOOKUP(Cleaned_datasetB[[#This Row],[Month]], Lookup_Tables!$K$8:$L$19, 2, FALSE)</f>
        <v>January</v>
      </c>
      <c r="U531" s="10" t="str">
        <f>IF(AND(Cleaned_datasetB[[#This Row],[Day_Type]]="Weekday",Cleaned_datasetB[[#This Row],[Is_Holiday]]=FALSE),"Working Day","Non-Working Day")</f>
        <v>Working Day</v>
      </c>
    </row>
    <row r="532" spans="1:21">
      <c r="A532" s="10">
        <v>531</v>
      </c>
      <c r="B532" s="23">
        <v>40567</v>
      </c>
      <c r="C532" s="10">
        <v>1</v>
      </c>
      <c r="D532" s="10">
        <v>0</v>
      </c>
      <c r="E532" s="10">
        <v>1</v>
      </c>
      <c r="F532" s="10">
        <v>6</v>
      </c>
      <c r="G532" s="10" t="b">
        <v>0</v>
      </c>
      <c r="H532" s="10">
        <v>1</v>
      </c>
      <c r="I532" s="10" t="str">
        <f>IF(OR(Cleaned_datasetB[[#This Row],[Day_Code]]=0,Cleaned_datasetB[[#This Row],[Day_Code]]=6),"Weekend","Weekday")</f>
        <v>Weekday</v>
      </c>
      <c r="J532" s="10">
        <v>1</v>
      </c>
      <c r="K532" s="10">
        <v>0.02</v>
      </c>
      <c r="L532" s="51">
        <v>7.5800000000000006E-2</v>
      </c>
      <c r="M532" s="10">
        <v>0.48</v>
      </c>
      <c r="N532" s="10">
        <v>8.9599999999999999E-2</v>
      </c>
      <c r="O532" s="10">
        <v>0</v>
      </c>
      <c r="P532" s="10">
        <v>15</v>
      </c>
      <c r="Q532" s="10">
        <v>15</v>
      </c>
      <c r="R532" s="10" t="str">
        <f>VLOOKUP(Cleaned_datasetB[[#This Row],[Weather_Code]],Lookup_Tables!$E$9:$F$13,2,FALSE)</f>
        <v>Clear</v>
      </c>
      <c r="S532" s="10" t="str">
        <f>INDEX(Lookup_Tables!$I$10:$I$16,MATCH(Cleaned_datasetB[[#This Row],[Day_Code]],Lookup_Tables!$H$10:$H$16,0))</f>
        <v>Monday</v>
      </c>
      <c r="T532" s="10" t="str">
        <f>VLOOKUP(Cleaned_datasetB[[#This Row],[Month]], Lookup_Tables!$K$8:$L$19, 2, FALSE)</f>
        <v>January</v>
      </c>
      <c r="U532" s="10" t="str">
        <f>IF(AND(Cleaned_datasetB[[#This Row],[Day_Type]]="Weekday",Cleaned_datasetB[[#This Row],[Is_Holiday]]=FALSE),"Working Day","Non-Working Day")</f>
        <v>Working Day</v>
      </c>
    </row>
    <row r="533" spans="1:21">
      <c r="A533" s="10">
        <v>532</v>
      </c>
      <c r="B533" s="23">
        <v>40567</v>
      </c>
      <c r="C533" s="10">
        <v>1</v>
      </c>
      <c r="D533" s="10">
        <v>0</v>
      </c>
      <c r="E533" s="10">
        <v>1</v>
      </c>
      <c r="F533" s="10">
        <v>7</v>
      </c>
      <c r="G533" s="10" t="b">
        <v>0</v>
      </c>
      <c r="H533" s="10">
        <v>1</v>
      </c>
      <c r="I533" s="10" t="str">
        <f>IF(OR(Cleaned_datasetB[[#This Row],[Day_Code]]=0,Cleaned_datasetB[[#This Row],[Day_Code]]=6),"Weekend","Weekday")</f>
        <v>Weekday</v>
      </c>
      <c r="J533" s="10">
        <v>1</v>
      </c>
      <c r="K533" s="10">
        <v>0.02</v>
      </c>
      <c r="L533" s="51">
        <v>0.1212</v>
      </c>
      <c r="M533" s="10">
        <v>0.48</v>
      </c>
      <c r="N533" s="10">
        <v>0</v>
      </c>
      <c r="O533" s="10">
        <v>5</v>
      </c>
      <c r="P533" s="10">
        <v>79</v>
      </c>
      <c r="Q533" s="10">
        <v>84</v>
      </c>
      <c r="R533" s="10" t="str">
        <f>VLOOKUP(Cleaned_datasetB[[#This Row],[Weather_Code]],Lookup_Tables!$E$9:$F$13,2,FALSE)</f>
        <v>Clear</v>
      </c>
      <c r="S533" s="10" t="str">
        <f>INDEX(Lookup_Tables!$I$10:$I$16,MATCH(Cleaned_datasetB[[#This Row],[Day_Code]],Lookup_Tables!$H$10:$H$16,0))</f>
        <v>Monday</v>
      </c>
      <c r="T533" s="10" t="str">
        <f>VLOOKUP(Cleaned_datasetB[[#This Row],[Month]], Lookup_Tables!$K$8:$L$19, 2, FALSE)</f>
        <v>January</v>
      </c>
      <c r="U533" s="10" t="str">
        <f>IF(AND(Cleaned_datasetB[[#This Row],[Day_Type]]="Weekday",Cleaned_datasetB[[#This Row],[Is_Holiday]]=FALSE),"Working Day","Non-Working Day")</f>
        <v>Working Day</v>
      </c>
    </row>
    <row r="534" spans="1:21">
      <c r="A534" s="10">
        <v>533</v>
      </c>
      <c r="B534" s="23">
        <v>40567</v>
      </c>
      <c r="C534" s="10">
        <v>1</v>
      </c>
      <c r="D534" s="10">
        <v>0</v>
      </c>
      <c r="E534" s="10">
        <v>1</v>
      </c>
      <c r="F534" s="10">
        <v>8</v>
      </c>
      <c r="G534" s="10" t="b">
        <v>0</v>
      </c>
      <c r="H534" s="10">
        <v>1</v>
      </c>
      <c r="I534" s="10" t="str">
        <f>IF(OR(Cleaned_datasetB[[#This Row],[Day_Code]]=0,Cleaned_datasetB[[#This Row],[Day_Code]]=6),"Weekend","Weekday")</f>
        <v>Weekday</v>
      </c>
      <c r="J534" s="10">
        <v>1</v>
      </c>
      <c r="K534" s="10">
        <v>0.04</v>
      </c>
      <c r="L534" s="51">
        <v>0.13639999999999999</v>
      </c>
      <c r="M534" s="10">
        <v>0.49</v>
      </c>
      <c r="N534" s="10">
        <v>0</v>
      </c>
      <c r="O534" s="10">
        <v>6</v>
      </c>
      <c r="P534" s="10">
        <v>171</v>
      </c>
      <c r="Q534" s="10">
        <v>177</v>
      </c>
      <c r="R534" s="10" t="str">
        <f>VLOOKUP(Cleaned_datasetB[[#This Row],[Weather_Code]],Lookup_Tables!$E$9:$F$13,2,FALSE)</f>
        <v>Clear</v>
      </c>
      <c r="S534" s="10" t="str">
        <f>INDEX(Lookup_Tables!$I$10:$I$16,MATCH(Cleaned_datasetB[[#This Row],[Day_Code]],Lookup_Tables!$H$10:$H$16,0))</f>
        <v>Monday</v>
      </c>
      <c r="T534" s="10" t="str">
        <f>VLOOKUP(Cleaned_datasetB[[#This Row],[Month]], Lookup_Tables!$K$8:$L$19, 2, FALSE)</f>
        <v>January</v>
      </c>
      <c r="U534" s="10" t="str">
        <f>IF(AND(Cleaned_datasetB[[#This Row],[Day_Type]]="Weekday",Cleaned_datasetB[[#This Row],[Is_Holiday]]=FALSE),"Working Day","Non-Working Day")</f>
        <v>Working Day</v>
      </c>
    </row>
    <row r="535" spans="1:21">
      <c r="A535" s="10">
        <v>534</v>
      </c>
      <c r="B535" s="23">
        <v>40567</v>
      </c>
      <c r="C535" s="10">
        <v>1</v>
      </c>
      <c r="D535" s="10">
        <v>0</v>
      </c>
      <c r="E535" s="10">
        <v>1</v>
      </c>
      <c r="F535" s="10">
        <v>9</v>
      </c>
      <c r="G535" s="10" t="b">
        <v>0</v>
      </c>
      <c r="H535" s="10">
        <v>1</v>
      </c>
      <c r="I535" s="10" t="str">
        <f>IF(OR(Cleaned_datasetB[[#This Row],[Day_Code]]=0,Cleaned_datasetB[[#This Row],[Day_Code]]=6),"Weekend","Weekday")</f>
        <v>Weekday</v>
      </c>
      <c r="J535" s="10">
        <v>1</v>
      </c>
      <c r="K535" s="10">
        <v>0.06</v>
      </c>
      <c r="L535" s="51">
        <v>0.1515</v>
      </c>
      <c r="M535" s="10">
        <v>0.41</v>
      </c>
      <c r="N535" s="10">
        <v>0</v>
      </c>
      <c r="O535" s="10">
        <v>4</v>
      </c>
      <c r="P535" s="10">
        <v>98</v>
      </c>
      <c r="Q535" s="10">
        <v>102</v>
      </c>
      <c r="R535" s="10" t="str">
        <f>VLOOKUP(Cleaned_datasetB[[#This Row],[Weather_Code]],Lookup_Tables!$E$9:$F$13,2,FALSE)</f>
        <v>Clear</v>
      </c>
      <c r="S535" s="10" t="str">
        <f>INDEX(Lookup_Tables!$I$10:$I$16,MATCH(Cleaned_datasetB[[#This Row],[Day_Code]],Lookup_Tables!$H$10:$H$16,0))</f>
        <v>Monday</v>
      </c>
      <c r="T535" s="10" t="str">
        <f>VLOOKUP(Cleaned_datasetB[[#This Row],[Month]], Lookup_Tables!$K$8:$L$19, 2, FALSE)</f>
        <v>January</v>
      </c>
      <c r="U535" s="10" t="str">
        <f>IF(AND(Cleaned_datasetB[[#This Row],[Day_Type]]="Weekday",Cleaned_datasetB[[#This Row],[Is_Holiday]]=FALSE),"Working Day","Non-Working Day")</f>
        <v>Working Day</v>
      </c>
    </row>
    <row r="536" spans="1:21">
      <c r="A536" s="10">
        <v>535</v>
      </c>
      <c r="B536" s="23">
        <v>40567</v>
      </c>
      <c r="C536" s="10">
        <v>1</v>
      </c>
      <c r="D536" s="10">
        <v>0</v>
      </c>
      <c r="E536" s="10">
        <v>1</v>
      </c>
      <c r="F536" s="10">
        <v>10</v>
      </c>
      <c r="G536" s="10" t="b">
        <v>0</v>
      </c>
      <c r="H536" s="10">
        <v>1</v>
      </c>
      <c r="I536" s="10" t="str">
        <f>IF(OR(Cleaned_datasetB[[#This Row],[Day_Code]]=0,Cleaned_datasetB[[#This Row],[Day_Code]]=6),"Weekend","Weekday")</f>
        <v>Weekday</v>
      </c>
      <c r="J536" s="10">
        <v>1</v>
      </c>
      <c r="K536" s="10">
        <v>0.1</v>
      </c>
      <c r="L536" s="51">
        <v>0.13639999999999999</v>
      </c>
      <c r="M536" s="10">
        <v>0.42</v>
      </c>
      <c r="N536" s="10">
        <v>0</v>
      </c>
      <c r="O536" s="10">
        <v>6</v>
      </c>
      <c r="P536" s="10">
        <v>34</v>
      </c>
      <c r="Q536" s="10">
        <v>40</v>
      </c>
      <c r="R536" s="10" t="str">
        <f>VLOOKUP(Cleaned_datasetB[[#This Row],[Weather_Code]],Lookup_Tables!$E$9:$F$13,2,FALSE)</f>
        <v>Clear</v>
      </c>
      <c r="S536" s="10" t="str">
        <f>INDEX(Lookup_Tables!$I$10:$I$16,MATCH(Cleaned_datasetB[[#This Row],[Day_Code]],Lookup_Tables!$H$10:$H$16,0))</f>
        <v>Monday</v>
      </c>
      <c r="T536" s="10" t="str">
        <f>VLOOKUP(Cleaned_datasetB[[#This Row],[Month]], Lookup_Tables!$K$8:$L$19, 2, FALSE)</f>
        <v>January</v>
      </c>
      <c r="U536" s="10" t="str">
        <f>IF(AND(Cleaned_datasetB[[#This Row],[Day_Type]]="Weekday",Cleaned_datasetB[[#This Row],[Is_Holiday]]=FALSE),"Working Day","Non-Working Day")</f>
        <v>Working Day</v>
      </c>
    </row>
    <row r="537" spans="1:21">
      <c r="A537" s="10">
        <v>536</v>
      </c>
      <c r="B537" s="23">
        <v>40567</v>
      </c>
      <c r="C537" s="10">
        <v>1</v>
      </c>
      <c r="D537" s="10">
        <v>0</v>
      </c>
      <c r="E537" s="10">
        <v>1</v>
      </c>
      <c r="F537" s="10">
        <v>11</v>
      </c>
      <c r="G537" s="10" t="b">
        <v>0</v>
      </c>
      <c r="H537" s="10">
        <v>1</v>
      </c>
      <c r="I537" s="10" t="str">
        <f>IF(OR(Cleaned_datasetB[[#This Row],[Day_Code]]=0,Cleaned_datasetB[[#This Row],[Day_Code]]=6),"Weekend","Weekday")</f>
        <v>Weekday</v>
      </c>
      <c r="J537" s="10">
        <v>1</v>
      </c>
      <c r="K537" s="10">
        <v>0.1</v>
      </c>
      <c r="L537" s="51">
        <v>0.1212</v>
      </c>
      <c r="M537" s="10">
        <v>0.46</v>
      </c>
      <c r="N537" s="10">
        <v>0.1343</v>
      </c>
      <c r="O537" s="10">
        <v>3</v>
      </c>
      <c r="P537" s="10">
        <v>43</v>
      </c>
      <c r="Q537" s="10">
        <v>46</v>
      </c>
      <c r="R537" s="10" t="str">
        <f>VLOOKUP(Cleaned_datasetB[[#This Row],[Weather_Code]],Lookup_Tables!$E$9:$F$13,2,FALSE)</f>
        <v>Clear</v>
      </c>
      <c r="S537" s="10" t="str">
        <f>INDEX(Lookup_Tables!$I$10:$I$16,MATCH(Cleaned_datasetB[[#This Row],[Day_Code]],Lookup_Tables!$H$10:$H$16,0))</f>
        <v>Monday</v>
      </c>
      <c r="T537" s="10" t="str">
        <f>VLOOKUP(Cleaned_datasetB[[#This Row],[Month]], Lookup_Tables!$K$8:$L$19, 2, FALSE)</f>
        <v>January</v>
      </c>
      <c r="U537" s="10" t="str">
        <f>IF(AND(Cleaned_datasetB[[#This Row],[Day_Type]]="Weekday",Cleaned_datasetB[[#This Row],[Is_Holiday]]=FALSE),"Working Day","Non-Working Day")</f>
        <v>Working Day</v>
      </c>
    </row>
    <row r="538" spans="1:21">
      <c r="A538" s="10">
        <v>537</v>
      </c>
      <c r="B538" s="23">
        <v>40567</v>
      </c>
      <c r="C538" s="10">
        <v>1</v>
      </c>
      <c r="D538" s="10">
        <v>0</v>
      </c>
      <c r="E538" s="10">
        <v>1</v>
      </c>
      <c r="F538" s="10">
        <v>12</v>
      </c>
      <c r="G538" s="10" t="b">
        <v>0</v>
      </c>
      <c r="H538" s="10">
        <v>1</v>
      </c>
      <c r="I538" s="10" t="str">
        <f>IF(OR(Cleaned_datasetB[[#This Row],[Day_Code]]=0,Cleaned_datasetB[[#This Row],[Day_Code]]=6),"Weekend","Weekday")</f>
        <v>Weekday</v>
      </c>
      <c r="J538" s="10">
        <v>2</v>
      </c>
      <c r="K538" s="10">
        <v>0.12</v>
      </c>
      <c r="L538" s="51">
        <v>0.13639999999999999</v>
      </c>
      <c r="M538" s="10">
        <v>0.42</v>
      </c>
      <c r="N538" s="10">
        <v>0.19400000000000001</v>
      </c>
      <c r="O538" s="10">
        <v>11</v>
      </c>
      <c r="P538" s="10">
        <v>52</v>
      </c>
      <c r="Q538" s="10">
        <v>63</v>
      </c>
      <c r="R538" s="10" t="str">
        <f>VLOOKUP(Cleaned_datasetB[[#This Row],[Weather_Code]],Lookup_Tables!$E$9:$F$13,2,FALSE)</f>
        <v>Cloudy</v>
      </c>
      <c r="S538" s="10" t="str">
        <f>INDEX(Lookup_Tables!$I$10:$I$16,MATCH(Cleaned_datasetB[[#This Row],[Day_Code]],Lookup_Tables!$H$10:$H$16,0))</f>
        <v>Monday</v>
      </c>
      <c r="T538" s="10" t="str">
        <f>VLOOKUP(Cleaned_datasetB[[#This Row],[Month]], Lookup_Tables!$K$8:$L$19, 2, FALSE)</f>
        <v>January</v>
      </c>
      <c r="U538" s="10" t="str">
        <f>IF(AND(Cleaned_datasetB[[#This Row],[Day_Type]]="Weekday",Cleaned_datasetB[[#This Row],[Is_Holiday]]=FALSE),"Working Day","Non-Working Day")</f>
        <v>Working Day</v>
      </c>
    </row>
    <row r="539" spans="1:21">
      <c r="A539" s="10">
        <v>538</v>
      </c>
      <c r="B539" s="23">
        <v>40567</v>
      </c>
      <c r="C539" s="10">
        <v>1</v>
      </c>
      <c r="D539" s="10">
        <v>0</v>
      </c>
      <c r="E539" s="10">
        <v>1</v>
      </c>
      <c r="F539" s="10">
        <v>13</v>
      </c>
      <c r="G539" s="10" t="b">
        <v>0</v>
      </c>
      <c r="H539" s="10">
        <v>1</v>
      </c>
      <c r="I539" s="10" t="str">
        <f>IF(OR(Cleaned_datasetB[[#This Row],[Day_Code]]=0,Cleaned_datasetB[[#This Row],[Day_Code]]=6),"Weekend","Weekday")</f>
        <v>Weekday</v>
      </c>
      <c r="J539" s="10">
        <v>2</v>
      </c>
      <c r="K539" s="10">
        <v>0.14000000000000001</v>
      </c>
      <c r="L539" s="51">
        <v>0.13639999999999999</v>
      </c>
      <c r="M539" s="10">
        <v>0.43</v>
      </c>
      <c r="N539" s="10">
        <v>0.22389999999999999</v>
      </c>
      <c r="O539" s="10">
        <v>6</v>
      </c>
      <c r="P539" s="10">
        <v>54</v>
      </c>
      <c r="Q539" s="10">
        <v>60</v>
      </c>
      <c r="R539" s="10" t="str">
        <f>VLOOKUP(Cleaned_datasetB[[#This Row],[Weather_Code]],Lookup_Tables!$E$9:$F$13,2,FALSE)</f>
        <v>Cloudy</v>
      </c>
      <c r="S539" s="10" t="str">
        <f>INDEX(Lookup_Tables!$I$10:$I$16,MATCH(Cleaned_datasetB[[#This Row],[Day_Code]],Lookup_Tables!$H$10:$H$16,0))</f>
        <v>Monday</v>
      </c>
      <c r="T539" s="10" t="str">
        <f>VLOOKUP(Cleaned_datasetB[[#This Row],[Month]], Lookup_Tables!$K$8:$L$19, 2, FALSE)</f>
        <v>January</v>
      </c>
      <c r="U539" s="10" t="str">
        <f>IF(AND(Cleaned_datasetB[[#This Row],[Day_Type]]="Weekday",Cleaned_datasetB[[#This Row],[Is_Holiday]]=FALSE),"Working Day","Non-Working Day")</f>
        <v>Working Day</v>
      </c>
    </row>
    <row r="540" spans="1:21">
      <c r="A540" s="10">
        <v>539</v>
      </c>
      <c r="B540" s="23">
        <v>40567</v>
      </c>
      <c r="C540" s="10">
        <v>1</v>
      </c>
      <c r="D540" s="10">
        <v>0</v>
      </c>
      <c r="E540" s="10">
        <v>1</v>
      </c>
      <c r="F540" s="10">
        <v>14</v>
      </c>
      <c r="G540" s="10" t="b">
        <v>0</v>
      </c>
      <c r="H540" s="10">
        <v>1</v>
      </c>
      <c r="I540" s="10" t="str">
        <f>IF(OR(Cleaned_datasetB[[#This Row],[Day_Code]]=0,Cleaned_datasetB[[#This Row],[Day_Code]]=6),"Weekend","Weekday")</f>
        <v>Weekday</v>
      </c>
      <c r="J540" s="10">
        <v>2</v>
      </c>
      <c r="K540" s="10">
        <v>0.14000000000000001</v>
      </c>
      <c r="L540" s="51">
        <v>0.13639999999999999</v>
      </c>
      <c r="M540" s="10">
        <v>0.46</v>
      </c>
      <c r="N540" s="10">
        <v>0.22389999999999999</v>
      </c>
      <c r="O540" s="10">
        <v>2</v>
      </c>
      <c r="P540" s="10">
        <v>43</v>
      </c>
      <c r="Q540" s="10">
        <v>45</v>
      </c>
      <c r="R540" s="10" t="str">
        <f>VLOOKUP(Cleaned_datasetB[[#This Row],[Weather_Code]],Lookup_Tables!$E$9:$F$13,2,FALSE)</f>
        <v>Cloudy</v>
      </c>
      <c r="S540" s="10" t="str">
        <f>INDEX(Lookup_Tables!$I$10:$I$16,MATCH(Cleaned_datasetB[[#This Row],[Day_Code]],Lookup_Tables!$H$10:$H$16,0))</f>
        <v>Monday</v>
      </c>
      <c r="T540" s="10" t="str">
        <f>VLOOKUP(Cleaned_datasetB[[#This Row],[Month]], Lookup_Tables!$K$8:$L$19, 2, FALSE)</f>
        <v>January</v>
      </c>
      <c r="U540" s="10" t="str">
        <f>IF(AND(Cleaned_datasetB[[#This Row],[Day_Type]]="Weekday",Cleaned_datasetB[[#This Row],[Is_Holiday]]=FALSE),"Working Day","Non-Working Day")</f>
        <v>Working Day</v>
      </c>
    </row>
    <row r="541" spans="1:21">
      <c r="A541" s="10">
        <v>540</v>
      </c>
      <c r="B541" s="23">
        <v>40567</v>
      </c>
      <c r="C541" s="10">
        <v>1</v>
      </c>
      <c r="D541" s="10">
        <v>0</v>
      </c>
      <c r="E541" s="10">
        <v>1</v>
      </c>
      <c r="F541" s="10">
        <v>15</v>
      </c>
      <c r="G541" s="10" t="b">
        <v>0</v>
      </c>
      <c r="H541" s="10">
        <v>1</v>
      </c>
      <c r="I541" s="10" t="str">
        <f>IF(OR(Cleaned_datasetB[[#This Row],[Day_Code]]=0,Cleaned_datasetB[[#This Row],[Day_Code]]=6),"Weekend","Weekday")</f>
        <v>Weekday</v>
      </c>
      <c r="J541" s="10">
        <v>1</v>
      </c>
      <c r="K541" s="10">
        <v>0.16</v>
      </c>
      <c r="L541" s="51">
        <v>0.16669999999999999</v>
      </c>
      <c r="M541" s="10">
        <v>0.4</v>
      </c>
      <c r="N541" s="10">
        <v>0.16420000000000001</v>
      </c>
      <c r="O541" s="10">
        <v>7</v>
      </c>
      <c r="P541" s="10">
        <v>50</v>
      </c>
      <c r="Q541" s="10">
        <v>57</v>
      </c>
      <c r="R541" s="10" t="str">
        <f>VLOOKUP(Cleaned_datasetB[[#This Row],[Weather_Code]],Lookup_Tables!$E$9:$F$13,2,FALSE)</f>
        <v>Clear</v>
      </c>
      <c r="S541" s="10" t="str">
        <f>INDEX(Lookup_Tables!$I$10:$I$16,MATCH(Cleaned_datasetB[[#This Row],[Day_Code]],Lookup_Tables!$H$10:$H$16,0))</f>
        <v>Monday</v>
      </c>
      <c r="T541" s="10" t="str">
        <f>VLOOKUP(Cleaned_datasetB[[#This Row],[Month]], Lookup_Tables!$K$8:$L$19, 2, FALSE)</f>
        <v>January</v>
      </c>
      <c r="U541" s="10" t="str">
        <f>IF(AND(Cleaned_datasetB[[#This Row],[Day_Type]]="Weekday",Cleaned_datasetB[[#This Row],[Is_Holiday]]=FALSE),"Working Day","Non-Working Day")</f>
        <v>Working Day</v>
      </c>
    </row>
    <row r="542" spans="1:21">
      <c r="A542" s="10">
        <v>541</v>
      </c>
      <c r="B542" s="23">
        <v>40567</v>
      </c>
      <c r="C542" s="10">
        <v>1</v>
      </c>
      <c r="D542" s="10">
        <v>0</v>
      </c>
      <c r="E542" s="10">
        <v>1</v>
      </c>
      <c r="F542" s="10">
        <v>16</v>
      </c>
      <c r="G542" s="10" t="b">
        <v>0</v>
      </c>
      <c r="H542" s="10">
        <v>1</v>
      </c>
      <c r="I542" s="10" t="str">
        <f>IF(OR(Cleaned_datasetB[[#This Row],[Day_Code]]=0,Cleaned_datasetB[[#This Row],[Day_Code]]=6),"Weekend","Weekday")</f>
        <v>Weekday</v>
      </c>
      <c r="J542" s="10">
        <v>1</v>
      </c>
      <c r="K542" s="10">
        <v>0.16</v>
      </c>
      <c r="L542" s="51">
        <v>0.1515</v>
      </c>
      <c r="M542" s="10">
        <v>0.47</v>
      </c>
      <c r="N542" s="10">
        <v>0.25369999999999998</v>
      </c>
      <c r="O542" s="10">
        <v>4</v>
      </c>
      <c r="P542" s="10">
        <v>66</v>
      </c>
      <c r="Q542" s="10">
        <v>70</v>
      </c>
      <c r="R542" s="10" t="str">
        <f>VLOOKUP(Cleaned_datasetB[[#This Row],[Weather_Code]],Lookup_Tables!$E$9:$F$13,2,FALSE)</f>
        <v>Clear</v>
      </c>
      <c r="S542" s="10" t="str">
        <f>INDEX(Lookup_Tables!$I$10:$I$16,MATCH(Cleaned_datasetB[[#This Row],[Day_Code]],Lookup_Tables!$H$10:$H$16,0))</f>
        <v>Monday</v>
      </c>
      <c r="T542" s="10" t="str">
        <f>VLOOKUP(Cleaned_datasetB[[#This Row],[Month]], Lookup_Tables!$K$8:$L$19, 2, FALSE)</f>
        <v>January</v>
      </c>
      <c r="U542" s="10" t="str">
        <f>IF(AND(Cleaned_datasetB[[#This Row],[Day_Type]]="Weekday",Cleaned_datasetB[[#This Row],[Is_Holiday]]=FALSE),"Working Day","Non-Working Day")</f>
        <v>Working Day</v>
      </c>
    </row>
    <row r="543" spans="1:21">
      <c r="A543" s="10">
        <v>542</v>
      </c>
      <c r="B543" s="23">
        <v>40567</v>
      </c>
      <c r="C543" s="10">
        <v>1</v>
      </c>
      <c r="D543" s="10">
        <v>0</v>
      </c>
      <c r="E543" s="10">
        <v>1</v>
      </c>
      <c r="F543" s="10">
        <v>17</v>
      </c>
      <c r="G543" s="10" t="b">
        <v>0</v>
      </c>
      <c r="H543" s="10">
        <v>1</v>
      </c>
      <c r="I543" s="10" t="str">
        <f>IF(OR(Cleaned_datasetB[[#This Row],[Day_Code]]=0,Cleaned_datasetB[[#This Row],[Day_Code]]=6),"Weekend","Weekday")</f>
        <v>Weekday</v>
      </c>
      <c r="J543" s="10">
        <v>1</v>
      </c>
      <c r="K543" s="10">
        <v>0.14000000000000001</v>
      </c>
      <c r="L543" s="51">
        <v>0.1212</v>
      </c>
      <c r="M543" s="10">
        <v>0.5</v>
      </c>
      <c r="N543" s="10">
        <v>0.25369999999999998</v>
      </c>
      <c r="O543" s="10">
        <v>6</v>
      </c>
      <c r="P543" s="10">
        <v>178</v>
      </c>
      <c r="Q543" s="10">
        <v>184</v>
      </c>
      <c r="R543" s="10" t="str">
        <f>VLOOKUP(Cleaned_datasetB[[#This Row],[Weather_Code]],Lookup_Tables!$E$9:$F$13,2,FALSE)</f>
        <v>Clear</v>
      </c>
      <c r="S543" s="10" t="str">
        <f>INDEX(Lookup_Tables!$I$10:$I$16,MATCH(Cleaned_datasetB[[#This Row],[Day_Code]],Lookup_Tables!$H$10:$H$16,0))</f>
        <v>Monday</v>
      </c>
      <c r="T543" s="10" t="str">
        <f>VLOOKUP(Cleaned_datasetB[[#This Row],[Month]], Lookup_Tables!$K$8:$L$19, 2, FALSE)</f>
        <v>January</v>
      </c>
      <c r="U543" s="10" t="str">
        <f>IF(AND(Cleaned_datasetB[[#This Row],[Day_Type]]="Weekday",Cleaned_datasetB[[#This Row],[Is_Holiday]]=FALSE),"Working Day","Non-Working Day")</f>
        <v>Working Day</v>
      </c>
    </row>
    <row r="544" spans="1:21">
      <c r="A544" s="10">
        <v>543</v>
      </c>
      <c r="B544" s="23">
        <v>40567</v>
      </c>
      <c r="C544" s="10">
        <v>1</v>
      </c>
      <c r="D544" s="10">
        <v>0</v>
      </c>
      <c r="E544" s="10">
        <v>1</v>
      </c>
      <c r="F544" s="10">
        <v>18</v>
      </c>
      <c r="G544" s="10" t="b">
        <v>0</v>
      </c>
      <c r="H544" s="10">
        <v>1</v>
      </c>
      <c r="I544" s="10" t="str">
        <f>IF(OR(Cleaned_datasetB[[#This Row],[Day_Code]]=0,Cleaned_datasetB[[#This Row],[Day_Code]]=6),"Weekend","Weekday")</f>
        <v>Weekday</v>
      </c>
      <c r="J544" s="10">
        <v>1</v>
      </c>
      <c r="K544" s="10">
        <v>0.14000000000000001</v>
      </c>
      <c r="L544" s="51">
        <v>0.13639999999999999</v>
      </c>
      <c r="M544" s="10">
        <v>0.59</v>
      </c>
      <c r="N544" s="10">
        <v>0.19400000000000001</v>
      </c>
      <c r="O544" s="10">
        <v>8</v>
      </c>
      <c r="P544" s="10">
        <v>145</v>
      </c>
      <c r="Q544" s="10">
        <v>153</v>
      </c>
      <c r="R544" s="10" t="str">
        <f>VLOOKUP(Cleaned_datasetB[[#This Row],[Weather_Code]],Lookup_Tables!$E$9:$F$13,2,FALSE)</f>
        <v>Clear</v>
      </c>
      <c r="S544" s="10" t="str">
        <f>INDEX(Lookup_Tables!$I$10:$I$16,MATCH(Cleaned_datasetB[[#This Row],[Day_Code]],Lookup_Tables!$H$10:$H$16,0))</f>
        <v>Monday</v>
      </c>
      <c r="T544" s="10" t="str">
        <f>VLOOKUP(Cleaned_datasetB[[#This Row],[Month]], Lookup_Tables!$K$8:$L$19, 2, FALSE)</f>
        <v>January</v>
      </c>
      <c r="U544" s="10" t="str">
        <f>IF(AND(Cleaned_datasetB[[#This Row],[Day_Type]]="Weekday",Cleaned_datasetB[[#This Row],[Is_Holiday]]=FALSE),"Working Day","Non-Working Day")</f>
        <v>Working Day</v>
      </c>
    </row>
    <row r="545" spans="1:21">
      <c r="A545" s="10">
        <v>544</v>
      </c>
      <c r="B545" s="23">
        <v>40567</v>
      </c>
      <c r="C545" s="10">
        <v>1</v>
      </c>
      <c r="D545" s="10">
        <v>0</v>
      </c>
      <c r="E545" s="10">
        <v>1</v>
      </c>
      <c r="F545" s="10">
        <v>19</v>
      </c>
      <c r="G545" s="10" t="b">
        <v>0</v>
      </c>
      <c r="H545" s="10">
        <v>1</v>
      </c>
      <c r="I545" s="10" t="str">
        <f>IF(OR(Cleaned_datasetB[[#This Row],[Day_Code]]=0,Cleaned_datasetB[[#This Row],[Day_Code]]=6),"Weekend","Weekday")</f>
        <v>Weekday</v>
      </c>
      <c r="J545" s="10">
        <v>1</v>
      </c>
      <c r="K545" s="10">
        <v>0.14000000000000001</v>
      </c>
      <c r="L545" s="51">
        <v>0.1515</v>
      </c>
      <c r="M545" s="10">
        <v>0.54</v>
      </c>
      <c r="N545" s="10">
        <v>0.16420000000000001</v>
      </c>
      <c r="O545" s="10">
        <v>5</v>
      </c>
      <c r="P545" s="10">
        <v>101</v>
      </c>
      <c r="Q545" s="10">
        <v>106</v>
      </c>
      <c r="R545" s="10" t="str">
        <f>VLOOKUP(Cleaned_datasetB[[#This Row],[Weather_Code]],Lookup_Tables!$E$9:$F$13,2,FALSE)</f>
        <v>Clear</v>
      </c>
      <c r="S545" s="10" t="str">
        <f>INDEX(Lookup_Tables!$I$10:$I$16,MATCH(Cleaned_datasetB[[#This Row],[Day_Code]],Lookup_Tables!$H$10:$H$16,0))</f>
        <v>Monday</v>
      </c>
      <c r="T545" s="10" t="str">
        <f>VLOOKUP(Cleaned_datasetB[[#This Row],[Month]], Lookup_Tables!$K$8:$L$19, 2, FALSE)</f>
        <v>January</v>
      </c>
      <c r="U545" s="10" t="str">
        <f>IF(AND(Cleaned_datasetB[[#This Row],[Day_Type]]="Weekday",Cleaned_datasetB[[#This Row],[Is_Holiday]]=FALSE),"Working Day","Non-Working Day")</f>
        <v>Working Day</v>
      </c>
    </row>
    <row r="546" spans="1:21">
      <c r="A546" s="10">
        <v>545</v>
      </c>
      <c r="B546" s="23">
        <v>40567</v>
      </c>
      <c r="C546" s="10">
        <v>1</v>
      </c>
      <c r="D546" s="10">
        <v>0</v>
      </c>
      <c r="E546" s="10">
        <v>1</v>
      </c>
      <c r="F546" s="10">
        <v>20</v>
      </c>
      <c r="G546" s="10" t="b">
        <v>0</v>
      </c>
      <c r="H546" s="10">
        <v>1</v>
      </c>
      <c r="I546" s="10" t="str">
        <f>IF(OR(Cleaned_datasetB[[#This Row],[Day_Code]]=0,Cleaned_datasetB[[#This Row],[Day_Code]]=6),"Weekend","Weekday")</f>
        <v>Weekday</v>
      </c>
      <c r="J546" s="10">
        <v>1</v>
      </c>
      <c r="K546" s="10">
        <v>0.14000000000000001</v>
      </c>
      <c r="L546" s="51">
        <v>0.13639999999999999</v>
      </c>
      <c r="M546" s="10">
        <v>0.59</v>
      </c>
      <c r="N546" s="10">
        <v>0.19400000000000001</v>
      </c>
      <c r="O546" s="10">
        <v>1</v>
      </c>
      <c r="P546" s="10">
        <v>80</v>
      </c>
      <c r="Q546" s="10">
        <v>81</v>
      </c>
      <c r="R546" s="10" t="str">
        <f>VLOOKUP(Cleaned_datasetB[[#This Row],[Weather_Code]],Lookup_Tables!$E$9:$F$13,2,FALSE)</f>
        <v>Clear</v>
      </c>
      <c r="S546" s="10" t="str">
        <f>INDEX(Lookup_Tables!$I$10:$I$16,MATCH(Cleaned_datasetB[[#This Row],[Day_Code]],Lookup_Tables!$H$10:$H$16,0))</f>
        <v>Monday</v>
      </c>
      <c r="T546" s="10" t="str">
        <f>VLOOKUP(Cleaned_datasetB[[#This Row],[Month]], Lookup_Tables!$K$8:$L$19, 2, FALSE)</f>
        <v>January</v>
      </c>
      <c r="U546" s="10" t="str">
        <f>IF(AND(Cleaned_datasetB[[#This Row],[Day_Type]]="Weekday",Cleaned_datasetB[[#This Row],[Is_Holiday]]=FALSE),"Working Day","Non-Working Day")</f>
        <v>Working Day</v>
      </c>
    </row>
    <row r="547" spans="1:21">
      <c r="A547" s="10">
        <v>546</v>
      </c>
      <c r="B547" s="23">
        <v>40567</v>
      </c>
      <c r="C547" s="10">
        <v>1</v>
      </c>
      <c r="D547" s="10">
        <v>0</v>
      </c>
      <c r="E547" s="10">
        <v>1</v>
      </c>
      <c r="F547" s="10">
        <v>21</v>
      </c>
      <c r="G547" s="10" t="b">
        <v>0</v>
      </c>
      <c r="H547" s="10">
        <v>1</v>
      </c>
      <c r="I547" s="10" t="str">
        <f>IF(OR(Cleaned_datasetB[[#This Row],[Day_Code]]=0,Cleaned_datasetB[[#This Row],[Day_Code]]=6),"Weekend","Weekday")</f>
        <v>Weekday</v>
      </c>
      <c r="J547" s="10">
        <v>1</v>
      </c>
      <c r="K547" s="10">
        <v>0.14000000000000001</v>
      </c>
      <c r="L547" s="51">
        <v>0.1515</v>
      </c>
      <c r="M547" s="10">
        <v>0.63</v>
      </c>
      <c r="N547" s="10">
        <v>0.16420000000000001</v>
      </c>
      <c r="O547" s="10">
        <v>6</v>
      </c>
      <c r="P547" s="10">
        <v>53</v>
      </c>
      <c r="Q547" s="10">
        <v>59</v>
      </c>
      <c r="R547" s="10" t="str">
        <f>VLOOKUP(Cleaned_datasetB[[#This Row],[Weather_Code]],Lookup_Tables!$E$9:$F$13,2,FALSE)</f>
        <v>Clear</v>
      </c>
      <c r="S547" s="10" t="str">
        <f>INDEX(Lookup_Tables!$I$10:$I$16,MATCH(Cleaned_datasetB[[#This Row],[Day_Code]],Lookup_Tables!$H$10:$H$16,0))</f>
        <v>Monday</v>
      </c>
      <c r="T547" s="10" t="str">
        <f>VLOOKUP(Cleaned_datasetB[[#This Row],[Month]], Lookup_Tables!$K$8:$L$19, 2, FALSE)</f>
        <v>January</v>
      </c>
      <c r="U547" s="10" t="str">
        <f>IF(AND(Cleaned_datasetB[[#This Row],[Day_Type]]="Weekday",Cleaned_datasetB[[#This Row],[Is_Holiday]]=FALSE),"Working Day","Non-Working Day")</f>
        <v>Working Day</v>
      </c>
    </row>
    <row r="548" spans="1:21">
      <c r="A548" s="10">
        <v>547</v>
      </c>
      <c r="B548" s="23">
        <v>40567</v>
      </c>
      <c r="C548" s="10">
        <v>1</v>
      </c>
      <c r="D548" s="10">
        <v>0</v>
      </c>
      <c r="E548" s="10">
        <v>1</v>
      </c>
      <c r="F548" s="10">
        <v>22</v>
      </c>
      <c r="G548" s="10" t="b">
        <v>0</v>
      </c>
      <c r="H548" s="10">
        <v>1</v>
      </c>
      <c r="I548" s="10" t="str">
        <f>IF(OR(Cleaned_datasetB[[#This Row],[Day_Code]]=0,Cleaned_datasetB[[#This Row],[Day_Code]]=6),"Weekend","Weekday")</f>
        <v>Weekday</v>
      </c>
      <c r="J548" s="10">
        <v>2</v>
      </c>
      <c r="K548" s="10">
        <v>0.14000000000000001</v>
      </c>
      <c r="L548" s="51">
        <v>0.13639999999999999</v>
      </c>
      <c r="M548" s="10">
        <v>0.63</v>
      </c>
      <c r="N548" s="10">
        <v>0.22389999999999999</v>
      </c>
      <c r="O548" s="10">
        <v>3</v>
      </c>
      <c r="P548" s="10">
        <v>32</v>
      </c>
      <c r="Q548" s="10">
        <v>35</v>
      </c>
      <c r="R548" s="10" t="str">
        <f>VLOOKUP(Cleaned_datasetB[[#This Row],[Weather_Code]],Lookup_Tables!$E$9:$F$13,2,FALSE)</f>
        <v>Cloudy</v>
      </c>
      <c r="S548" s="10" t="str">
        <f>INDEX(Lookup_Tables!$I$10:$I$16,MATCH(Cleaned_datasetB[[#This Row],[Day_Code]],Lookup_Tables!$H$10:$H$16,0))</f>
        <v>Monday</v>
      </c>
      <c r="T548" s="10" t="str">
        <f>VLOOKUP(Cleaned_datasetB[[#This Row],[Month]], Lookup_Tables!$K$8:$L$19, 2, FALSE)</f>
        <v>January</v>
      </c>
      <c r="U548" s="10" t="str">
        <f>IF(AND(Cleaned_datasetB[[#This Row],[Day_Type]]="Weekday",Cleaned_datasetB[[#This Row],[Is_Holiday]]=FALSE),"Working Day","Non-Working Day")</f>
        <v>Working Day</v>
      </c>
    </row>
    <row r="549" spans="1:21">
      <c r="A549" s="10">
        <v>548</v>
      </c>
      <c r="B549" s="23">
        <v>40567</v>
      </c>
      <c r="C549" s="10">
        <v>1</v>
      </c>
      <c r="D549" s="10">
        <v>0</v>
      </c>
      <c r="E549" s="10">
        <v>1</v>
      </c>
      <c r="F549" s="10">
        <v>23</v>
      </c>
      <c r="G549" s="10" t="b">
        <v>0</v>
      </c>
      <c r="H549" s="10">
        <v>1</v>
      </c>
      <c r="I549" s="10" t="str">
        <f>IF(OR(Cleaned_datasetB[[#This Row],[Day_Code]]=0,Cleaned_datasetB[[#This Row],[Day_Code]]=6),"Weekend","Weekday")</f>
        <v>Weekday</v>
      </c>
      <c r="J549" s="10">
        <v>2</v>
      </c>
      <c r="K549" s="10">
        <v>0.16</v>
      </c>
      <c r="L549" s="51">
        <v>0.1515</v>
      </c>
      <c r="M549" s="10">
        <v>0.64</v>
      </c>
      <c r="N549" s="10">
        <v>0.25369999999999998</v>
      </c>
      <c r="O549" s="10">
        <v>3</v>
      </c>
      <c r="P549" s="10">
        <v>21</v>
      </c>
      <c r="Q549" s="10">
        <v>24</v>
      </c>
      <c r="R549" s="10" t="str">
        <f>VLOOKUP(Cleaned_datasetB[[#This Row],[Weather_Code]],Lookup_Tables!$E$9:$F$13,2,FALSE)</f>
        <v>Cloudy</v>
      </c>
      <c r="S549" s="10" t="str">
        <f>INDEX(Lookup_Tables!$I$10:$I$16,MATCH(Cleaned_datasetB[[#This Row],[Day_Code]],Lookup_Tables!$H$10:$H$16,0))</f>
        <v>Monday</v>
      </c>
      <c r="T549" s="10" t="str">
        <f>VLOOKUP(Cleaned_datasetB[[#This Row],[Month]], Lookup_Tables!$K$8:$L$19, 2, FALSE)</f>
        <v>January</v>
      </c>
      <c r="U549" s="10" t="str">
        <f>IF(AND(Cleaned_datasetB[[#This Row],[Day_Type]]="Weekday",Cleaned_datasetB[[#This Row],[Is_Holiday]]=FALSE),"Working Day","Non-Working Day")</f>
        <v>Working Day</v>
      </c>
    </row>
    <row r="550" spans="1:21">
      <c r="A550" s="10">
        <v>549</v>
      </c>
      <c r="B550" s="23">
        <v>40568</v>
      </c>
      <c r="C550" s="10">
        <v>1</v>
      </c>
      <c r="D550" s="10">
        <v>0</v>
      </c>
      <c r="E550" s="10">
        <v>1</v>
      </c>
      <c r="F550" s="10">
        <v>0</v>
      </c>
      <c r="G550" s="10" t="b">
        <v>0</v>
      </c>
      <c r="H550" s="10">
        <v>2</v>
      </c>
      <c r="I550" s="10" t="str">
        <f>IF(OR(Cleaned_datasetB[[#This Row],[Day_Code]]=0,Cleaned_datasetB[[#This Row],[Day_Code]]=6),"Weekend","Weekday")</f>
        <v>Weekday</v>
      </c>
      <c r="J550" s="10">
        <v>2</v>
      </c>
      <c r="K550" s="10">
        <v>0.16</v>
      </c>
      <c r="L550" s="51">
        <v>0.13639999999999999</v>
      </c>
      <c r="M550" s="10">
        <v>0.69</v>
      </c>
      <c r="N550" s="10">
        <v>0.28360000000000002</v>
      </c>
      <c r="O550" s="10">
        <v>3</v>
      </c>
      <c r="P550" s="10">
        <v>6</v>
      </c>
      <c r="Q550" s="10">
        <v>9</v>
      </c>
      <c r="R550" s="10" t="str">
        <f>VLOOKUP(Cleaned_datasetB[[#This Row],[Weather_Code]],Lookup_Tables!$E$9:$F$13,2,FALSE)</f>
        <v>Cloudy</v>
      </c>
      <c r="S550" s="10" t="str">
        <f>INDEX(Lookup_Tables!$I$10:$I$16,MATCH(Cleaned_datasetB[[#This Row],[Day_Code]],Lookup_Tables!$H$10:$H$16,0))</f>
        <v>Tuesday</v>
      </c>
      <c r="T550" s="10" t="str">
        <f>VLOOKUP(Cleaned_datasetB[[#This Row],[Month]], Lookup_Tables!$K$8:$L$19, 2, FALSE)</f>
        <v>January</v>
      </c>
      <c r="U550" s="10" t="str">
        <f>IF(AND(Cleaned_datasetB[[#This Row],[Day_Type]]="Weekday",Cleaned_datasetB[[#This Row],[Is_Holiday]]=FALSE),"Working Day","Non-Working Day")</f>
        <v>Working Day</v>
      </c>
    </row>
    <row r="551" spans="1:21">
      <c r="A551" s="10">
        <v>550</v>
      </c>
      <c r="B551" s="23">
        <v>40568</v>
      </c>
      <c r="C551" s="10">
        <v>1</v>
      </c>
      <c r="D551" s="10">
        <v>0</v>
      </c>
      <c r="E551" s="10">
        <v>1</v>
      </c>
      <c r="F551" s="10">
        <v>1</v>
      </c>
      <c r="G551" s="10" t="b">
        <v>0</v>
      </c>
      <c r="H551" s="10">
        <v>2</v>
      </c>
      <c r="I551" s="10" t="str">
        <f>IF(OR(Cleaned_datasetB[[#This Row],[Day_Code]]=0,Cleaned_datasetB[[#This Row],[Day_Code]]=6),"Weekend","Weekday")</f>
        <v>Weekday</v>
      </c>
      <c r="J551" s="10">
        <v>2</v>
      </c>
      <c r="K551" s="10">
        <v>0.16</v>
      </c>
      <c r="L551" s="51">
        <v>0.16669999999999999</v>
      </c>
      <c r="M551" s="10">
        <v>0.69</v>
      </c>
      <c r="N551" s="10">
        <v>0.16420000000000001</v>
      </c>
      <c r="O551" s="10">
        <v>0</v>
      </c>
      <c r="P551" s="10">
        <v>5</v>
      </c>
      <c r="Q551" s="10">
        <v>5</v>
      </c>
      <c r="R551" s="10" t="str">
        <f>VLOOKUP(Cleaned_datasetB[[#This Row],[Weather_Code]],Lookup_Tables!$E$9:$F$13,2,FALSE)</f>
        <v>Cloudy</v>
      </c>
      <c r="S551" s="10" t="str">
        <f>INDEX(Lookup_Tables!$I$10:$I$16,MATCH(Cleaned_datasetB[[#This Row],[Day_Code]],Lookup_Tables!$H$10:$H$16,0))</f>
        <v>Tuesday</v>
      </c>
      <c r="T551" s="10" t="str">
        <f>VLOOKUP(Cleaned_datasetB[[#This Row],[Month]], Lookup_Tables!$K$8:$L$19, 2, FALSE)</f>
        <v>January</v>
      </c>
      <c r="U551" s="10" t="str">
        <f>IF(AND(Cleaned_datasetB[[#This Row],[Day_Type]]="Weekday",Cleaned_datasetB[[#This Row],[Is_Holiday]]=FALSE),"Working Day","Non-Working Day")</f>
        <v>Working Day</v>
      </c>
    </row>
    <row r="552" spans="1:21">
      <c r="A552" s="10">
        <v>551</v>
      </c>
      <c r="B552" s="23">
        <v>40568</v>
      </c>
      <c r="C552" s="10">
        <v>1</v>
      </c>
      <c r="D552" s="10">
        <v>0</v>
      </c>
      <c r="E552" s="10">
        <v>1</v>
      </c>
      <c r="F552" s="10">
        <v>2</v>
      </c>
      <c r="G552" s="10" t="b">
        <v>0</v>
      </c>
      <c r="H552" s="10">
        <v>2</v>
      </c>
      <c r="I552" s="10" t="str">
        <f>IF(OR(Cleaned_datasetB[[#This Row],[Day_Code]]=0,Cleaned_datasetB[[#This Row],[Day_Code]]=6),"Weekend","Weekday")</f>
        <v>Weekday</v>
      </c>
      <c r="J552" s="10">
        <v>1</v>
      </c>
      <c r="K552" s="10">
        <v>0.16</v>
      </c>
      <c r="L552" s="51">
        <v>0.1515</v>
      </c>
      <c r="M552" s="10">
        <v>0.69</v>
      </c>
      <c r="N552" s="10">
        <v>0.22389999999999999</v>
      </c>
      <c r="O552" s="10">
        <v>0</v>
      </c>
      <c r="P552" s="10">
        <v>2</v>
      </c>
      <c r="Q552" s="10">
        <v>2</v>
      </c>
      <c r="R552" s="10" t="str">
        <f>VLOOKUP(Cleaned_datasetB[[#This Row],[Weather_Code]],Lookup_Tables!$E$9:$F$13,2,FALSE)</f>
        <v>Clear</v>
      </c>
      <c r="S552" s="10" t="str">
        <f>INDEX(Lookup_Tables!$I$10:$I$16,MATCH(Cleaned_datasetB[[#This Row],[Day_Code]],Lookup_Tables!$H$10:$H$16,0))</f>
        <v>Tuesday</v>
      </c>
      <c r="T552" s="10" t="str">
        <f>VLOOKUP(Cleaned_datasetB[[#This Row],[Month]], Lookup_Tables!$K$8:$L$19, 2, FALSE)</f>
        <v>January</v>
      </c>
      <c r="U552" s="10" t="str">
        <f>IF(AND(Cleaned_datasetB[[#This Row],[Day_Type]]="Weekday",Cleaned_datasetB[[#This Row],[Is_Holiday]]=FALSE),"Working Day","Non-Working Day")</f>
        <v>Working Day</v>
      </c>
    </row>
    <row r="553" spans="1:21">
      <c r="A553" s="10">
        <v>552</v>
      </c>
      <c r="B553" s="23">
        <v>40568</v>
      </c>
      <c r="C553" s="10">
        <v>1</v>
      </c>
      <c r="D553" s="10">
        <v>0</v>
      </c>
      <c r="E553" s="10">
        <v>1</v>
      </c>
      <c r="F553" s="10">
        <v>4</v>
      </c>
      <c r="G553" s="10" t="b">
        <v>0</v>
      </c>
      <c r="H553" s="10">
        <v>2</v>
      </c>
      <c r="I553" s="10" t="str">
        <f>IF(OR(Cleaned_datasetB[[#This Row],[Day_Code]]=0,Cleaned_datasetB[[#This Row],[Day_Code]]=6),"Weekend","Weekday")</f>
        <v>Weekday</v>
      </c>
      <c r="J553" s="10">
        <v>1</v>
      </c>
      <c r="K553" s="10">
        <v>0.14000000000000001</v>
      </c>
      <c r="L553" s="51">
        <v>0.16669999999999999</v>
      </c>
      <c r="M553" s="10">
        <v>0.74</v>
      </c>
      <c r="N553" s="10">
        <v>0.1045</v>
      </c>
      <c r="O553" s="10">
        <v>0</v>
      </c>
      <c r="P553" s="10">
        <v>1</v>
      </c>
      <c r="Q553" s="10">
        <v>1</v>
      </c>
      <c r="R553" s="10" t="str">
        <f>VLOOKUP(Cleaned_datasetB[[#This Row],[Weather_Code]],Lookup_Tables!$E$9:$F$13,2,FALSE)</f>
        <v>Clear</v>
      </c>
      <c r="S553" s="10" t="str">
        <f>INDEX(Lookup_Tables!$I$10:$I$16,MATCH(Cleaned_datasetB[[#This Row],[Day_Code]],Lookup_Tables!$H$10:$H$16,0))</f>
        <v>Tuesday</v>
      </c>
      <c r="T553" s="10" t="str">
        <f>VLOOKUP(Cleaned_datasetB[[#This Row],[Month]], Lookup_Tables!$K$8:$L$19, 2, FALSE)</f>
        <v>January</v>
      </c>
      <c r="U553" s="10" t="str">
        <f>IF(AND(Cleaned_datasetB[[#This Row],[Day_Type]]="Weekday",Cleaned_datasetB[[#This Row],[Is_Holiday]]=FALSE),"Working Day","Non-Working Day")</f>
        <v>Working Day</v>
      </c>
    </row>
    <row r="554" spans="1:21">
      <c r="A554" s="10">
        <v>553</v>
      </c>
      <c r="B554" s="23">
        <v>40568</v>
      </c>
      <c r="C554" s="10">
        <v>1</v>
      </c>
      <c r="D554" s="10">
        <v>0</v>
      </c>
      <c r="E554" s="10">
        <v>1</v>
      </c>
      <c r="F554" s="10">
        <v>5</v>
      </c>
      <c r="G554" s="10" t="b">
        <v>0</v>
      </c>
      <c r="H554" s="10">
        <v>2</v>
      </c>
      <c r="I554" s="10" t="str">
        <f>IF(OR(Cleaned_datasetB[[#This Row],[Day_Code]]=0,Cleaned_datasetB[[#This Row],[Day_Code]]=6),"Weekend","Weekday")</f>
        <v>Weekday</v>
      </c>
      <c r="J554" s="10">
        <v>1</v>
      </c>
      <c r="K554" s="10">
        <v>0.14000000000000001</v>
      </c>
      <c r="L554" s="51">
        <v>0.13639999999999999</v>
      </c>
      <c r="M554" s="10">
        <v>0.74</v>
      </c>
      <c r="N554" s="10">
        <v>0.22389999999999999</v>
      </c>
      <c r="O554" s="10">
        <v>0</v>
      </c>
      <c r="P554" s="10">
        <v>9</v>
      </c>
      <c r="Q554" s="10">
        <v>9</v>
      </c>
      <c r="R554" s="10" t="str">
        <f>VLOOKUP(Cleaned_datasetB[[#This Row],[Weather_Code]],Lookup_Tables!$E$9:$F$13,2,FALSE)</f>
        <v>Clear</v>
      </c>
      <c r="S554" s="10" t="str">
        <f>INDEX(Lookup_Tables!$I$10:$I$16,MATCH(Cleaned_datasetB[[#This Row],[Day_Code]],Lookup_Tables!$H$10:$H$16,0))</f>
        <v>Tuesday</v>
      </c>
      <c r="T554" s="10" t="str">
        <f>VLOOKUP(Cleaned_datasetB[[#This Row],[Month]], Lookup_Tables!$K$8:$L$19, 2, FALSE)</f>
        <v>January</v>
      </c>
      <c r="U554" s="10" t="str">
        <f>IF(AND(Cleaned_datasetB[[#This Row],[Day_Type]]="Weekday",Cleaned_datasetB[[#This Row],[Is_Holiday]]=FALSE),"Working Day","Non-Working Day")</f>
        <v>Working Day</v>
      </c>
    </row>
    <row r="555" spans="1:21">
      <c r="A555" s="10">
        <v>554</v>
      </c>
      <c r="B555" s="23">
        <v>40568</v>
      </c>
      <c r="C555" s="10">
        <v>1</v>
      </c>
      <c r="D555" s="10">
        <v>0</v>
      </c>
      <c r="E555" s="10">
        <v>1</v>
      </c>
      <c r="F555" s="10">
        <v>6</v>
      </c>
      <c r="G555" s="10" t="b">
        <v>0</v>
      </c>
      <c r="H555" s="10">
        <v>2</v>
      </c>
      <c r="I555" s="10" t="str">
        <f>IF(OR(Cleaned_datasetB[[#This Row],[Day_Code]]=0,Cleaned_datasetB[[#This Row],[Day_Code]]=6),"Weekend","Weekday")</f>
        <v>Weekday</v>
      </c>
      <c r="J555" s="10">
        <v>1</v>
      </c>
      <c r="K555" s="10">
        <v>0.16</v>
      </c>
      <c r="L555" s="51">
        <v>0.18179999999999999</v>
      </c>
      <c r="M555" s="10">
        <v>0.74</v>
      </c>
      <c r="N555" s="10">
        <v>0.1045</v>
      </c>
      <c r="O555" s="10">
        <v>1</v>
      </c>
      <c r="P555" s="10">
        <v>35</v>
      </c>
      <c r="Q555" s="10">
        <v>36</v>
      </c>
      <c r="R555" s="10" t="str">
        <f>VLOOKUP(Cleaned_datasetB[[#This Row],[Weather_Code]],Lookup_Tables!$E$9:$F$13,2,FALSE)</f>
        <v>Clear</v>
      </c>
      <c r="S555" s="10" t="str">
        <f>INDEX(Lookup_Tables!$I$10:$I$16,MATCH(Cleaned_datasetB[[#This Row],[Day_Code]],Lookup_Tables!$H$10:$H$16,0))</f>
        <v>Tuesday</v>
      </c>
      <c r="T555" s="10" t="str">
        <f>VLOOKUP(Cleaned_datasetB[[#This Row],[Month]], Lookup_Tables!$K$8:$L$19, 2, FALSE)</f>
        <v>January</v>
      </c>
      <c r="U555" s="10" t="str">
        <f>IF(AND(Cleaned_datasetB[[#This Row],[Day_Type]]="Weekday",Cleaned_datasetB[[#This Row],[Is_Holiday]]=FALSE),"Working Day","Non-Working Day")</f>
        <v>Working Day</v>
      </c>
    </row>
    <row r="556" spans="1:21">
      <c r="A556" s="10">
        <v>555</v>
      </c>
      <c r="B556" s="23">
        <v>40568</v>
      </c>
      <c r="C556" s="10">
        <v>1</v>
      </c>
      <c r="D556" s="10">
        <v>0</v>
      </c>
      <c r="E556" s="10">
        <v>1</v>
      </c>
      <c r="F556" s="10">
        <v>7</v>
      </c>
      <c r="G556" s="10" t="b">
        <v>0</v>
      </c>
      <c r="H556" s="10">
        <v>2</v>
      </c>
      <c r="I556" s="10" t="str">
        <f>IF(OR(Cleaned_datasetB[[#This Row],[Day_Code]]=0,Cleaned_datasetB[[#This Row],[Day_Code]]=6),"Weekend","Weekday")</f>
        <v>Weekday</v>
      </c>
      <c r="J556" s="10">
        <v>1</v>
      </c>
      <c r="K556" s="10">
        <v>0.16</v>
      </c>
      <c r="L556" s="51">
        <v>0.1515</v>
      </c>
      <c r="M556" s="10">
        <v>0.74</v>
      </c>
      <c r="N556" s="10">
        <v>0.22389999999999999</v>
      </c>
      <c r="O556" s="10">
        <v>5</v>
      </c>
      <c r="P556" s="10">
        <v>103</v>
      </c>
      <c r="Q556" s="10">
        <v>108</v>
      </c>
      <c r="R556" s="10" t="str">
        <f>VLOOKUP(Cleaned_datasetB[[#This Row],[Weather_Code]],Lookup_Tables!$E$9:$F$13,2,FALSE)</f>
        <v>Clear</v>
      </c>
      <c r="S556" s="10" t="str">
        <f>INDEX(Lookup_Tables!$I$10:$I$16,MATCH(Cleaned_datasetB[[#This Row],[Day_Code]],Lookup_Tables!$H$10:$H$16,0))</f>
        <v>Tuesday</v>
      </c>
      <c r="T556" s="10" t="str">
        <f>VLOOKUP(Cleaned_datasetB[[#This Row],[Month]], Lookup_Tables!$K$8:$L$19, 2, FALSE)</f>
        <v>January</v>
      </c>
      <c r="U556" s="10" t="str">
        <f>IF(AND(Cleaned_datasetB[[#This Row],[Day_Type]]="Weekday",Cleaned_datasetB[[#This Row],[Is_Holiday]]=FALSE),"Working Day","Non-Working Day")</f>
        <v>Working Day</v>
      </c>
    </row>
    <row r="557" spans="1:21">
      <c r="A557" s="10">
        <v>556</v>
      </c>
      <c r="B557" s="23">
        <v>40568</v>
      </c>
      <c r="C557" s="10">
        <v>1</v>
      </c>
      <c r="D557" s="10">
        <v>0</v>
      </c>
      <c r="E557" s="10">
        <v>1</v>
      </c>
      <c r="F557" s="10">
        <v>8</v>
      </c>
      <c r="G557" s="10" t="b">
        <v>0</v>
      </c>
      <c r="H557" s="10">
        <v>2</v>
      </c>
      <c r="I557" s="10" t="str">
        <f>IF(OR(Cleaned_datasetB[[#This Row],[Day_Code]]=0,Cleaned_datasetB[[#This Row],[Day_Code]]=6),"Weekend","Weekday")</f>
        <v>Weekday</v>
      </c>
      <c r="J557" s="10">
        <v>2</v>
      </c>
      <c r="K557" s="10">
        <v>0.16</v>
      </c>
      <c r="L557" s="51">
        <v>0.18179999999999999</v>
      </c>
      <c r="M557" s="10">
        <v>0.74</v>
      </c>
      <c r="N557" s="10">
        <v>0.1343</v>
      </c>
      <c r="O557" s="10">
        <v>5</v>
      </c>
      <c r="P557" s="10">
        <v>233</v>
      </c>
      <c r="Q557" s="10">
        <v>238</v>
      </c>
      <c r="R557" s="10" t="str">
        <f>VLOOKUP(Cleaned_datasetB[[#This Row],[Weather_Code]],Lookup_Tables!$E$9:$F$13,2,FALSE)</f>
        <v>Cloudy</v>
      </c>
      <c r="S557" s="10" t="str">
        <f>INDEX(Lookup_Tables!$I$10:$I$16,MATCH(Cleaned_datasetB[[#This Row],[Day_Code]],Lookup_Tables!$H$10:$H$16,0))</f>
        <v>Tuesday</v>
      </c>
      <c r="T557" s="10" t="str">
        <f>VLOOKUP(Cleaned_datasetB[[#This Row],[Month]], Lookup_Tables!$K$8:$L$19, 2, FALSE)</f>
        <v>January</v>
      </c>
      <c r="U557" s="10" t="str">
        <f>IF(AND(Cleaned_datasetB[[#This Row],[Day_Type]]="Weekday",Cleaned_datasetB[[#This Row],[Is_Holiday]]=FALSE),"Working Day","Non-Working Day")</f>
        <v>Working Day</v>
      </c>
    </row>
    <row r="558" spans="1:21">
      <c r="A558" s="10">
        <v>557</v>
      </c>
      <c r="B558" s="23">
        <v>40568</v>
      </c>
      <c r="C558" s="10">
        <v>1</v>
      </c>
      <c r="D558" s="10">
        <v>0</v>
      </c>
      <c r="E558" s="10">
        <v>1</v>
      </c>
      <c r="F558" s="10">
        <v>9</v>
      </c>
      <c r="G558" s="10" t="b">
        <v>0</v>
      </c>
      <c r="H558" s="10">
        <v>2</v>
      </c>
      <c r="I558" s="10" t="str">
        <f>IF(OR(Cleaned_datasetB[[#This Row],[Day_Code]]=0,Cleaned_datasetB[[#This Row],[Day_Code]]=6),"Weekend","Weekday")</f>
        <v>Weekday</v>
      </c>
      <c r="J558" s="10">
        <v>2</v>
      </c>
      <c r="K558" s="10">
        <v>0.2</v>
      </c>
      <c r="L558" s="51">
        <v>0.2273</v>
      </c>
      <c r="M558" s="10">
        <v>0.64</v>
      </c>
      <c r="N558" s="10">
        <v>8.9599999999999999E-2</v>
      </c>
      <c r="O558" s="10">
        <v>10</v>
      </c>
      <c r="P558" s="10">
        <v>134</v>
      </c>
      <c r="Q558" s="10">
        <v>144</v>
      </c>
      <c r="R558" s="10" t="str">
        <f>VLOOKUP(Cleaned_datasetB[[#This Row],[Weather_Code]],Lookup_Tables!$E$9:$F$13,2,FALSE)</f>
        <v>Cloudy</v>
      </c>
      <c r="S558" s="10" t="str">
        <f>INDEX(Lookup_Tables!$I$10:$I$16,MATCH(Cleaned_datasetB[[#This Row],[Day_Code]],Lookup_Tables!$H$10:$H$16,0))</f>
        <v>Tuesday</v>
      </c>
      <c r="T558" s="10" t="str">
        <f>VLOOKUP(Cleaned_datasetB[[#This Row],[Month]], Lookup_Tables!$K$8:$L$19, 2, FALSE)</f>
        <v>January</v>
      </c>
      <c r="U558" s="10" t="str">
        <f>IF(AND(Cleaned_datasetB[[#This Row],[Day_Type]]="Weekday",Cleaned_datasetB[[#This Row],[Is_Holiday]]=FALSE),"Working Day","Non-Working Day")</f>
        <v>Working Day</v>
      </c>
    </row>
    <row r="559" spans="1:21">
      <c r="A559" s="10">
        <v>558</v>
      </c>
      <c r="B559" s="23">
        <v>40568</v>
      </c>
      <c r="C559" s="10">
        <v>1</v>
      </c>
      <c r="D559" s="10">
        <v>0</v>
      </c>
      <c r="E559" s="10">
        <v>1</v>
      </c>
      <c r="F559" s="10">
        <v>10</v>
      </c>
      <c r="G559" s="10" t="b">
        <v>0</v>
      </c>
      <c r="H559" s="10">
        <v>2</v>
      </c>
      <c r="I559" s="10" t="str">
        <f>IF(OR(Cleaned_datasetB[[#This Row],[Day_Code]]=0,Cleaned_datasetB[[#This Row],[Day_Code]]=6),"Weekend","Weekday")</f>
        <v>Weekday</v>
      </c>
      <c r="J559" s="10">
        <v>2</v>
      </c>
      <c r="K559" s="10">
        <v>0.22</v>
      </c>
      <c r="L559" s="51">
        <v>0.2424</v>
      </c>
      <c r="M559" s="10">
        <v>0.6</v>
      </c>
      <c r="N559" s="10">
        <v>0.1045</v>
      </c>
      <c r="O559" s="10">
        <v>6</v>
      </c>
      <c r="P559" s="10">
        <v>49</v>
      </c>
      <c r="Q559" s="10">
        <v>55</v>
      </c>
      <c r="R559" s="10" t="str">
        <f>VLOOKUP(Cleaned_datasetB[[#This Row],[Weather_Code]],Lookup_Tables!$E$9:$F$13,2,FALSE)</f>
        <v>Cloudy</v>
      </c>
      <c r="S559" s="10" t="str">
        <f>INDEX(Lookup_Tables!$I$10:$I$16,MATCH(Cleaned_datasetB[[#This Row],[Day_Code]],Lookup_Tables!$H$10:$H$16,0))</f>
        <v>Tuesday</v>
      </c>
      <c r="T559" s="10" t="str">
        <f>VLOOKUP(Cleaned_datasetB[[#This Row],[Month]], Lookup_Tables!$K$8:$L$19, 2, FALSE)</f>
        <v>January</v>
      </c>
      <c r="U559" s="10" t="str">
        <f>IF(AND(Cleaned_datasetB[[#This Row],[Day_Type]]="Weekday",Cleaned_datasetB[[#This Row],[Is_Holiday]]=FALSE),"Working Day","Non-Working Day")</f>
        <v>Working Day</v>
      </c>
    </row>
    <row r="560" spans="1:21">
      <c r="A560" s="10">
        <v>559</v>
      </c>
      <c r="B560" s="23">
        <v>40568</v>
      </c>
      <c r="C560" s="10">
        <v>1</v>
      </c>
      <c r="D560" s="10">
        <v>0</v>
      </c>
      <c r="E560" s="10">
        <v>1</v>
      </c>
      <c r="F560" s="10">
        <v>11</v>
      </c>
      <c r="G560" s="10" t="b">
        <v>0</v>
      </c>
      <c r="H560" s="10">
        <v>2</v>
      </c>
      <c r="I560" s="10" t="str">
        <f>IF(OR(Cleaned_datasetB[[#This Row],[Day_Code]]=0,Cleaned_datasetB[[#This Row],[Day_Code]]=6),"Weekend","Weekday")</f>
        <v>Weekday</v>
      </c>
      <c r="J560" s="10">
        <v>2</v>
      </c>
      <c r="K560" s="10">
        <v>0.24</v>
      </c>
      <c r="L560" s="51">
        <v>0.2424</v>
      </c>
      <c r="M560" s="10">
        <v>0.6</v>
      </c>
      <c r="N560" s="10">
        <v>0.1343</v>
      </c>
      <c r="O560" s="10">
        <v>6</v>
      </c>
      <c r="P560" s="10">
        <v>55</v>
      </c>
      <c r="Q560" s="10">
        <v>61</v>
      </c>
      <c r="R560" s="10" t="str">
        <f>VLOOKUP(Cleaned_datasetB[[#This Row],[Weather_Code]],Lookup_Tables!$E$9:$F$13,2,FALSE)</f>
        <v>Cloudy</v>
      </c>
      <c r="S560" s="10" t="str">
        <f>INDEX(Lookup_Tables!$I$10:$I$16,MATCH(Cleaned_datasetB[[#This Row],[Day_Code]],Lookup_Tables!$H$10:$H$16,0))</f>
        <v>Tuesday</v>
      </c>
      <c r="T560" s="10" t="str">
        <f>VLOOKUP(Cleaned_datasetB[[#This Row],[Month]], Lookup_Tables!$K$8:$L$19, 2, FALSE)</f>
        <v>January</v>
      </c>
      <c r="U560" s="10" t="str">
        <f>IF(AND(Cleaned_datasetB[[#This Row],[Day_Type]]="Weekday",Cleaned_datasetB[[#This Row],[Is_Holiday]]=FALSE),"Working Day","Non-Working Day")</f>
        <v>Working Day</v>
      </c>
    </row>
    <row r="561" spans="1:21">
      <c r="A561" s="10">
        <v>560</v>
      </c>
      <c r="B561" s="23">
        <v>40568</v>
      </c>
      <c r="C561" s="10">
        <v>1</v>
      </c>
      <c r="D561" s="10">
        <v>0</v>
      </c>
      <c r="E561" s="10">
        <v>1</v>
      </c>
      <c r="F561" s="10">
        <v>12</v>
      </c>
      <c r="G561" s="10" t="b">
        <v>0</v>
      </c>
      <c r="H561" s="10">
        <v>2</v>
      </c>
      <c r="I561" s="10" t="str">
        <f>IF(OR(Cleaned_datasetB[[#This Row],[Day_Code]]=0,Cleaned_datasetB[[#This Row],[Day_Code]]=6),"Weekend","Weekday")</f>
        <v>Weekday</v>
      </c>
      <c r="J561" s="10">
        <v>2</v>
      </c>
      <c r="K561" s="10">
        <v>0.26</v>
      </c>
      <c r="L561" s="51">
        <v>0.28789999999999999</v>
      </c>
      <c r="M561" s="10">
        <v>0.56000000000000005</v>
      </c>
      <c r="N561" s="10">
        <v>8.9599999999999999E-2</v>
      </c>
      <c r="O561" s="10">
        <v>21</v>
      </c>
      <c r="P561" s="10">
        <v>85</v>
      </c>
      <c r="Q561" s="10">
        <v>106</v>
      </c>
      <c r="R561" s="10" t="str">
        <f>VLOOKUP(Cleaned_datasetB[[#This Row],[Weather_Code]],Lookup_Tables!$E$9:$F$13,2,FALSE)</f>
        <v>Cloudy</v>
      </c>
      <c r="S561" s="10" t="str">
        <f>INDEX(Lookup_Tables!$I$10:$I$16,MATCH(Cleaned_datasetB[[#This Row],[Day_Code]],Lookup_Tables!$H$10:$H$16,0))</f>
        <v>Tuesday</v>
      </c>
      <c r="T561" s="10" t="str">
        <f>VLOOKUP(Cleaned_datasetB[[#This Row],[Month]], Lookup_Tables!$K$8:$L$19, 2, FALSE)</f>
        <v>January</v>
      </c>
      <c r="U561" s="10" t="str">
        <f>IF(AND(Cleaned_datasetB[[#This Row],[Day_Type]]="Weekday",Cleaned_datasetB[[#This Row],[Is_Holiday]]=FALSE),"Working Day","Non-Working Day")</f>
        <v>Working Day</v>
      </c>
    </row>
    <row r="562" spans="1:21">
      <c r="A562" s="10">
        <v>561</v>
      </c>
      <c r="B562" s="23">
        <v>40568</v>
      </c>
      <c r="C562" s="10">
        <v>1</v>
      </c>
      <c r="D562" s="10">
        <v>0</v>
      </c>
      <c r="E562" s="10">
        <v>1</v>
      </c>
      <c r="F562" s="10">
        <v>13</v>
      </c>
      <c r="G562" s="10" t="b">
        <v>0</v>
      </c>
      <c r="H562" s="10">
        <v>2</v>
      </c>
      <c r="I562" s="10" t="str">
        <f>IF(OR(Cleaned_datasetB[[#This Row],[Day_Code]]=0,Cleaned_datasetB[[#This Row],[Day_Code]]=6),"Weekend","Weekday")</f>
        <v>Weekday</v>
      </c>
      <c r="J562" s="10">
        <v>2</v>
      </c>
      <c r="K562" s="10">
        <v>0.26</v>
      </c>
      <c r="L562" s="51">
        <v>0.2727</v>
      </c>
      <c r="M562" s="10">
        <v>0.56000000000000005</v>
      </c>
      <c r="N562" s="10">
        <v>0.1343</v>
      </c>
      <c r="O562" s="10">
        <v>21</v>
      </c>
      <c r="P562" s="10">
        <v>72</v>
      </c>
      <c r="Q562" s="10">
        <v>93</v>
      </c>
      <c r="R562" s="10" t="str">
        <f>VLOOKUP(Cleaned_datasetB[[#This Row],[Weather_Code]],Lookup_Tables!$E$9:$F$13,2,FALSE)</f>
        <v>Cloudy</v>
      </c>
      <c r="S562" s="10" t="str">
        <f>INDEX(Lookup_Tables!$I$10:$I$16,MATCH(Cleaned_datasetB[[#This Row],[Day_Code]],Lookup_Tables!$H$10:$H$16,0))</f>
        <v>Tuesday</v>
      </c>
      <c r="T562" s="10" t="str">
        <f>VLOOKUP(Cleaned_datasetB[[#This Row],[Month]], Lookup_Tables!$K$8:$L$19, 2, FALSE)</f>
        <v>January</v>
      </c>
      <c r="U562" s="10" t="str">
        <f>IF(AND(Cleaned_datasetB[[#This Row],[Day_Type]]="Weekday",Cleaned_datasetB[[#This Row],[Is_Holiday]]=FALSE),"Working Day","Non-Working Day")</f>
        <v>Working Day</v>
      </c>
    </row>
    <row r="563" spans="1:21">
      <c r="A563" s="10">
        <v>562</v>
      </c>
      <c r="B563" s="23">
        <v>40568</v>
      </c>
      <c r="C563" s="10">
        <v>1</v>
      </c>
      <c r="D563" s="10">
        <v>0</v>
      </c>
      <c r="E563" s="10">
        <v>1</v>
      </c>
      <c r="F563" s="10">
        <v>14</v>
      </c>
      <c r="G563" s="10" t="b">
        <v>0</v>
      </c>
      <c r="H563" s="10">
        <v>2</v>
      </c>
      <c r="I563" s="10" t="str">
        <f>IF(OR(Cleaned_datasetB[[#This Row],[Day_Code]]=0,Cleaned_datasetB[[#This Row],[Day_Code]]=6),"Weekend","Weekday")</f>
        <v>Weekday</v>
      </c>
      <c r="J563" s="10">
        <v>2</v>
      </c>
      <c r="K563" s="10">
        <v>0.3</v>
      </c>
      <c r="L563" s="51">
        <v>0.33329999999999999</v>
      </c>
      <c r="M563" s="10">
        <v>0.45</v>
      </c>
      <c r="N563" s="10">
        <v>0</v>
      </c>
      <c r="O563" s="10">
        <v>11</v>
      </c>
      <c r="P563" s="10">
        <v>57</v>
      </c>
      <c r="Q563" s="10">
        <v>68</v>
      </c>
      <c r="R563" s="10" t="str">
        <f>VLOOKUP(Cleaned_datasetB[[#This Row],[Weather_Code]],Lookup_Tables!$E$9:$F$13,2,FALSE)</f>
        <v>Cloudy</v>
      </c>
      <c r="S563" s="10" t="str">
        <f>INDEX(Lookup_Tables!$I$10:$I$16,MATCH(Cleaned_datasetB[[#This Row],[Day_Code]],Lookup_Tables!$H$10:$H$16,0))</f>
        <v>Tuesday</v>
      </c>
      <c r="T563" s="10" t="str">
        <f>VLOOKUP(Cleaned_datasetB[[#This Row],[Month]], Lookup_Tables!$K$8:$L$19, 2, FALSE)</f>
        <v>January</v>
      </c>
      <c r="U563" s="10" t="str">
        <f>IF(AND(Cleaned_datasetB[[#This Row],[Day_Type]]="Weekday",Cleaned_datasetB[[#This Row],[Is_Holiday]]=FALSE),"Working Day","Non-Working Day")</f>
        <v>Working Day</v>
      </c>
    </row>
    <row r="564" spans="1:21">
      <c r="A564" s="10">
        <v>563</v>
      </c>
      <c r="B564" s="23">
        <v>40568</v>
      </c>
      <c r="C564" s="10">
        <v>1</v>
      </c>
      <c r="D564" s="10">
        <v>0</v>
      </c>
      <c r="E564" s="10">
        <v>1</v>
      </c>
      <c r="F564" s="10">
        <v>15</v>
      </c>
      <c r="G564" s="10" t="b">
        <v>0</v>
      </c>
      <c r="H564" s="10">
        <v>2</v>
      </c>
      <c r="I564" s="10" t="str">
        <f>IF(OR(Cleaned_datasetB[[#This Row],[Day_Code]]=0,Cleaned_datasetB[[#This Row],[Day_Code]]=6),"Weekend","Weekday")</f>
        <v>Weekday</v>
      </c>
      <c r="J564" s="10">
        <v>2</v>
      </c>
      <c r="K564" s="10">
        <v>0.32</v>
      </c>
      <c r="L564" s="51">
        <v>0.34849999999999998</v>
      </c>
      <c r="M564" s="10">
        <v>0.42</v>
      </c>
      <c r="N564" s="10">
        <v>0</v>
      </c>
      <c r="O564" s="10">
        <v>21</v>
      </c>
      <c r="P564" s="10">
        <v>63</v>
      </c>
      <c r="Q564" s="10">
        <v>84</v>
      </c>
      <c r="R564" s="10" t="str">
        <f>VLOOKUP(Cleaned_datasetB[[#This Row],[Weather_Code]],Lookup_Tables!$E$9:$F$13,2,FALSE)</f>
        <v>Cloudy</v>
      </c>
      <c r="S564" s="10" t="str">
        <f>INDEX(Lookup_Tables!$I$10:$I$16,MATCH(Cleaned_datasetB[[#This Row],[Day_Code]],Lookup_Tables!$H$10:$H$16,0))</f>
        <v>Tuesday</v>
      </c>
      <c r="T564" s="10" t="str">
        <f>VLOOKUP(Cleaned_datasetB[[#This Row],[Month]], Lookup_Tables!$K$8:$L$19, 2, FALSE)</f>
        <v>January</v>
      </c>
      <c r="U564" s="10" t="str">
        <f>IF(AND(Cleaned_datasetB[[#This Row],[Day_Type]]="Weekday",Cleaned_datasetB[[#This Row],[Is_Holiday]]=FALSE),"Working Day","Non-Working Day")</f>
        <v>Working Day</v>
      </c>
    </row>
    <row r="565" spans="1:21">
      <c r="A565" s="10">
        <v>564</v>
      </c>
      <c r="B565" s="23">
        <v>40568</v>
      </c>
      <c r="C565" s="10">
        <v>1</v>
      </c>
      <c r="D565" s="10">
        <v>0</v>
      </c>
      <c r="E565" s="10">
        <v>1</v>
      </c>
      <c r="F565" s="10">
        <v>16</v>
      </c>
      <c r="G565" s="10" t="b">
        <v>0</v>
      </c>
      <c r="H565" s="10">
        <v>2</v>
      </c>
      <c r="I565" s="10" t="str">
        <f>IF(OR(Cleaned_datasetB[[#This Row],[Day_Code]]=0,Cleaned_datasetB[[#This Row],[Day_Code]]=6),"Weekend","Weekday")</f>
        <v>Weekday</v>
      </c>
      <c r="J565" s="10">
        <v>2</v>
      </c>
      <c r="K565" s="10">
        <v>0.32</v>
      </c>
      <c r="L565" s="51">
        <v>0.34849999999999998</v>
      </c>
      <c r="M565" s="10">
        <v>0.42</v>
      </c>
      <c r="N565" s="10">
        <v>0</v>
      </c>
      <c r="O565" s="10">
        <v>14</v>
      </c>
      <c r="P565" s="10">
        <v>102</v>
      </c>
      <c r="Q565" s="10">
        <v>116</v>
      </c>
      <c r="R565" s="10" t="str">
        <f>VLOOKUP(Cleaned_datasetB[[#This Row],[Weather_Code]],Lookup_Tables!$E$9:$F$13,2,FALSE)</f>
        <v>Cloudy</v>
      </c>
      <c r="S565" s="10" t="str">
        <f>INDEX(Lookup_Tables!$I$10:$I$16,MATCH(Cleaned_datasetB[[#This Row],[Day_Code]],Lookup_Tables!$H$10:$H$16,0))</f>
        <v>Tuesday</v>
      </c>
      <c r="T565" s="10" t="str">
        <f>VLOOKUP(Cleaned_datasetB[[#This Row],[Month]], Lookup_Tables!$K$8:$L$19, 2, FALSE)</f>
        <v>January</v>
      </c>
      <c r="U565" s="10" t="str">
        <f>IF(AND(Cleaned_datasetB[[#This Row],[Day_Type]]="Weekday",Cleaned_datasetB[[#This Row],[Is_Holiday]]=FALSE),"Working Day","Non-Working Day")</f>
        <v>Working Day</v>
      </c>
    </row>
    <row r="566" spans="1:21">
      <c r="A566" s="10">
        <v>565</v>
      </c>
      <c r="B566" s="23">
        <v>40568</v>
      </c>
      <c r="C566" s="10">
        <v>1</v>
      </c>
      <c r="D566" s="10">
        <v>0</v>
      </c>
      <c r="E566" s="10">
        <v>1</v>
      </c>
      <c r="F566" s="10">
        <v>17</v>
      </c>
      <c r="G566" s="10" t="b">
        <v>0</v>
      </c>
      <c r="H566" s="10">
        <v>2</v>
      </c>
      <c r="I566" s="10" t="str">
        <f>IF(OR(Cleaned_datasetB[[#This Row],[Day_Code]]=0,Cleaned_datasetB[[#This Row],[Day_Code]]=6),"Weekend","Weekday")</f>
        <v>Weekday</v>
      </c>
      <c r="J566" s="10">
        <v>1</v>
      </c>
      <c r="K566" s="10">
        <v>0.3</v>
      </c>
      <c r="L566" s="51">
        <v>0.33329999999999999</v>
      </c>
      <c r="M566" s="10">
        <v>0.45</v>
      </c>
      <c r="N566" s="10">
        <v>0</v>
      </c>
      <c r="O566" s="10">
        <v>14</v>
      </c>
      <c r="P566" s="10">
        <v>208</v>
      </c>
      <c r="Q566" s="10">
        <v>222</v>
      </c>
      <c r="R566" s="10" t="str">
        <f>VLOOKUP(Cleaned_datasetB[[#This Row],[Weather_Code]],Lookup_Tables!$E$9:$F$13,2,FALSE)</f>
        <v>Clear</v>
      </c>
      <c r="S566" s="10" t="str">
        <f>INDEX(Lookup_Tables!$I$10:$I$16,MATCH(Cleaned_datasetB[[#This Row],[Day_Code]],Lookup_Tables!$H$10:$H$16,0))</f>
        <v>Tuesday</v>
      </c>
      <c r="T566" s="10" t="str">
        <f>VLOOKUP(Cleaned_datasetB[[#This Row],[Month]], Lookup_Tables!$K$8:$L$19, 2, FALSE)</f>
        <v>January</v>
      </c>
      <c r="U566" s="10" t="str">
        <f>IF(AND(Cleaned_datasetB[[#This Row],[Day_Type]]="Weekday",Cleaned_datasetB[[#This Row],[Is_Holiday]]=FALSE),"Working Day","Non-Working Day")</f>
        <v>Working Day</v>
      </c>
    </row>
    <row r="567" spans="1:21">
      <c r="A567" s="10">
        <v>566</v>
      </c>
      <c r="B567" s="23">
        <v>40568</v>
      </c>
      <c r="C567" s="10">
        <v>1</v>
      </c>
      <c r="D567" s="10">
        <v>0</v>
      </c>
      <c r="E567" s="10">
        <v>1</v>
      </c>
      <c r="F567" s="10">
        <v>18</v>
      </c>
      <c r="G567" s="10" t="b">
        <v>0</v>
      </c>
      <c r="H567" s="10">
        <v>2</v>
      </c>
      <c r="I567" s="10" t="str">
        <f>IF(OR(Cleaned_datasetB[[#This Row],[Day_Code]]=0,Cleaned_datasetB[[#This Row],[Day_Code]]=6),"Weekend","Weekday")</f>
        <v>Weekday</v>
      </c>
      <c r="J567" s="10">
        <v>2</v>
      </c>
      <c r="K567" s="10">
        <v>0.3</v>
      </c>
      <c r="L567" s="51">
        <v>0.31819999999999998</v>
      </c>
      <c r="M567" s="10">
        <v>0.49</v>
      </c>
      <c r="N567" s="10">
        <v>8.9599999999999999E-2</v>
      </c>
      <c r="O567" s="10">
        <v>7</v>
      </c>
      <c r="P567" s="10">
        <v>218</v>
      </c>
      <c r="Q567" s="10">
        <v>225</v>
      </c>
      <c r="R567" s="10" t="str">
        <f>VLOOKUP(Cleaned_datasetB[[#This Row],[Weather_Code]],Lookup_Tables!$E$9:$F$13,2,FALSE)</f>
        <v>Cloudy</v>
      </c>
      <c r="S567" s="10" t="str">
        <f>INDEX(Lookup_Tables!$I$10:$I$16,MATCH(Cleaned_datasetB[[#This Row],[Day_Code]],Lookup_Tables!$H$10:$H$16,0))</f>
        <v>Tuesday</v>
      </c>
      <c r="T567" s="10" t="str">
        <f>VLOOKUP(Cleaned_datasetB[[#This Row],[Month]], Lookup_Tables!$K$8:$L$19, 2, FALSE)</f>
        <v>January</v>
      </c>
      <c r="U567" s="10" t="str">
        <f>IF(AND(Cleaned_datasetB[[#This Row],[Day_Type]]="Weekday",Cleaned_datasetB[[#This Row],[Is_Holiday]]=FALSE),"Working Day","Non-Working Day")</f>
        <v>Working Day</v>
      </c>
    </row>
    <row r="568" spans="1:21">
      <c r="A568" s="10">
        <v>567</v>
      </c>
      <c r="B568" s="23">
        <v>40568</v>
      </c>
      <c r="C568" s="10">
        <v>1</v>
      </c>
      <c r="D568" s="10">
        <v>0</v>
      </c>
      <c r="E568" s="10">
        <v>1</v>
      </c>
      <c r="F568" s="10">
        <v>19</v>
      </c>
      <c r="G568" s="10" t="b">
        <v>0</v>
      </c>
      <c r="H568" s="10">
        <v>2</v>
      </c>
      <c r="I568" s="10" t="str">
        <f>IF(OR(Cleaned_datasetB[[#This Row],[Day_Code]]=0,Cleaned_datasetB[[#This Row],[Day_Code]]=6),"Weekend","Weekday")</f>
        <v>Weekday</v>
      </c>
      <c r="J568" s="10">
        <v>2</v>
      </c>
      <c r="K568" s="10">
        <v>0.26</v>
      </c>
      <c r="L568" s="51">
        <v>0.2576</v>
      </c>
      <c r="M568" s="10">
        <v>0.65</v>
      </c>
      <c r="N568" s="10">
        <v>0.16420000000000001</v>
      </c>
      <c r="O568" s="10">
        <v>13</v>
      </c>
      <c r="P568" s="10">
        <v>133</v>
      </c>
      <c r="Q568" s="10">
        <v>146</v>
      </c>
      <c r="R568" s="10" t="str">
        <f>VLOOKUP(Cleaned_datasetB[[#This Row],[Weather_Code]],Lookup_Tables!$E$9:$F$13,2,FALSE)</f>
        <v>Cloudy</v>
      </c>
      <c r="S568" s="10" t="str">
        <f>INDEX(Lookup_Tables!$I$10:$I$16,MATCH(Cleaned_datasetB[[#This Row],[Day_Code]],Lookup_Tables!$H$10:$H$16,0))</f>
        <v>Tuesday</v>
      </c>
      <c r="T568" s="10" t="str">
        <f>VLOOKUP(Cleaned_datasetB[[#This Row],[Month]], Lookup_Tables!$K$8:$L$19, 2, FALSE)</f>
        <v>January</v>
      </c>
      <c r="U568" s="10" t="str">
        <f>IF(AND(Cleaned_datasetB[[#This Row],[Day_Type]]="Weekday",Cleaned_datasetB[[#This Row],[Is_Holiday]]=FALSE),"Working Day","Non-Working Day")</f>
        <v>Working Day</v>
      </c>
    </row>
    <row r="569" spans="1:21">
      <c r="A569" s="10">
        <v>568</v>
      </c>
      <c r="B569" s="23">
        <v>40568</v>
      </c>
      <c r="C569" s="10">
        <v>1</v>
      </c>
      <c r="D569" s="10">
        <v>0</v>
      </c>
      <c r="E569" s="10">
        <v>1</v>
      </c>
      <c r="F569" s="10">
        <v>20</v>
      </c>
      <c r="G569" s="10" t="b">
        <v>0</v>
      </c>
      <c r="H569" s="10">
        <v>2</v>
      </c>
      <c r="I569" s="10" t="str">
        <f>IF(OR(Cleaned_datasetB[[#This Row],[Day_Code]]=0,Cleaned_datasetB[[#This Row],[Day_Code]]=6),"Weekend","Weekday")</f>
        <v>Weekday</v>
      </c>
      <c r="J569" s="10">
        <v>1</v>
      </c>
      <c r="K569" s="10">
        <v>0.24</v>
      </c>
      <c r="L569" s="51">
        <v>0.2273</v>
      </c>
      <c r="M569" s="10">
        <v>0.65</v>
      </c>
      <c r="N569" s="10">
        <v>0.19400000000000001</v>
      </c>
      <c r="O569" s="10">
        <v>16</v>
      </c>
      <c r="P569" s="10">
        <v>103</v>
      </c>
      <c r="Q569" s="10">
        <v>119</v>
      </c>
      <c r="R569" s="10" t="str">
        <f>VLOOKUP(Cleaned_datasetB[[#This Row],[Weather_Code]],Lookup_Tables!$E$9:$F$13,2,FALSE)</f>
        <v>Clear</v>
      </c>
      <c r="S569" s="10" t="str">
        <f>INDEX(Lookup_Tables!$I$10:$I$16,MATCH(Cleaned_datasetB[[#This Row],[Day_Code]],Lookup_Tables!$H$10:$H$16,0))</f>
        <v>Tuesday</v>
      </c>
      <c r="T569" s="10" t="str">
        <f>VLOOKUP(Cleaned_datasetB[[#This Row],[Month]], Lookup_Tables!$K$8:$L$19, 2, FALSE)</f>
        <v>January</v>
      </c>
      <c r="U569" s="10" t="str">
        <f>IF(AND(Cleaned_datasetB[[#This Row],[Day_Type]]="Weekday",Cleaned_datasetB[[#This Row],[Is_Holiday]]=FALSE),"Working Day","Non-Working Day")</f>
        <v>Working Day</v>
      </c>
    </row>
    <row r="570" spans="1:21">
      <c r="A570" s="10">
        <v>569</v>
      </c>
      <c r="B570" s="23">
        <v>40568</v>
      </c>
      <c r="C570" s="10">
        <v>1</v>
      </c>
      <c r="D570" s="10">
        <v>0</v>
      </c>
      <c r="E570" s="10">
        <v>1</v>
      </c>
      <c r="F570" s="10">
        <v>21</v>
      </c>
      <c r="G570" s="10" t="b">
        <v>0</v>
      </c>
      <c r="H570" s="10">
        <v>2</v>
      </c>
      <c r="I570" s="10" t="str">
        <f>IF(OR(Cleaned_datasetB[[#This Row],[Day_Code]]=0,Cleaned_datasetB[[#This Row],[Day_Code]]=6),"Weekend","Weekday")</f>
        <v>Weekday</v>
      </c>
      <c r="J570" s="10">
        <v>1</v>
      </c>
      <c r="K570" s="10">
        <v>0.24</v>
      </c>
      <c r="L570" s="51">
        <v>0.2273</v>
      </c>
      <c r="M570" s="10">
        <v>0.65</v>
      </c>
      <c r="N570" s="10">
        <v>0.19400000000000001</v>
      </c>
      <c r="O570" s="10">
        <v>5</v>
      </c>
      <c r="P570" s="10">
        <v>40</v>
      </c>
      <c r="Q570" s="10">
        <v>45</v>
      </c>
      <c r="R570" s="10" t="str">
        <f>VLOOKUP(Cleaned_datasetB[[#This Row],[Weather_Code]],Lookup_Tables!$E$9:$F$13,2,FALSE)</f>
        <v>Clear</v>
      </c>
      <c r="S570" s="10" t="str">
        <f>INDEX(Lookup_Tables!$I$10:$I$16,MATCH(Cleaned_datasetB[[#This Row],[Day_Code]],Lookup_Tables!$H$10:$H$16,0))</f>
        <v>Tuesday</v>
      </c>
      <c r="T570" s="10" t="str">
        <f>VLOOKUP(Cleaned_datasetB[[#This Row],[Month]], Lookup_Tables!$K$8:$L$19, 2, FALSE)</f>
        <v>January</v>
      </c>
      <c r="U570" s="10" t="str">
        <f>IF(AND(Cleaned_datasetB[[#This Row],[Day_Type]]="Weekday",Cleaned_datasetB[[#This Row],[Is_Holiday]]=FALSE),"Working Day","Non-Working Day")</f>
        <v>Working Day</v>
      </c>
    </row>
    <row r="571" spans="1:21">
      <c r="A571" s="10">
        <v>570</v>
      </c>
      <c r="B571" s="23">
        <v>40568</v>
      </c>
      <c r="C571" s="10">
        <v>1</v>
      </c>
      <c r="D571" s="10">
        <v>0</v>
      </c>
      <c r="E571" s="10">
        <v>1</v>
      </c>
      <c r="F571" s="10">
        <v>22</v>
      </c>
      <c r="G571" s="10" t="b">
        <v>0</v>
      </c>
      <c r="H571" s="10">
        <v>2</v>
      </c>
      <c r="I571" s="10" t="str">
        <f>IF(OR(Cleaned_datasetB[[#This Row],[Day_Code]]=0,Cleaned_datasetB[[#This Row],[Day_Code]]=6),"Weekend","Weekday")</f>
        <v>Weekday</v>
      </c>
      <c r="J571" s="10">
        <v>1</v>
      </c>
      <c r="K571" s="10">
        <v>0.22</v>
      </c>
      <c r="L571" s="51">
        <v>0.2273</v>
      </c>
      <c r="M571" s="10">
        <v>0.64</v>
      </c>
      <c r="N571" s="10">
        <v>0.16420000000000001</v>
      </c>
      <c r="O571" s="10">
        <v>4</v>
      </c>
      <c r="P571" s="10">
        <v>49</v>
      </c>
      <c r="Q571" s="10">
        <v>53</v>
      </c>
      <c r="R571" s="10" t="str">
        <f>VLOOKUP(Cleaned_datasetB[[#This Row],[Weather_Code]],Lookup_Tables!$E$9:$F$13,2,FALSE)</f>
        <v>Clear</v>
      </c>
      <c r="S571" s="10" t="str">
        <f>INDEX(Lookup_Tables!$I$10:$I$16,MATCH(Cleaned_datasetB[[#This Row],[Day_Code]],Lookup_Tables!$H$10:$H$16,0))</f>
        <v>Tuesday</v>
      </c>
      <c r="T571" s="10" t="str">
        <f>VLOOKUP(Cleaned_datasetB[[#This Row],[Month]], Lookup_Tables!$K$8:$L$19, 2, FALSE)</f>
        <v>January</v>
      </c>
      <c r="U571" s="10" t="str">
        <f>IF(AND(Cleaned_datasetB[[#This Row],[Day_Type]]="Weekday",Cleaned_datasetB[[#This Row],[Is_Holiday]]=FALSE),"Working Day","Non-Working Day")</f>
        <v>Working Day</v>
      </c>
    </row>
    <row r="572" spans="1:21">
      <c r="A572" s="10">
        <v>571</v>
      </c>
      <c r="B572" s="23">
        <v>40568</v>
      </c>
      <c r="C572" s="10">
        <v>1</v>
      </c>
      <c r="D572" s="10">
        <v>0</v>
      </c>
      <c r="E572" s="10">
        <v>1</v>
      </c>
      <c r="F572" s="10">
        <v>23</v>
      </c>
      <c r="G572" s="10" t="b">
        <v>0</v>
      </c>
      <c r="H572" s="10">
        <v>2</v>
      </c>
      <c r="I572" s="10" t="str">
        <f>IF(OR(Cleaned_datasetB[[#This Row],[Day_Code]]=0,Cleaned_datasetB[[#This Row],[Day_Code]]=6),"Weekend","Weekday")</f>
        <v>Weekday</v>
      </c>
      <c r="J572" s="10">
        <v>2</v>
      </c>
      <c r="K572" s="10">
        <v>0.22</v>
      </c>
      <c r="L572" s="51">
        <v>0.2273</v>
      </c>
      <c r="M572" s="10">
        <v>0.64</v>
      </c>
      <c r="N572" s="10">
        <v>0.16420000000000001</v>
      </c>
      <c r="O572" s="10">
        <v>3</v>
      </c>
      <c r="P572" s="10">
        <v>37</v>
      </c>
      <c r="Q572" s="10">
        <v>40</v>
      </c>
      <c r="R572" s="10" t="str">
        <f>VLOOKUP(Cleaned_datasetB[[#This Row],[Weather_Code]],Lookup_Tables!$E$9:$F$13,2,FALSE)</f>
        <v>Cloudy</v>
      </c>
      <c r="S572" s="10" t="str">
        <f>INDEX(Lookup_Tables!$I$10:$I$16,MATCH(Cleaned_datasetB[[#This Row],[Day_Code]],Lookup_Tables!$H$10:$H$16,0))</f>
        <v>Tuesday</v>
      </c>
      <c r="T572" s="10" t="str">
        <f>VLOOKUP(Cleaned_datasetB[[#This Row],[Month]], Lookup_Tables!$K$8:$L$19, 2, FALSE)</f>
        <v>January</v>
      </c>
      <c r="U572" s="10" t="str">
        <f>IF(AND(Cleaned_datasetB[[#This Row],[Day_Type]]="Weekday",Cleaned_datasetB[[#This Row],[Is_Holiday]]=FALSE),"Working Day","Non-Working Day")</f>
        <v>Working Day</v>
      </c>
    </row>
    <row r="573" spans="1:21">
      <c r="A573" s="10">
        <v>572</v>
      </c>
      <c r="B573" s="23">
        <v>40569</v>
      </c>
      <c r="C573" s="10">
        <v>1</v>
      </c>
      <c r="D573" s="10">
        <v>0</v>
      </c>
      <c r="E573" s="10">
        <v>1</v>
      </c>
      <c r="F573" s="10">
        <v>0</v>
      </c>
      <c r="G573" s="10" t="b">
        <v>0</v>
      </c>
      <c r="H573" s="10">
        <v>3</v>
      </c>
      <c r="I573" s="10" t="str">
        <f>IF(OR(Cleaned_datasetB[[#This Row],[Day_Code]]=0,Cleaned_datasetB[[#This Row],[Day_Code]]=6),"Weekend","Weekday")</f>
        <v>Weekday</v>
      </c>
      <c r="J573" s="10">
        <v>2</v>
      </c>
      <c r="K573" s="10">
        <v>0.22</v>
      </c>
      <c r="L573" s="51">
        <v>0.2273</v>
      </c>
      <c r="M573" s="10">
        <v>0.69</v>
      </c>
      <c r="N573" s="10">
        <v>0.1343</v>
      </c>
      <c r="O573" s="10">
        <v>3</v>
      </c>
      <c r="P573" s="10">
        <v>14</v>
      </c>
      <c r="Q573" s="10">
        <v>17</v>
      </c>
      <c r="R573" s="10" t="str">
        <f>VLOOKUP(Cleaned_datasetB[[#This Row],[Weather_Code]],Lookup_Tables!$E$9:$F$13,2,FALSE)</f>
        <v>Cloudy</v>
      </c>
      <c r="S573" s="10" t="str">
        <f>INDEX(Lookup_Tables!$I$10:$I$16,MATCH(Cleaned_datasetB[[#This Row],[Day_Code]],Lookup_Tables!$H$10:$H$16,0))</f>
        <v>Wednesday</v>
      </c>
      <c r="T573" s="10" t="str">
        <f>VLOOKUP(Cleaned_datasetB[[#This Row],[Month]], Lookup_Tables!$K$8:$L$19, 2, FALSE)</f>
        <v>January</v>
      </c>
      <c r="U573" s="10" t="str">
        <f>IF(AND(Cleaned_datasetB[[#This Row],[Day_Type]]="Weekday",Cleaned_datasetB[[#This Row],[Is_Holiday]]=FALSE),"Working Day","Non-Working Day")</f>
        <v>Working Day</v>
      </c>
    </row>
    <row r="574" spans="1:21">
      <c r="A574" s="10">
        <v>573</v>
      </c>
      <c r="B574" s="23">
        <v>40569</v>
      </c>
      <c r="C574" s="10">
        <v>1</v>
      </c>
      <c r="D574" s="10">
        <v>0</v>
      </c>
      <c r="E574" s="10">
        <v>1</v>
      </c>
      <c r="F574" s="10">
        <v>1</v>
      </c>
      <c r="G574" s="10" t="b">
        <v>0</v>
      </c>
      <c r="H574" s="10">
        <v>3</v>
      </c>
      <c r="I574" s="10" t="str">
        <f>IF(OR(Cleaned_datasetB[[#This Row],[Day_Code]]=0,Cleaned_datasetB[[#This Row],[Day_Code]]=6),"Weekend","Weekday")</f>
        <v>Weekday</v>
      </c>
      <c r="J574" s="10">
        <v>2</v>
      </c>
      <c r="K574" s="10">
        <v>0.24</v>
      </c>
      <c r="L574" s="51">
        <v>0.2424</v>
      </c>
      <c r="M574" s="10">
        <v>0.65</v>
      </c>
      <c r="N574" s="10">
        <v>0.1343</v>
      </c>
      <c r="O574" s="10">
        <v>0</v>
      </c>
      <c r="P574" s="10">
        <v>5</v>
      </c>
      <c r="Q574" s="10">
        <v>5</v>
      </c>
      <c r="R574" s="10" t="str">
        <f>VLOOKUP(Cleaned_datasetB[[#This Row],[Weather_Code]],Lookup_Tables!$E$9:$F$13,2,FALSE)</f>
        <v>Cloudy</v>
      </c>
      <c r="S574" s="10" t="str">
        <f>INDEX(Lookup_Tables!$I$10:$I$16,MATCH(Cleaned_datasetB[[#This Row],[Day_Code]],Lookup_Tables!$H$10:$H$16,0))</f>
        <v>Wednesday</v>
      </c>
      <c r="T574" s="10" t="str">
        <f>VLOOKUP(Cleaned_datasetB[[#This Row],[Month]], Lookup_Tables!$K$8:$L$19, 2, FALSE)</f>
        <v>January</v>
      </c>
      <c r="U574" s="10" t="str">
        <f>IF(AND(Cleaned_datasetB[[#This Row],[Day_Type]]="Weekday",Cleaned_datasetB[[#This Row],[Is_Holiday]]=FALSE),"Working Day","Non-Working Day")</f>
        <v>Working Day</v>
      </c>
    </row>
    <row r="575" spans="1:21">
      <c r="A575" s="10">
        <v>574</v>
      </c>
      <c r="B575" s="23">
        <v>40569</v>
      </c>
      <c r="C575" s="10">
        <v>1</v>
      </c>
      <c r="D575" s="10">
        <v>0</v>
      </c>
      <c r="E575" s="10">
        <v>1</v>
      </c>
      <c r="F575" s="10">
        <v>2</v>
      </c>
      <c r="G575" s="10" t="b">
        <v>0</v>
      </c>
      <c r="H575" s="10">
        <v>3</v>
      </c>
      <c r="I575" s="10" t="str">
        <f>IF(OR(Cleaned_datasetB[[#This Row],[Day_Code]]=0,Cleaned_datasetB[[#This Row],[Day_Code]]=6),"Weekend","Weekday")</f>
        <v>Weekday</v>
      </c>
      <c r="J575" s="10">
        <v>3</v>
      </c>
      <c r="K575" s="10">
        <v>0.22</v>
      </c>
      <c r="L575" s="51">
        <v>0.2273</v>
      </c>
      <c r="M575" s="10">
        <v>0.69</v>
      </c>
      <c r="N575" s="10">
        <v>0.19400000000000001</v>
      </c>
      <c r="O575" s="10">
        <v>3</v>
      </c>
      <c r="P575" s="10">
        <v>7</v>
      </c>
      <c r="Q575" s="10">
        <v>10</v>
      </c>
      <c r="R575" s="10" t="str">
        <f>VLOOKUP(Cleaned_datasetB[[#This Row],[Weather_Code]],Lookup_Tables!$E$9:$F$13,2,FALSE)</f>
        <v>Light Rain</v>
      </c>
      <c r="S575" s="10" t="str">
        <f>INDEX(Lookup_Tables!$I$10:$I$16,MATCH(Cleaned_datasetB[[#This Row],[Day_Code]],Lookup_Tables!$H$10:$H$16,0))</f>
        <v>Wednesday</v>
      </c>
      <c r="T575" s="10" t="str">
        <f>VLOOKUP(Cleaned_datasetB[[#This Row],[Month]], Lookup_Tables!$K$8:$L$19, 2, FALSE)</f>
        <v>January</v>
      </c>
      <c r="U575" s="10" t="str">
        <f>IF(AND(Cleaned_datasetB[[#This Row],[Day_Type]]="Weekday",Cleaned_datasetB[[#This Row],[Is_Holiday]]=FALSE),"Working Day","Non-Working Day")</f>
        <v>Working Day</v>
      </c>
    </row>
    <row r="576" spans="1:21">
      <c r="A576" s="10">
        <v>575</v>
      </c>
      <c r="B576" s="23">
        <v>40569</v>
      </c>
      <c r="C576" s="10">
        <v>1</v>
      </c>
      <c r="D576" s="10">
        <v>0</v>
      </c>
      <c r="E576" s="10">
        <v>1</v>
      </c>
      <c r="F576" s="10">
        <v>5</v>
      </c>
      <c r="G576" s="10" t="b">
        <v>0</v>
      </c>
      <c r="H576" s="10">
        <v>3</v>
      </c>
      <c r="I576" s="10" t="str">
        <f>IF(OR(Cleaned_datasetB[[#This Row],[Day_Code]]=0,Cleaned_datasetB[[#This Row],[Day_Code]]=6),"Weekend","Weekday")</f>
        <v>Weekday</v>
      </c>
      <c r="J576" s="10">
        <v>3</v>
      </c>
      <c r="K576" s="10">
        <v>0.2</v>
      </c>
      <c r="L576" s="51">
        <v>0.18179999999999999</v>
      </c>
      <c r="M576" s="10">
        <v>0.86</v>
      </c>
      <c r="N576" s="10">
        <v>0.28360000000000002</v>
      </c>
      <c r="O576" s="10">
        <v>0</v>
      </c>
      <c r="P576" s="10">
        <v>1</v>
      </c>
      <c r="Q576" s="10">
        <v>1</v>
      </c>
      <c r="R576" s="10" t="str">
        <f>VLOOKUP(Cleaned_datasetB[[#This Row],[Weather_Code]],Lookup_Tables!$E$9:$F$13,2,FALSE)</f>
        <v>Light Rain</v>
      </c>
      <c r="S576" s="10" t="str">
        <f>INDEX(Lookup_Tables!$I$10:$I$16,MATCH(Cleaned_datasetB[[#This Row],[Day_Code]],Lookup_Tables!$H$10:$H$16,0))</f>
        <v>Wednesday</v>
      </c>
      <c r="T576" s="10" t="str">
        <f>VLOOKUP(Cleaned_datasetB[[#This Row],[Month]], Lookup_Tables!$K$8:$L$19, 2, FALSE)</f>
        <v>January</v>
      </c>
      <c r="U576" s="10" t="str">
        <f>IF(AND(Cleaned_datasetB[[#This Row],[Day_Type]]="Weekday",Cleaned_datasetB[[#This Row],[Is_Holiday]]=FALSE),"Working Day","Non-Working Day")</f>
        <v>Working Day</v>
      </c>
    </row>
    <row r="577" spans="1:21">
      <c r="A577" s="10">
        <v>576</v>
      </c>
      <c r="B577" s="23">
        <v>40569</v>
      </c>
      <c r="C577" s="10">
        <v>1</v>
      </c>
      <c r="D577" s="10">
        <v>0</v>
      </c>
      <c r="E577" s="10">
        <v>1</v>
      </c>
      <c r="F577" s="10">
        <v>6</v>
      </c>
      <c r="G577" s="10" t="b">
        <v>0</v>
      </c>
      <c r="H577" s="10">
        <v>3</v>
      </c>
      <c r="I577" s="10" t="str">
        <f>IF(OR(Cleaned_datasetB[[#This Row],[Day_Code]]=0,Cleaned_datasetB[[#This Row],[Day_Code]]=6),"Weekend","Weekday")</f>
        <v>Weekday</v>
      </c>
      <c r="J577" s="10">
        <v>3</v>
      </c>
      <c r="K577" s="10">
        <v>0.2</v>
      </c>
      <c r="L577" s="51">
        <v>0.18179999999999999</v>
      </c>
      <c r="M577" s="10">
        <v>0.86</v>
      </c>
      <c r="N577" s="10">
        <v>0.28360000000000002</v>
      </c>
      <c r="O577" s="10">
        <v>0</v>
      </c>
      <c r="P577" s="10">
        <v>8</v>
      </c>
      <c r="Q577" s="10">
        <v>8</v>
      </c>
      <c r="R577" s="10" t="str">
        <f>VLOOKUP(Cleaned_datasetB[[#This Row],[Weather_Code]],Lookup_Tables!$E$9:$F$13,2,FALSE)</f>
        <v>Light Rain</v>
      </c>
      <c r="S577" s="10" t="str">
        <f>INDEX(Lookup_Tables!$I$10:$I$16,MATCH(Cleaned_datasetB[[#This Row],[Day_Code]],Lookup_Tables!$H$10:$H$16,0))</f>
        <v>Wednesday</v>
      </c>
      <c r="T577" s="10" t="str">
        <f>VLOOKUP(Cleaned_datasetB[[#This Row],[Month]], Lookup_Tables!$K$8:$L$19, 2, FALSE)</f>
        <v>January</v>
      </c>
      <c r="U577" s="10" t="str">
        <f>IF(AND(Cleaned_datasetB[[#This Row],[Day_Type]]="Weekday",Cleaned_datasetB[[#This Row],[Is_Holiday]]=FALSE),"Working Day","Non-Working Day")</f>
        <v>Working Day</v>
      </c>
    </row>
    <row r="578" spans="1:21">
      <c r="A578" s="10">
        <v>577</v>
      </c>
      <c r="B578" s="23">
        <v>40569</v>
      </c>
      <c r="C578" s="10">
        <v>1</v>
      </c>
      <c r="D578" s="10">
        <v>0</v>
      </c>
      <c r="E578" s="10">
        <v>1</v>
      </c>
      <c r="F578" s="10">
        <v>7</v>
      </c>
      <c r="G578" s="10" t="b">
        <v>0</v>
      </c>
      <c r="H578" s="10">
        <v>3</v>
      </c>
      <c r="I578" s="10" t="str">
        <f>IF(OR(Cleaned_datasetB[[#This Row],[Day_Code]]=0,Cleaned_datasetB[[#This Row],[Day_Code]]=6),"Weekend","Weekday")</f>
        <v>Weekday</v>
      </c>
      <c r="J578" s="10">
        <v>3</v>
      </c>
      <c r="K578" s="10">
        <v>0.22</v>
      </c>
      <c r="L578" s="51">
        <v>0.21210000000000001</v>
      </c>
      <c r="M578" s="10">
        <v>0.87</v>
      </c>
      <c r="N578" s="10">
        <v>0.29849999999999999</v>
      </c>
      <c r="O578" s="10">
        <v>1</v>
      </c>
      <c r="P578" s="10">
        <v>29</v>
      </c>
      <c r="Q578" s="10">
        <v>30</v>
      </c>
      <c r="R578" s="10" t="str">
        <f>VLOOKUP(Cleaned_datasetB[[#This Row],[Weather_Code]],Lookup_Tables!$E$9:$F$13,2,FALSE)</f>
        <v>Light Rain</v>
      </c>
      <c r="S578" s="10" t="str">
        <f>INDEX(Lookup_Tables!$I$10:$I$16,MATCH(Cleaned_datasetB[[#This Row],[Day_Code]],Lookup_Tables!$H$10:$H$16,0))</f>
        <v>Wednesday</v>
      </c>
      <c r="T578" s="10" t="str">
        <f>VLOOKUP(Cleaned_datasetB[[#This Row],[Month]], Lookup_Tables!$K$8:$L$19, 2, FALSE)</f>
        <v>January</v>
      </c>
      <c r="U578" s="10" t="str">
        <f>IF(AND(Cleaned_datasetB[[#This Row],[Day_Type]]="Weekday",Cleaned_datasetB[[#This Row],[Is_Holiday]]=FALSE),"Working Day","Non-Working Day")</f>
        <v>Working Day</v>
      </c>
    </row>
    <row r="579" spans="1:21">
      <c r="A579" s="10">
        <v>578</v>
      </c>
      <c r="B579" s="23">
        <v>40569</v>
      </c>
      <c r="C579" s="10">
        <v>1</v>
      </c>
      <c r="D579" s="10">
        <v>0</v>
      </c>
      <c r="E579" s="10">
        <v>1</v>
      </c>
      <c r="F579" s="10">
        <v>8</v>
      </c>
      <c r="G579" s="10" t="b">
        <v>0</v>
      </c>
      <c r="H579" s="10">
        <v>3</v>
      </c>
      <c r="I579" s="10" t="str">
        <f>IF(OR(Cleaned_datasetB[[#This Row],[Day_Code]]=0,Cleaned_datasetB[[#This Row],[Day_Code]]=6),"Weekend","Weekday")</f>
        <v>Weekday</v>
      </c>
      <c r="J579" s="10">
        <v>3</v>
      </c>
      <c r="K579" s="10">
        <v>0.22</v>
      </c>
      <c r="L579" s="51">
        <v>0.21210000000000001</v>
      </c>
      <c r="M579" s="10">
        <v>0.87</v>
      </c>
      <c r="N579" s="10">
        <v>0.29849999999999999</v>
      </c>
      <c r="O579" s="10">
        <v>3</v>
      </c>
      <c r="P579" s="10">
        <v>69</v>
      </c>
      <c r="Q579" s="10">
        <v>72</v>
      </c>
      <c r="R579" s="10" t="str">
        <f>VLOOKUP(Cleaned_datasetB[[#This Row],[Weather_Code]],Lookup_Tables!$E$9:$F$13,2,FALSE)</f>
        <v>Light Rain</v>
      </c>
      <c r="S579" s="10" t="str">
        <f>INDEX(Lookup_Tables!$I$10:$I$16,MATCH(Cleaned_datasetB[[#This Row],[Day_Code]],Lookup_Tables!$H$10:$H$16,0))</f>
        <v>Wednesday</v>
      </c>
      <c r="T579" s="10" t="str">
        <f>VLOOKUP(Cleaned_datasetB[[#This Row],[Month]], Lookup_Tables!$K$8:$L$19, 2, FALSE)</f>
        <v>January</v>
      </c>
      <c r="U579" s="10" t="str">
        <f>IF(AND(Cleaned_datasetB[[#This Row],[Day_Type]]="Weekday",Cleaned_datasetB[[#This Row],[Is_Holiday]]=FALSE),"Working Day","Non-Working Day")</f>
        <v>Working Day</v>
      </c>
    </row>
    <row r="580" spans="1:21">
      <c r="A580" s="10">
        <v>579</v>
      </c>
      <c r="B580" s="23">
        <v>40569</v>
      </c>
      <c r="C580" s="10">
        <v>1</v>
      </c>
      <c r="D580" s="10">
        <v>0</v>
      </c>
      <c r="E580" s="10">
        <v>1</v>
      </c>
      <c r="F580" s="10">
        <v>9</v>
      </c>
      <c r="G580" s="10" t="b">
        <v>0</v>
      </c>
      <c r="H580" s="10">
        <v>3</v>
      </c>
      <c r="I580" s="10" t="str">
        <f>IF(OR(Cleaned_datasetB[[#This Row],[Day_Code]]=0,Cleaned_datasetB[[#This Row],[Day_Code]]=6),"Weekend","Weekday")</f>
        <v>Weekday</v>
      </c>
      <c r="J580" s="10">
        <v>3</v>
      </c>
      <c r="K580" s="10">
        <v>0.22</v>
      </c>
      <c r="L580" s="51">
        <v>0.21210000000000001</v>
      </c>
      <c r="M580" s="10">
        <v>0.87</v>
      </c>
      <c r="N580" s="10">
        <v>0.29849999999999999</v>
      </c>
      <c r="O580" s="10">
        <v>3</v>
      </c>
      <c r="P580" s="10">
        <v>55</v>
      </c>
      <c r="Q580" s="10">
        <v>58</v>
      </c>
      <c r="R580" s="10" t="str">
        <f>VLOOKUP(Cleaned_datasetB[[#This Row],[Weather_Code]],Lookup_Tables!$E$9:$F$13,2,FALSE)</f>
        <v>Light Rain</v>
      </c>
      <c r="S580" s="10" t="str">
        <f>INDEX(Lookup_Tables!$I$10:$I$16,MATCH(Cleaned_datasetB[[#This Row],[Day_Code]],Lookup_Tables!$H$10:$H$16,0))</f>
        <v>Wednesday</v>
      </c>
      <c r="T580" s="10" t="str">
        <f>VLOOKUP(Cleaned_datasetB[[#This Row],[Month]], Lookup_Tables!$K$8:$L$19, 2, FALSE)</f>
        <v>January</v>
      </c>
      <c r="U580" s="10" t="str">
        <f>IF(AND(Cleaned_datasetB[[#This Row],[Day_Type]]="Weekday",Cleaned_datasetB[[#This Row],[Is_Holiday]]=FALSE),"Working Day","Non-Working Day")</f>
        <v>Working Day</v>
      </c>
    </row>
    <row r="581" spans="1:21">
      <c r="A581" s="10">
        <v>580</v>
      </c>
      <c r="B581" s="23">
        <v>40569</v>
      </c>
      <c r="C581" s="10">
        <v>1</v>
      </c>
      <c r="D581" s="10">
        <v>0</v>
      </c>
      <c r="E581" s="10">
        <v>1</v>
      </c>
      <c r="F581" s="10">
        <v>10</v>
      </c>
      <c r="G581" s="10" t="b">
        <v>0</v>
      </c>
      <c r="H581" s="10">
        <v>3</v>
      </c>
      <c r="I581" s="10" t="str">
        <f>IF(OR(Cleaned_datasetB[[#This Row],[Day_Code]]=0,Cleaned_datasetB[[#This Row],[Day_Code]]=6),"Weekend","Weekday")</f>
        <v>Weekday</v>
      </c>
      <c r="J581" s="10">
        <v>3</v>
      </c>
      <c r="K581" s="10">
        <v>0.22</v>
      </c>
      <c r="L581" s="51">
        <v>0.21210000000000001</v>
      </c>
      <c r="M581" s="10">
        <v>0.93</v>
      </c>
      <c r="N581" s="10">
        <v>0.28360000000000002</v>
      </c>
      <c r="O581" s="10">
        <v>2</v>
      </c>
      <c r="P581" s="10">
        <v>26</v>
      </c>
      <c r="Q581" s="10">
        <v>28</v>
      </c>
      <c r="R581" s="10" t="str">
        <f>VLOOKUP(Cleaned_datasetB[[#This Row],[Weather_Code]],Lookup_Tables!$E$9:$F$13,2,FALSE)</f>
        <v>Light Rain</v>
      </c>
      <c r="S581" s="10" t="str">
        <f>INDEX(Lookup_Tables!$I$10:$I$16,MATCH(Cleaned_datasetB[[#This Row],[Day_Code]],Lookup_Tables!$H$10:$H$16,0))</f>
        <v>Wednesday</v>
      </c>
      <c r="T581" s="10" t="str">
        <f>VLOOKUP(Cleaned_datasetB[[#This Row],[Month]], Lookup_Tables!$K$8:$L$19, 2, FALSE)</f>
        <v>January</v>
      </c>
      <c r="U581" s="10" t="str">
        <f>IF(AND(Cleaned_datasetB[[#This Row],[Day_Type]]="Weekday",Cleaned_datasetB[[#This Row],[Is_Holiday]]=FALSE),"Working Day","Non-Working Day")</f>
        <v>Working Day</v>
      </c>
    </row>
    <row r="582" spans="1:21">
      <c r="A582" s="10">
        <v>581</v>
      </c>
      <c r="B582" s="23">
        <v>40569</v>
      </c>
      <c r="C582" s="10">
        <v>1</v>
      </c>
      <c r="D582" s="10">
        <v>0</v>
      </c>
      <c r="E582" s="10">
        <v>1</v>
      </c>
      <c r="F582" s="10">
        <v>11</v>
      </c>
      <c r="G582" s="10" t="b">
        <v>0</v>
      </c>
      <c r="H582" s="10">
        <v>3</v>
      </c>
      <c r="I582" s="10" t="str">
        <f>IF(OR(Cleaned_datasetB[[#This Row],[Day_Code]]=0,Cleaned_datasetB[[#This Row],[Day_Code]]=6),"Weekend","Weekday")</f>
        <v>Weekday</v>
      </c>
      <c r="J582" s="10">
        <v>3</v>
      </c>
      <c r="K582" s="10">
        <v>0.22</v>
      </c>
      <c r="L582" s="51">
        <v>0.19700000000000001</v>
      </c>
      <c r="M582" s="10">
        <v>0.93</v>
      </c>
      <c r="N582" s="10">
        <v>0.32840000000000003</v>
      </c>
      <c r="O582" s="10">
        <v>6</v>
      </c>
      <c r="P582" s="10">
        <v>35</v>
      </c>
      <c r="Q582" s="10">
        <v>41</v>
      </c>
      <c r="R582" s="10" t="str">
        <f>VLOOKUP(Cleaned_datasetB[[#This Row],[Weather_Code]],Lookup_Tables!$E$9:$F$13,2,FALSE)</f>
        <v>Light Rain</v>
      </c>
      <c r="S582" s="10" t="str">
        <f>INDEX(Lookup_Tables!$I$10:$I$16,MATCH(Cleaned_datasetB[[#This Row],[Day_Code]],Lookup_Tables!$H$10:$H$16,0))</f>
        <v>Wednesday</v>
      </c>
      <c r="T582" s="10" t="str">
        <f>VLOOKUP(Cleaned_datasetB[[#This Row],[Month]], Lookup_Tables!$K$8:$L$19, 2, FALSE)</f>
        <v>January</v>
      </c>
      <c r="U582" s="10" t="str">
        <f>IF(AND(Cleaned_datasetB[[#This Row],[Day_Type]]="Weekday",Cleaned_datasetB[[#This Row],[Is_Holiday]]=FALSE),"Working Day","Non-Working Day")</f>
        <v>Working Day</v>
      </c>
    </row>
    <row r="583" spans="1:21">
      <c r="A583" s="10">
        <v>582</v>
      </c>
      <c r="B583" s="23">
        <v>40569</v>
      </c>
      <c r="C583" s="10">
        <v>1</v>
      </c>
      <c r="D583" s="10">
        <v>0</v>
      </c>
      <c r="E583" s="10">
        <v>1</v>
      </c>
      <c r="F583" s="10">
        <v>12</v>
      </c>
      <c r="G583" s="10" t="b">
        <v>0</v>
      </c>
      <c r="H583" s="10">
        <v>3</v>
      </c>
      <c r="I583" s="10" t="str">
        <f>IF(OR(Cleaned_datasetB[[#This Row],[Day_Code]]=0,Cleaned_datasetB[[#This Row],[Day_Code]]=6),"Weekend","Weekday")</f>
        <v>Weekday</v>
      </c>
      <c r="J583" s="10">
        <v>3</v>
      </c>
      <c r="K583" s="10">
        <v>0.22</v>
      </c>
      <c r="L583" s="51">
        <v>0.19700000000000001</v>
      </c>
      <c r="M583" s="10">
        <v>0.93</v>
      </c>
      <c r="N583" s="10">
        <v>0.32840000000000003</v>
      </c>
      <c r="O583" s="10">
        <v>7</v>
      </c>
      <c r="P583" s="10">
        <v>41</v>
      </c>
      <c r="Q583" s="10">
        <v>48</v>
      </c>
      <c r="R583" s="10" t="str">
        <f>VLOOKUP(Cleaned_datasetB[[#This Row],[Weather_Code]],Lookup_Tables!$E$9:$F$13,2,FALSE)</f>
        <v>Light Rain</v>
      </c>
      <c r="S583" s="10" t="str">
        <f>INDEX(Lookup_Tables!$I$10:$I$16,MATCH(Cleaned_datasetB[[#This Row],[Day_Code]],Lookup_Tables!$H$10:$H$16,0))</f>
        <v>Wednesday</v>
      </c>
      <c r="T583" s="10" t="str">
        <f>VLOOKUP(Cleaned_datasetB[[#This Row],[Month]], Lookup_Tables!$K$8:$L$19, 2, FALSE)</f>
        <v>January</v>
      </c>
      <c r="U583" s="10" t="str">
        <f>IF(AND(Cleaned_datasetB[[#This Row],[Day_Type]]="Weekday",Cleaned_datasetB[[#This Row],[Is_Holiday]]=FALSE),"Working Day","Non-Working Day")</f>
        <v>Working Day</v>
      </c>
    </row>
    <row r="584" spans="1:21">
      <c r="A584" s="10">
        <v>583</v>
      </c>
      <c r="B584" s="23">
        <v>40569</v>
      </c>
      <c r="C584" s="10">
        <v>1</v>
      </c>
      <c r="D584" s="10">
        <v>0</v>
      </c>
      <c r="E584" s="10">
        <v>1</v>
      </c>
      <c r="F584" s="10">
        <v>13</v>
      </c>
      <c r="G584" s="10" t="b">
        <v>0</v>
      </c>
      <c r="H584" s="10">
        <v>3</v>
      </c>
      <c r="I584" s="10" t="str">
        <f>IF(OR(Cleaned_datasetB[[#This Row],[Day_Code]]=0,Cleaned_datasetB[[#This Row],[Day_Code]]=6),"Weekend","Weekday")</f>
        <v>Weekday</v>
      </c>
      <c r="J584" s="10">
        <v>3</v>
      </c>
      <c r="K584" s="10">
        <v>0.22</v>
      </c>
      <c r="L584" s="51">
        <v>0.19700000000000001</v>
      </c>
      <c r="M584" s="10">
        <v>0.93</v>
      </c>
      <c r="N584" s="10">
        <v>0.32840000000000003</v>
      </c>
      <c r="O584" s="10">
        <v>4</v>
      </c>
      <c r="P584" s="10">
        <v>43</v>
      </c>
      <c r="Q584" s="10">
        <v>47</v>
      </c>
      <c r="R584" s="10" t="str">
        <f>VLOOKUP(Cleaned_datasetB[[#This Row],[Weather_Code]],Lookup_Tables!$E$9:$F$13,2,FALSE)</f>
        <v>Light Rain</v>
      </c>
      <c r="S584" s="10" t="str">
        <f>INDEX(Lookup_Tables!$I$10:$I$16,MATCH(Cleaned_datasetB[[#This Row],[Day_Code]],Lookup_Tables!$H$10:$H$16,0))</f>
        <v>Wednesday</v>
      </c>
      <c r="T584" s="10" t="str">
        <f>VLOOKUP(Cleaned_datasetB[[#This Row],[Month]], Lookup_Tables!$K$8:$L$19, 2, FALSE)</f>
        <v>January</v>
      </c>
      <c r="U584" s="10" t="str">
        <f>IF(AND(Cleaned_datasetB[[#This Row],[Day_Type]]="Weekday",Cleaned_datasetB[[#This Row],[Is_Holiday]]=FALSE),"Working Day","Non-Working Day")</f>
        <v>Working Day</v>
      </c>
    </row>
    <row r="585" spans="1:21">
      <c r="A585" s="10">
        <v>584</v>
      </c>
      <c r="B585" s="23">
        <v>40569</v>
      </c>
      <c r="C585" s="10">
        <v>1</v>
      </c>
      <c r="D585" s="10">
        <v>0</v>
      </c>
      <c r="E585" s="10">
        <v>1</v>
      </c>
      <c r="F585" s="10">
        <v>14</v>
      </c>
      <c r="G585" s="10" t="b">
        <v>0</v>
      </c>
      <c r="H585" s="10">
        <v>3</v>
      </c>
      <c r="I585" s="10" t="str">
        <f>IF(OR(Cleaned_datasetB[[#This Row],[Day_Code]]=0,Cleaned_datasetB[[#This Row],[Day_Code]]=6),"Weekend","Weekday")</f>
        <v>Weekday</v>
      </c>
      <c r="J585" s="10">
        <v>3</v>
      </c>
      <c r="K585" s="10">
        <v>0.22</v>
      </c>
      <c r="L585" s="51">
        <v>0.19700000000000001</v>
      </c>
      <c r="M585" s="10">
        <v>0.93</v>
      </c>
      <c r="N585" s="10">
        <v>0.35820000000000002</v>
      </c>
      <c r="O585" s="10">
        <v>0</v>
      </c>
      <c r="P585" s="10">
        <v>36</v>
      </c>
      <c r="Q585" s="10">
        <v>36</v>
      </c>
      <c r="R585" s="10" t="str">
        <f>VLOOKUP(Cleaned_datasetB[[#This Row],[Weather_Code]],Lookup_Tables!$E$9:$F$13,2,FALSE)</f>
        <v>Light Rain</v>
      </c>
      <c r="S585" s="10" t="str">
        <f>INDEX(Lookup_Tables!$I$10:$I$16,MATCH(Cleaned_datasetB[[#This Row],[Day_Code]],Lookup_Tables!$H$10:$H$16,0))</f>
        <v>Wednesday</v>
      </c>
      <c r="T585" s="10" t="str">
        <f>VLOOKUP(Cleaned_datasetB[[#This Row],[Month]], Lookup_Tables!$K$8:$L$19, 2, FALSE)</f>
        <v>January</v>
      </c>
      <c r="U585" s="10" t="str">
        <f>IF(AND(Cleaned_datasetB[[#This Row],[Day_Type]]="Weekday",Cleaned_datasetB[[#This Row],[Is_Holiday]]=FALSE),"Working Day","Non-Working Day")</f>
        <v>Working Day</v>
      </c>
    </row>
    <row r="586" spans="1:21">
      <c r="A586" s="10">
        <v>585</v>
      </c>
      <c r="B586" s="23">
        <v>40569</v>
      </c>
      <c r="C586" s="10">
        <v>1</v>
      </c>
      <c r="D586" s="10">
        <v>0</v>
      </c>
      <c r="E586" s="10">
        <v>1</v>
      </c>
      <c r="F586" s="10">
        <v>15</v>
      </c>
      <c r="G586" s="10" t="b">
        <v>0</v>
      </c>
      <c r="H586" s="10">
        <v>3</v>
      </c>
      <c r="I586" s="10" t="str">
        <f>IF(OR(Cleaned_datasetB[[#This Row],[Day_Code]]=0,Cleaned_datasetB[[#This Row],[Day_Code]]=6),"Weekend","Weekday")</f>
        <v>Weekday</v>
      </c>
      <c r="J586" s="10">
        <v>3</v>
      </c>
      <c r="K586" s="10">
        <v>0.22</v>
      </c>
      <c r="L586" s="51">
        <v>0.18179999999999999</v>
      </c>
      <c r="M586" s="10">
        <v>0.93</v>
      </c>
      <c r="N586" s="10">
        <v>0.4627</v>
      </c>
      <c r="O586" s="10">
        <v>1</v>
      </c>
      <c r="P586" s="10">
        <v>42</v>
      </c>
      <c r="Q586" s="10">
        <v>43</v>
      </c>
      <c r="R586" s="10" t="str">
        <f>VLOOKUP(Cleaned_datasetB[[#This Row],[Weather_Code]],Lookup_Tables!$E$9:$F$13,2,FALSE)</f>
        <v>Light Rain</v>
      </c>
      <c r="S586" s="10" t="str">
        <f>INDEX(Lookup_Tables!$I$10:$I$16,MATCH(Cleaned_datasetB[[#This Row],[Day_Code]],Lookup_Tables!$H$10:$H$16,0))</f>
        <v>Wednesday</v>
      </c>
      <c r="T586" s="10" t="str">
        <f>VLOOKUP(Cleaned_datasetB[[#This Row],[Month]], Lookup_Tables!$K$8:$L$19, 2, FALSE)</f>
        <v>January</v>
      </c>
      <c r="U586" s="10" t="str">
        <f>IF(AND(Cleaned_datasetB[[#This Row],[Day_Type]]="Weekday",Cleaned_datasetB[[#This Row],[Is_Holiday]]=FALSE),"Working Day","Non-Working Day")</f>
        <v>Working Day</v>
      </c>
    </row>
    <row r="587" spans="1:21">
      <c r="A587" s="10">
        <v>586</v>
      </c>
      <c r="B587" s="23">
        <v>40569</v>
      </c>
      <c r="C587" s="10">
        <v>1</v>
      </c>
      <c r="D587" s="10">
        <v>0</v>
      </c>
      <c r="E587" s="10">
        <v>1</v>
      </c>
      <c r="F587" s="10">
        <v>16</v>
      </c>
      <c r="G587" s="10" t="b">
        <v>0</v>
      </c>
      <c r="H587" s="10">
        <v>3</v>
      </c>
      <c r="I587" s="10" t="str">
        <f>IF(OR(Cleaned_datasetB[[#This Row],[Day_Code]]=0,Cleaned_datasetB[[#This Row],[Day_Code]]=6),"Weekend","Weekday")</f>
        <v>Weekday</v>
      </c>
      <c r="J587" s="10">
        <v>4</v>
      </c>
      <c r="K587" s="10">
        <v>0.22</v>
      </c>
      <c r="L587" s="51">
        <v>0.19700000000000001</v>
      </c>
      <c r="M587" s="10">
        <v>0.93</v>
      </c>
      <c r="N587" s="10">
        <v>0.32840000000000003</v>
      </c>
      <c r="O587" s="10">
        <v>1</v>
      </c>
      <c r="P587" s="10">
        <v>35</v>
      </c>
      <c r="Q587" s="10">
        <v>36</v>
      </c>
      <c r="R587" s="10" t="str">
        <f>VLOOKUP(Cleaned_datasetB[[#This Row],[Weather_Code]],Lookup_Tables!$E$9:$F$13,2,FALSE)</f>
        <v>Heavy Rain</v>
      </c>
      <c r="S587" s="10" t="str">
        <f>INDEX(Lookup_Tables!$I$10:$I$16,MATCH(Cleaned_datasetB[[#This Row],[Day_Code]],Lookup_Tables!$H$10:$H$16,0))</f>
        <v>Wednesday</v>
      </c>
      <c r="T587" s="10" t="str">
        <f>VLOOKUP(Cleaned_datasetB[[#This Row],[Month]], Lookup_Tables!$K$8:$L$19, 2, FALSE)</f>
        <v>January</v>
      </c>
      <c r="U587" s="10" t="str">
        <f>IF(AND(Cleaned_datasetB[[#This Row],[Day_Type]]="Weekday",Cleaned_datasetB[[#This Row],[Is_Holiday]]=FALSE),"Working Day","Non-Working Day")</f>
        <v>Working Day</v>
      </c>
    </row>
    <row r="588" spans="1:21">
      <c r="A588" s="10">
        <v>587</v>
      </c>
      <c r="B588" s="23">
        <v>40569</v>
      </c>
      <c r="C588" s="10">
        <v>1</v>
      </c>
      <c r="D588" s="10">
        <v>0</v>
      </c>
      <c r="E588" s="10">
        <v>1</v>
      </c>
      <c r="F588" s="10">
        <v>17</v>
      </c>
      <c r="G588" s="10" t="b">
        <v>0</v>
      </c>
      <c r="H588" s="10">
        <v>3</v>
      </c>
      <c r="I588" s="10" t="str">
        <f>IF(OR(Cleaned_datasetB[[#This Row],[Day_Code]]=0,Cleaned_datasetB[[#This Row],[Day_Code]]=6),"Weekend","Weekday")</f>
        <v>Weekday</v>
      </c>
      <c r="J588" s="10">
        <v>3</v>
      </c>
      <c r="K588" s="10">
        <v>0.2</v>
      </c>
      <c r="L588" s="51">
        <v>0.18179999999999999</v>
      </c>
      <c r="M588" s="10">
        <v>0.93</v>
      </c>
      <c r="N588" s="10">
        <v>0.35820000000000002</v>
      </c>
      <c r="O588" s="10">
        <v>0</v>
      </c>
      <c r="P588" s="10">
        <v>26</v>
      </c>
      <c r="Q588" s="10">
        <v>26</v>
      </c>
      <c r="R588" s="10" t="str">
        <f>VLOOKUP(Cleaned_datasetB[[#This Row],[Weather_Code]],Lookup_Tables!$E$9:$F$13,2,FALSE)</f>
        <v>Light Rain</v>
      </c>
      <c r="S588" s="10" t="str">
        <f>INDEX(Lookup_Tables!$I$10:$I$16,MATCH(Cleaned_datasetB[[#This Row],[Day_Code]],Lookup_Tables!$H$10:$H$16,0))</f>
        <v>Wednesday</v>
      </c>
      <c r="T588" s="10" t="str">
        <f>VLOOKUP(Cleaned_datasetB[[#This Row],[Month]], Lookup_Tables!$K$8:$L$19, 2, FALSE)</f>
        <v>January</v>
      </c>
      <c r="U588" s="10" t="str">
        <f>IF(AND(Cleaned_datasetB[[#This Row],[Day_Type]]="Weekday",Cleaned_datasetB[[#This Row],[Is_Holiday]]=FALSE),"Working Day","Non-Working Day")</f>
        <v>Working Day</v>
      </c>
    </row>
    <row r="589" spans="1:21">
      <c r="A589" s="10">
        <v>588</v>
      </c>
      <c r="B589" s="23">
        <v>40570</v>
      </c>
      <c r="C589" s="10">
        <v>1</v>
      </c>
      <c r="D589" s="10">
        <v>0</v>
      </c>
      <c r="E589" s="10">
        <v>1</v>
      </c>
      <c r="F589" s="10">
        <v>16</v>
      </c>
      <c r="G589" s="10" t="b">
        <v>0</v>
      </c>
      <c r="H589" s="10">
        <v>4</v>
      </c>
      <c r="I589" s="10" t="str">
        <f>IF(OR(Cleaned_datasetB[[#This Row],[Day_Code]]=0,Cleaned_datasetB[[#This Row],[Day_Code]]=6),"Weekend","Weekday")</f>
        <v>Weekday</v>
      </c>
      <c r="J589" s="10">
        <v>1</v>
      </c>
      <c r="K589" s="10">
        <v>0.22</v>
      </c>
      <c r="L589" s="51">
        <v>0.2273</v>
      </c>
      <c r="M589" s="10">
        <v>0.55000000000000004</v>
      </c>
      <c r="N589" s="10">
        <v>0.19400000000000001</v>
      </c>
      <c r="O589" s="10">
        <v>1</v>
      </c>
      <c r="P589" s="10">
        <v>23</v>
      </c>
      <c r="Q589" s="10">
        <v>24</v>
      </c>
      <c r="R589" s="10" t="str">
        <f>VLOOKUP(Cleaned_datasetB[[#This Row],[Weather_Code]],Lookup_Tables!$E$9:$F$13,2,FALSE)</f>
        <v>Clear</v>
      </c>
      <c r="S589" s="10" t="str">
        <f>INDEX(Lookup_Tables!$I$10:$I$16,MATCH(Cleaned_datasetB[[#This Row],[Day_Code]],Lookup_Tables!$H$10:$H$16,0))</f>
        <v>Thursday</v>
      </c>
      <c r="T589" s="10" t="str">
        <f>VLOOKUP(Cleaned_datasetB[[#This Row],[Month]], Lookup_Tables!$K$8:$L$19, 2, FALSE)</f>
        <v>January</v>
      </c>
      <c r="U589" s="10" t="str">
        <f>IF(AND(Cleaned_datasetB[[#This Row],[Day_Type]]="Weekday",Cleaned_datasetB[[#This Row],[Is_Holiday]]=FALSE),"Working Day","Non-Working Day")</f>
        <v>Working Day</v>
      </c>
    </row>
    <row r="590" spans="1:21">
      <c r="A590" s="10">
        <v>589</v>
      </c>
      <c r="B590" s="23">
        <v>40570</v>
      </c>
      <c r="C590" s="10">
        <v>1</v>
      </c>
      <c r="D590" s="10">
        <v>0</v>
      </c>
      <c r="E590" s="10">
        <v>1</v>
      </c>
      <c r="F590" s="10">
        <v>17</v>
      </c>
      <c r="G590" s="10" t="b">
        <v>0</v>
      </c>
      <c r="H590" s="10">
        <v>4</v>
      </c>
      <c r="I590" s="10" t="str">
        <f>IF(OR(Cleaned_datasetB[[#This Row],[Day_Code]]=0,Cleaned_datasetB[[#This Row],[Day_Code]]=6),"Weekend","Weekday")</f>
        <v>Weekday</v>
      </c>
      <c r="J590" s="10">
        <v>1</v>
      </c>
      <c r="K590" s="10">
        <v>0.22</v>
      </c>
      <c r="L590" s="51">
        <v>0.2424</v>
      </c>
      <c r="M590" s="10">
        <v>0.55000000000000004</v>
      </c>
      <c r="N590" s="10">
        <v>0.1045</v>
      </c>
      <c r="O590" s="10">
        <v>2</v>
      </c>
      <c r="P590" s="10">
        <v>82</v>
      </c>
      <c r="Q590" s="10">
        <v>84</v>
      </c>
      <c r="R590" s="10" t="str">
        <f>VLOOKUP(Cleaned_datasetB[[#This Row],[Weather_Code]],Lookup_Tables!$E$9:$F$13,2,FALSE)</f>
        <v>Clear</v>
      </c>
      <c r="S590" s="10" t="str">
        <f>INDEX(Lookup_Tables!$I$10:$I$16,MATCH(Cleaned_datasetB[[#This Row],[Day_Code]],Lookup_Tables!$H$10:$H$16,0))</f>
        <v>Thursday</v>
      </c>
      <c r="T590" s="10" t="str">
        <f>VLOOKUP(Cleaned_datasetB[[#This Row],[Month]], Lookup_Tables!$K$8:$L$19, 2, FALSE)</f>
        <v>January</v>
      </c>
      <c r="U590" s="10" t="str">
        <f>IF(AND(Cleaned_datasetB[[#This Row],[Day_Type]]="Weekday",Cleaned_datasetB[[#This Row],[Is_Holiday]]=FALSE),"Working Day","Non-Working Day")</f>
        <v>Working Day</v>
      </c>
    </row>
    <row r="591" spans="1:21">
      <c r="A591" s="10">
        <v>590</v>
      </c>
      <c r="B591" s="23">
        <v>40570</v>
      </c>
      <c r="C591" s="10">
        <v>1</v>
      </c>
      <c r="D591" s="10">
        <v>0</v>
      </c>
      <c r="E591" s="10">
        <v>1</v>
      </c>
      <c r="F591" s="10">
        <v>18</v>
      </c>
      <c r="G591" s="10" t="b">
        <v>0</v>
      </c>
      <c r="H591" s="10">
        <v>4</v>
      </c>
      <c r="I591" s="10" t="str">
        <f>IF(OR(Cleaned_datasetB[[#This Row],[Day_Code]]=0,Cleaned_datasetB[[#This Row],[Day_Code]]=6),"Weekend","Weekday")</f>
        <v>Weekday</v>
      </c>
      <c r="J591" s="10">
        <v>1</v>
      </c>
      <c r="K591" s="10">
        <v>0.2</v>
      </c>
      <c r="L591" s="51">
        <v>0.2273</v>
      </c>
      <c r="M591" s="10">
        <v>0.69</v>
      </c>
      <c r="N591" s="10">
        <v>8.9599999999999999E-2</v>
      </c>
      <c r="O591" s="10">
        <v>3</v>
      </c>
      <c r="P591" s="10">
        <v>101</v>
      </c>
      <c r="Q591" s="10">
        <v>104</v>
      </c>
      <c r="R591" s="10" t="str">
        <f>VLOOKUP(Cleaned_datasetB[[#This Row],[Weather_Code]],Lookup_Tables!$E$9:$F$13,2,FALSE)</f>
        <v>Clear</v>
      </c>
      <c r="S591" s="10" t="str">
        <f>INDEX(Lookup_Tables!$I$10:$I$16,MATCH(Cleaned_datasetB[[#This Row],[Day_Code]],Lookup_Tables!$H$10:$H$16,0))</f>
        <v>Thursday</v>
      </c>
      <c r="T591" s="10" t="str">
        <f>VLOOKUP(Cleaned_datasetB[[#This Row],[Month]], Lookup_Tables!$K$8:$L$19, 2, FALSE)</f>
        <v>January</v>
      </c>
      <c r="U591" s="10" t="str">
        <f>IF(AND(Cleaned_datasetB[[#This Row],[Day_Type]]="Weekday",Cleaned_datasetB[[#This Row],[Is_Holiday]]=FALSE),"Working Day","Non-Working Day")</f>
        <v>Working Day</v>
      </c>
    </row>
    <row r="592" spans="1:21">
      <c r="A592" s="10">
        <v>591</v>
      </c>
      <c r="B592" s="23">
        <v>40570</v>
      </c>
      <c r="C592" s="10">
        <v>1</v>
      </c>
      <c r="D592" s="10">
        <v>0</v>
      </c>
      <c r="E592" s="10">
        <v>1</v>
      </c>
      <c r="F592" s="10">
        <v>19</v>
      </c>
      <c r="G592" s="10" t="b">
        <v>0</v>
      </c>
      <c r="H592" s="10">
        <v>4</v>
      </c>
      <c r="I592" s="10" t="str">
        <f>IF(OR(Cleaned_datasetB[[#This Row],[Day_Code]]=0,Cleaned_datasetB[[#This Row],[Day_Code]]=6),"Weekend","Weekday")</f>
        <v>Weekday</v>
      </c>
      <c r="J592" s="10">
        <v>1</v>
      </c>
      <c r="K592" s="10">
        <v>0.2</v>
      </c>
      <c r="L592" s="51">
        <v>0.2273</v>
      </c>
      <c r="M592" s="10">
        <v>0.69</v>
      </c>
      <c r="N592" s="10">
        <v>8.9599999999999999E-2</v>
      </c>
      <c r="O592" s="10">
        <v>3</v>
      </c>
      <c r="P592" s="10">
        <v>76</v>
      </c>
      <c r="Q592" s="10">
        <v>79</v>
      </c>
      <c r="R592" s="10" t="str">
        <f>VLOOKUP(Cleaned_datasetB[[#This Row],[Weather_Code]],Lookup_Tables!$E$9:$F$13,2,FALSE)</f>
        <v>Clear</v>
      </c>
      <c r="S592" s="10" t="str">
        <f>INDEX(Lookup_Tables!$I$10:$I$16,MATCH(Cleaned_datasetB[[#This Row],[Day_Code]],Lookup_Tables!$H$10:$H$16,0))</f>
        <v>Thursday</v>
      </c>
      <c r="T592" s="10" t="str">
        <f>VLOOKUP(Cleaned_datasetB[[#This Row],[Month]], Lookup_Tables!$K$8:$L$19, 2, FALSE)</f>
        <v>January</v>
      </c>
      <c r="U592" s="10" t="str">
        <f>IF(AND(Cleaned_datasetB[[#This Row],[Day_Type]]="Weekday",Cleaned_datasetB[[#This Row],[Is_Holiday]]=FALSE),"Working Day","Non-Working Day")</f>
        <v>Working Day</v>
      </c>
    </row>
    <row r="593" spans="1:21">
      <c r="A593" s="10">
        <v>592</v>
      </c>
      <c r="B593" s="23">
        <v>40570</v>
      </c>
      <c r="C593" s="10">
        <v>1</v>
      </c>
      <c r="D593" s="10">
        <v>0</v>
      </c>
      <c r="E593" s="10">
        <v>1</v>
      </c>
      <c r="F593" s="10">
        <v>20</v>
      </c>
      <c r="G593" s="10" t="b">
        <v>0</v>
      </c>
      <c r="H593" s="10">
        <v>4</v>
      </c>
      <c r="I593" s="10" t="str">
        <f>IF(OR(Cleaned_datasetB[[#This Row],[Day_Code]]=0,Cleaned_datasetB[[#This Row],[Day_Code]]=6),"Weekend","Weekday")</f>
        <v>Weekday</v>
      </c>
      <c r="J593" s="10">
        <v>1</v>
      </c>
      <c r="K593" s="10">
        <v>0.18</v>
      </c>
      <c r="L593" s="51">
        <v>0.21210000000000001</v>
      </c>
      <c r="M593" s="10">
        <v>0.74</v>
      </c>
      <c r="N593" s="10">
        <v>8.9599999999999999E-2</v>
      </c>
      <c r="O593" s="10">
        <v>4</v>
      </c>
      <c r="P593" s="10">
        <v>55</v>
      </c>
      <c r="Q593" s="10">
        <v>59</v>
      </c>
      <c r="R593" s="10" t="str">
        <f>VLOOKUP(Cleaned_datasetB[[#This Row],[Weather_Code]],Lookup_Tables!$E$9:$F$13,2,FALSE)</f>
        <v>Clear</v>
      </c>
      <c r="S593" s="10" t="str">
        <f>INDEX(Lookup_Tables!$I$10:$I$16,MATCH(Cleaned_datasetB[[#This Row],[Day_Code]],Lookup_Tables!$H$10:$H$16,0))</f>
        <v>Thursday</v>
      </c>
      <c r="T593" s="10" t="str">
        <f>VLOOKUP(Cleaned_datasetB[[#This Row],[Month]], Lookup_Tables!$K$8:$L$19, 2, FALSE)</f>
        <v>January</v>
      </c>
      <c r="U593" s="10" t="str">
        <f>IF(AND(Cleaned_datasetB[[#This Row],[Day_Type]]="Weekday",Cleaned_datasetB[[#This Row],[Is_Holiday]]=FALSE),"Working Day","Non-Working Day")</f>
        <v>Working Day</v>
      </c>
    </row>
    <row r="594" spans="1:21">
      <c r="A594" s="10">
        <v>593</v>
      </c>
      <c r="B594" s="23">
        <v>40570</v>
      </c>
      <c r="C594" s="10">
        <v>1</v>
      </c>
      <c r="D594" s="10">
        <v>0</v>
      </c>
      <c r="E594" s="10">
        <v>1</v>
      </c>
      <c r="F594" s="10">
        <v>21</v>
      </c>
      <c r="G594" s="10" t="b">
        <v>0</v>
      </c>
      <c r="H594" s="10">
        <v>4</v>
      </c>
      <c r="I594" s="10" t="str">
        <f>IF(OR(Cleaned_datasetB[[#This Row],[Day_Code]]=0,Cleaned_datasetB[[#This Row],[Day_Code]]=6),"Weekend","Weekday")</f>
        <v>Weekday</v>
      </c>
      <c r="J594" s="10">
        <v>1</v>
      </c>
      <c r="K594" s="10">
        <v>0.18</v>
      </c>
      <c r="L594" s="51">
        <v>0.21210000000000001</v>
      </c>
      <c r="M594" s="10">
        <v>0.74</v>
      </c>
      <c r="N594" s="10">
        <v>8.9599999999999999E-2</v>
      </c>
      <c r="O594" s="10">
        <v>2</v>
      </c>
      <c r="P594" s="10">
        <v>36</v>
      </c>
      <c r="Q594" s="10">
        <v>38</v>
      </c>
      <c r="R594" s="10" t="str">
        <f>VLOOKUP(Cleaned_datasetB[[#This Row],[Weather_Code]],Lookup_Tables!$E$9:$F$13,2,FALSE)</f>
        <v>Clear</v>
      </c>
      <c r="S594" s="10" t="str">
        <f>INDEX(Lookup_Tables!$I$10:$I$16,MATCH(Cleaned_datasetB[[#This Row],[Day_Code]],Lookup_Tables!$H$10:$H$16,0))</f>
        <v>Thursday</v>
      </c>
      <c r="T594" s="10" t="str">
        <f>VLOOKUP(Cleaned_datasetB[[#This Row],[Month]], Lookup_Tables!$K$8:$L$19, 2, FALSE)</f>
        <v>January</v>
      </c>
      <c r="U594" s="10" t="str">
        <f>IF(AND(Cleaned_datasetB[[#This Row],[Day_Type]]="Weekday",Cleaned_datasetB[[#This Row],[Is_Holiday]]=FALSE),"Working Day","Non-Working Day")</f>
        <v>Working Day</v>
      </c>
    </row>
    <row r="595" spans="1:21">
      <c r="A595" s="10">
        <v>594</v>
      </c>
      <c r="B595" s="23">
        <v>40570</v>
      </c>
      <c r="C595" s="10">
        <v>1</v>
      </c>
      <c r="D595" s="10">
        <v>0</v>
      </c>
      <c r="E595" s="10">
        <v>1</v>
      </c>
      <c r="F595" s="10">
        <v>22</v>
      </c>
      <c r="G595" s="10" t="b">
        <v>0</v>
      </c>
      <c r="H595" s="10">
        <v>4</v>
      </c>
      <c r="I595" s="10" t="str">
        <f>IF(OR(Cleaned_datasetB[[#This Row],[Day_Code]]=0,Cleaned_datasetB[[#This Row],[Day_Code]]=6),"Weekend","Weekday")</f>
        <v>Weekday</v>
      </c>
      <c r="J595" s="10">
        <v>1</v>
      </c>
      <c r="K595" s="10">
        <v>0.18</v>
      </c>
      <c r="L595" s="51">
        <v>0.21210000000000001</v>
      </c>
      <c r="M595" s="10">
        <v>0.74</v>
      </c>
      <c r="N595" s="10">
        <v>8.9599999999999999E-2</v>
      </c>
      <c r="O595" s="10">
        <v>0</v>
      </c>
      <c r="P595" s="10">
        <v>27</v>
      </c>
      <c r="Q595" s="10">
        <v>27</v>
      </c>
      <c r="R595" s="10" t="str">
        <f>VLOOKUP(Cleaned_datasetB[[#This Row],[Weather_Code]],Lookup_Tables!$E$9:$F$13,2,FALSE)</f>
        <v>Clear</v>
      </c>
      <c r="S595" s="10" t="str">
        <f>INDEX(Lookup_Tables!$I$10:$I$16,MATCH(Cleaned_datasetB[[#This Row],[Day_Code]],Lookup_Tables!$H$10:$H$16,0))</f>
        <v>Thursday</v>
      </c>
      <c r="T595" s="10" t="str">
        <f>VLOOKUP(Cleaned_datasetB[[#This Row],[Month]], Lookup_Tables!$K$8:$L$19, 2, FALSE)</f>
        <v>January</v>
      </c>
      <c r="U595" s="10" t="str">
        <f>IF(AND(Cleaned_datasetB[[#This Row],[Day_Type]]="Weekday",Cleaned_datasetB[[#This Row],[Is_Holiday]]=FALSE),"Working Day","Non-Working Day")</f>
        <v>Working Day</v>
      </c>
    </row>
    <row r="596" spans="1:21">
      <c r="A596" s="10">
        <v>595</v>
      </c>
      <c r="B596" s="23">
        <v>40570</v>
      </c>
      <c r="C596" s="10">
        <v>1</v>
      </c>
      <c r="D596" s="10">
        <v>0</v>
      </c>
      <c r="E596" s="10">
        <v>1</v>
      </c>
      <c r="F596" s="10">
        <v>23</v>
      </c>
      <c r="G596" s="10" t="b">
        <v>0</v>
      </c>
      <c r="H596" s="10">
        <v>4</v>
      </c>
      <c r="I596" s="10" t="str">
        <f>IF(OR(Cleaned_datasetB[[#This Row],[Day_Code]]=0,Cleaned_datasetB[[#This Row],[Day_Code]]=6),"Weekend","Weekday")</f>
        <v>Weekday</v>
      </c>
      <c r="J596" s="10">
        <v>1</v>
      </c>
      <c r="K596" s="10">
        <v>0.18</v>
      </c>
      <c r="L596" s="51">
        <v>0.19700000000000001</v>
      </c>
      <c r="M596" s="10">
        <v>0.8</v>
      </c>
      <c r="N596" s="10">
        <v>0.16420000000000001</v>
      </c>
      <c r="O596" s="10">
        <v>0</v>
      </c>
      <c r="P596" s="10">
        <v>16</v>
      </c>
      <c r="Q596" s="10">
        <v>16</v>
      </c>
      <c r="R596" s="10" t="str">
        <f>VLOOKUP(Cleaned_datasetB[[#This Row],[Weather_Code]],Lookup_Tables!$E$9:$F$13,2,FALSE)</f>
        <v>Clear</v>
      </c>
      <c r="S596" s="10" t="str">
        <f>INDEX(Lookup_Tables!$I$10:$I$16,MATCH(Cleaned_datasetB[[#This Row],[Day_Code]],Lookup_Tables!$H$10:$H$16,0))</f>
        <v>Thursday</v>
      </c>
      <c r="T596" s="10" t="str">
        <f>VLOOKUP(Cleaned_datasetB[[#This Row],[Month]], Lookup_Tables!$K$8:$L$19, 2, FALSE)</f>
        <v>January</v>
      </c>
      <c r="U596" s="10" t="str">
        <f>IF(AND(Cleaned_datasetB[[#This Row],[Day_Type]]="Weekday",Cleaned_datasetB[[#This Row],[Is_Holiday]]=FALSE),"Working Day","Non-Working Day")</f>
        <v>Working Day</v>
      </c>
    </row>
    <row r="597" spans="1:21">
      <c r="A597" s="10">
        <v>596</v>
      </c>
      <c r="B597" s="23">
        <v>40571</v>
      </c>
      <c r="C597" s="10">
        <v>1</v>
      </c>
      <c r="D597" s="10">
        <v>0</v>
      </c>
      <c r="E597" s="10">
        <v>1</v>
      </c>
      <c r="F597" s="10">
        <v>0</v>
      </c>
      <c r="G597" s="10" t="b">
        <v>0</v>
      </c>
      <c r="H597" s="10">
        <v>5</v>
      </c>
      <c r="I597" s="10" t="str">
        <f>IF(OR(Cleaned_datasetB[[#This Row],[Day_Code]]=0,Cleaned_datasetB[[#This Row],[Day_Code]]=6),"Weekend","Weekday")</f>
        <v>Weekday</v>
      </c>
      <c r="J597" s="10">
        <v>2</v>
      </c>
      <c r="K597" s="10">
        <v>0.2</v>
      </c>
      <c r="L597" s="51">
        <v>0.21210000000000001</v>
      </c>
      <c r="M597" s="10">
        <v>0.75</v>
      </c>
      <c r="N597" s="10">
        <v>0.1343</v>
      </c>
      <c r="O597" s="10">
        <v>0</v>
      </c>
      <c r="P597" s="10">
        <v>9</v>
      </c>
      <c r="Q597" s="10">
        <v>9</v>
      </c>
      <c r="R597" s="10" t="str">
        <f>VLOOKUP(Cleaned_datasetB[[#This Row],[Weather_Code]],Lookup_Tables!$E$9:$F$13,2,FALSE)</f>
        <v>Cloudy</v>
      </c>
      <c r="S597" s="10" t="str">
        <f>INDEX(Lookup_Tables!$I$10:$I$16,MATCH(Cleaned_datasetB[[#This Row],[Day_Code]],Lookup_Tables!$H$10:$H$16,0))</f>
        <v>Friday</v>
      </c>
      <c r="T597" s="10" t="str">
        <f>VLOOKUP(Cleaned_datasetB[[#This Row],[Month]], Lookup_Tables!$K$8:$L$19, 2, FALSE)</f>
        <v>January</v>
      </c>
      <c r="U597" s="10" t="str">
        <f>IF(AND(Cleaned_datasetB[[#This Row],[Day_Type]]="Weekday",Cleaned_datasetB[[#This Row],[Is_Holiday]]=FALSE),"Working Day","Non-Working Day")</f>
        <v>Working Day</v>
      </c>
    </row>
    <row r="598" spans="1:21">
      <c r="A598" s="10">
        <v>597</v>
      </c>
      <c r="B598" s="23">
        <v>40571</v>
      </c>
      <c r="C598" s="10">
        <v>1</v>
      </c>
      <c r="D598" s="10">
        <v>0</v>
      </c>
      <c r="E598" s="10">
        <v>1</v>
      </c>
      <c r="F598" s="10">
        <v>1</v>
      </c>
      <c r="G598" s="10" t="b">
        <v>0</v>
      </c>
      <c r="H598" s="10">
        <v>5</v>
      </c>
      <c r="I598" s="10" t="str">
        <f>IF(OR(Cleaned_datasetB[[#This Row],[Day_Code]]=0,Cleaned_datasetB[[#This Row],[Day_Code]]=6),"Weekend","Weekday")</f>
        <v>Weekday</v>
      </c>
      <c r="J598" s="10">
        <v>2</v>
      </c>
      <c r="K598" s="10">
        <v>0.2</v>
      </c>
      <c r="L598" s="51">
        <v>0.21210000000000001</v>
      </c>
      <c r="M598" s="10">
        <v>0.75</v>
      </c>
      <c r="N598" s="10">
        <v>0.1343</v>
      </c>
      <c r="O598" s="10">
        <v>1</v>
      </c>
      <c r="P598" s="10">
        <v>2</v>
      </c>
      <c r="Q598" s="10">
        <v>3</v>
      </c>
      <c r="R598" s="10" t="str">
        <f>VLOOKUP(Cleaned_datasetB[[#This Row],[Weather_Code]],Lookup_Tables!$E$9:$F$13,2,FALSE)</f>
        <v>Cloudy</v>
      </c>
      <c r="S598" s="10" t="str">
        <f>INDEX(Lookup_Tables!$I$10:$I$16,MATCH(Cleaned_datasetB[[#This Row],[Day_Code]],Lookup_Tables!$H$10:$H$16,0))</f>
        <v>Friday</v>
      </c>
      <c r="T598" s="10" t="str">
        <f>VLOOKUP(Cleaned_datasetB[[#This Row],[Month]], Lookup_Tables!$K$8:$L$19, 2, FALSE)</f>
        <v>January</v>
      </c>
      <c r="U598" s="10" t="str">
        <f>IF(AND(Cleaned_datasetB[[#This Row],[Day_Type]]="Weekday",Cleaned_datasetB[[#This Row],[Is_Holiday]]=FALSE),"Working Day","Non-Working Day")</f>
        <v>Working Day</v>
      </c>
    </row>
    <row r="599" spans="1:21">
      <c r="A599" s="10">
        <v>598</v>
      </c>
      <c r="B599" s="23">
        <v>40571</v>
      </c>
      <c r="C599" s="10">
        <v>1</v>
      </c>
      <c r="D599" s="10">
        <v>0</v>
      </c>
      <c r="E599" s="10">
        <v>1</v>
      </c>
      <c r="F599" s="10">
        <v>2</v>
      </c>
      <c r="G599" s="10" t="b">
        <v>0</v>
      </c>
      <c r="H599" s="10">
        <v>5</v>
      </c>
      <c r="I599" s="10" t="str">
        <f>IF(OR(Cleaned_datasetB[[#This Row],[Day_Code]]=0,Cleaned_datasetB[[#This Row],[Day_Code]]=6),"Weekend","Weekday")</f>
        <v>Weekday</v>
      </c>
      <c r="J599" s="10">
        <v>2</v>
      </c>
      <c r="K599" s="10">
        <v>0.2</v>
      </c>
      <c r="L599" s="51">
        <v>0.21210000000000001</v>
      </c>
      <c r="M599" s="10">
        <v>0.75</v>
      </c>
      <c r="N599" s="10">
        <v>0.16420000000000001</v>
      </c>
      <c r="O599" s="10">
        <v>0</v>
      </c>
      <c r="P599" s="10">
        <v>2</v>
      </c>
      <c r="Q599" s="10">
        <v>2</v>
      </c>
      <c r="R599" s="10" t="str">
        <f>VLOOKUP(Cleaned_datasetB[[#This Row],[Weather_Code]],Lookup_Tables!$E$9:$F$13,2,FALSE)</f>
        <v>Cloudy</v>
      </c>
      <c r="S599" s="10" t="str">
        <f>INDEX(Lookup_Tables!$I$10:$I$16,MATCH(Cleaned_datasetB[[#This Row],[Day_Code]],Lookup_Tables!$H$10:$H$16,0))</f>
        <v>Friday</v>
      </c>
      <c r="T599" s="10" t="str">
        <f>VLOOKUP(Cleaned_datasetB[[#This Row],[Month]], Lookup_Tables!$K$8:$L$19, 2, FALSE)</f>
        <v>January</v>
      </c>
      <c r="U599" s="10" t="str">
        <f>IF(AND(Cleaned_datasetB[[#This Row],[Day_Type]]="Weekday",Cleaned_datasetB[[#This Row],[Is_Holiday]]=FALSE),"Working Day","Non-Working Day")</f>
        <v>Working Day</v>
      </c>
    </row>
    <row r="600" spans="1:21">
      <c r="A600" s="10">
        <v>599</v>
      </c>
      <c r="B600" s="23">
        <v>40571</v>
      </c>
      <c r="C600" s="10">
        <v>1</v>
      </c>
      <c r="D600" s="10">
        <v>0</v>
      </c>
      <c r="E600" s="10">
        <v>1</v>
      </c>
      <c r="F600" s="10">
        <v>3</v>
      </c>
      <c r="G600" s="10" t="b">
        <v>0</v>
      </c>
      <c r="H600" s="10">
        <v>5</v>
      </c>
      <c r="I600" s="10" t="str">
        <f>IF(OR(Cleaned_datasetB[[#This Row],[Day_Code]]=0,Cleaned_datasetB[[#This Row],[Day_Code]]=6),"Weekend","Weekday")</f>
        <v>Weekday</v>
      </c>
      <c r="J600" s="10">
        <v>2</v>
      </c>
      <c r="K600" s="10">
        <v>0.2</v>
      </c>
      <c r="L600" s="51">
        <v>0.2273</v>
      </c>
      <c r="M600" s="10">
        <v>0.75</v>
      </c>
      <c r="N600" s="10">
        <v>0.1045</v>
      </c>
      <c r="O600" s="10">
        <v>1</v>
      </c>
      <c r="P600" s="10">
        <v>0</v>
      </c>
      <c r="Q600" s="10">
        <v>1</v>
      </c>
      <c r="R600" s="10" t="str">
        <f>VLOOKUP(Cleaned_datasetB[[#This Row],[Weather_Code]],Lookup_Tables!$E$9:$F$13,2,FALSE)</f>
        <v>Cloudy</v>
      </c>
      <c r="S600" s="10" t="str">
        <f>INDEX(Lookup_Tables!$I$10:$I$16,MATCH(Cleaned_datasetB[[#This Row],[Day_Code]],Lookup_Tables!$H$10:$H$16,0))</f>
        <v>Friday</v>
      </c>
      <c r="T600" s="10" t="str">
        <f>VLOOKUP(Cleaned_datasetB[[#This Row],[Month]], Lookup_Tables!$K$8:$L$19, 2, FALSE)</f>
        <v>January</v>
      </c>
      <c r="U600" s="10" t="str">
        <f>IF(AND(Cleaned_datasetB[[#This Row],[Day_Type]]="Weekday",Cleaned_datasetB[[#This Row],[Is_Holiday]]=FALSE),"Working Day","Non-Working Day")</f>
        <v>Working Day</v>
      </c>
    </row>
    <row r="601" spans="1:21">
      <c r="A601" s="10">
        <v>600</v>
      </c>
      <c r="B601" s="23">
        <v>40571</v>
      </c>
      <c r="C601" s="10">
        <v>1</v>
      </c>
      <c r="D601" s="10">
        <v>0</v>
      </c>
      <c r="E601" s="10">
        <v>1</v>
      </c>
      <c r="F601" s="10">
        <v>5</v>
      </c>
      <c r="G601" s="10" t="b">
        <v>0</v>
      </c>
      <c r="H601" s="10">
        <v>5</v>
      </c>
      <c r="I601" s="10" t="str">
        <f>IF(OR(Cleaned_datasetB[[#This Row],[Day_Code]]=0,Cleaned_datasetB[[#This Row],[Day_Code]]=6),"Weekend","Weekday")</f>
        <v>Weekday</v>
      </c>
      <c r="J601" s="10">
        <v>2</v>
      </c>
      <c r="K601" s="10">
        <v>0.18</v>
      </c>
      <c r="L601" s="51">
        <v>0.21210000000000001</v>
      </c>
      <c r="M601" s="10">
        <v>0.8</v>
      </c>
      <c r="N601" s="10">
        <v>0.1045</v>
      </c>
      <c r="O601" s="10">
        <v>0</v>
      </c>
      <c r="P601" s="10">
        <v>4</v>
      </c>
      <c r="Q601" s="10">
        <v>4</v>
      </c>
      <c r="R601" s="10" t="str">
        <f>VLOOKUP(Cleaned_datasetB[[#This Row],[Weather_Code]],Lookup_Tables!$E$9:$F$13,2,FALSE)</f>
        <v>Cloudy</v>
      </c>
      <c r="S601" s="10" t="str">
        <f>INDEX(Lookup_Tables!$I$10:$I$16,MATCH(Cleaned_datasetB[[#This Row],[Day_Code]],Lookup_Tables!$H$10:$H$16,0))</f>
        <v>Friday</v>
      </c>
      <c r="T601" s="10" t="str">
        <f>VLOOKUP(Cleaned_datasetB[[#This Row],[Month]], Lookup_Tables!$K$8:$L$19, 2, FALSE)</f>
        <v>January</v>
      </c>
      <c r="U601" s="10" t="str">
        <f>IF(AND(Cleaned_datasetB[[#This Row],[Day_Type]]="Weekday",Cleaned_datasetB[[#This Row],[Is_Holiday]]=FALSE),"Working Day","Non-Working Day")</f>
        <v>Working Day</v>
      </c>
    </row>
    <row r="602" spans="1:21">
      <c r="A602" s="10">
        <v>601</v>
      </c>
      <c r="B602" s="23">
        <v>40571</v>
      </c>
      <c r="C602" s="10">
        <v>1</v>
      </c>
      <c r="D602" s="10">
        <v>0</v>
      </c>
      <c r="E602" s="10">
        <v>1</v>
      </c>
      <c r="F602" s="10">
        <v>6</v>
      </c>
      <c r="G602" s="10" t="b">
        <v>0</v>
      </c>
      <c r="H602" s="10">
        <v>5</v>
      </c>
      <c r="I602" s="10" t="str">
        <f>IF(OR(Cleaned_datasetB[[#This Row],[Day_Code]]=0,Cleaned_datasetB[[#This Row],[Day_Code]]=6),"Weekend","Weekday")</f>
        <v>Weekday</v>
      </c>
      <c r="J602" s="10">
        <v>2</v>
      </c>
      <c r="K602" s="10">
        <v>0.18</v>
      </c>
      <c r="L602" s="51">
        <v>0.19700000000000001</v>
      </c>
      <c r="M602" s="10">
        <v>0.8</v>
      </c>
      <c r="N602" s="10">
        <v>0.1343</v>
      </c>
      <c r="O602" s="10">
        <v>0</v>
      </c>
      <c r="P602" s="10">
        <v>16</v>
      </c>
      <c r="Q602" s="10">
        <v>16</v>
      </c>
      <c r="R602" s="10" t="str">
        <f>VLOOKUP(Cleaned_datasetB[[#This Row],[Weather_Code]],Lookup_Tables!$E$9:$F$13,2,FALSE)</f>
        <v>Cloudy</v>
      </c>
      <c r="S602" s="10" t="str">
        <f>INDEX(Lookup_Tables!$I$10:$I$16,MATCH(Cleaned_datasetB[[#This Row],[Day_Code]],Lookup_Tables!$H$10:$H$16,0))</f>
        <v>Friday</v>
      </c>
      <c r="T602" s="10" t="str">
        <f>VLOOKUP(Cleaned_datasetB[[#This Row],[Month]], Lookup_Tables!$K$8:$L$19, 2, FALSE)</f>
        <v>January</v>
      </c>
      <c r="U602" s="10" t="str">
        <f>IF(AND(Cleaned_datasetB[[#This Row],[Day_Type]]="Weekday",Cleaned_datasetB[[#This Row],[Is_Holiday]]=FALSE),"Working Day","Non-Working Day")</f>
        <v>Working Day</v>
      </c>
    </row>
    <row r="603" spans="1:21">
      <c r="A603" s="10">
        <v>602</v>
      </c>
      <c r="B603" s="23">
        <v>40571</v>
      </c>
      <c r="C603" s="10">
        <v>1</v>
      </c>
      <c r="D603" s="10">
        <v>0</v>
      </c>
      <c r="E603" s="10">
        <v>1</v>
      </c>
      <c r="F603" s="10">
        <v>7</v>
      </c>
      <c r="G603" s="10" t="b">
        <v>0</v>
      </c>
      <c r="H603" s="10">
        <v>5</v>
      </c>
      <c r="I603" s="10" t="str">
        <f>IF(OR(Cleaned_datasetB[[#This Row],[Day_Code]]=0,Cleaned_datasetB[[#This Row],[Day_Code]]=6),"Weekend","Weekday")</f>
        <v>Weekday</v>
      </c>
      <c r="J603" s="10">
        <v>2</v>
      </c>
      <c r="K603" s="10">
        <v>0.16</v>
      </c>
      <c r="L603" s="51">
        <v>0.19700000000000001</v>
      </c>
      <c r="M603" s="10">
        <v>0.86</v>
      </c>
      <c r="N603" s="10">
        <v>8.9599999999999999E-2</v>
      </c>
      <c r="O603" s="10">
        <v>2</v>
      </c>
      <c r="P603" s="10">
        <v>58</v>
      </c>
      <c r="Q603" s="10">
        <v>60</v>
      </c>
      <c r="R603" s="10" t="str">
        <f>VLOOKUP(Cleaned_datasetB[[#This Row],[Weather_Code]],Lookup_Tables!$E$9:$F$13,2,FALSE)</f>
        <v>Cloudy</v>
      </c>
      <c r="S603" s="10" t="str">
        <f>INDEX(Lookup_Tables!$I$10:$I$16,MATCH(Cleaned_datasetB[[#This Row],[Day_Code]],Lookup_Tables!$H$10:$H$16,0))</f>
        <v>Friday</v>
      </c>
      <c r="T603" s="10" t="str">
        <f>VLOOKUP(Cleaned_datasetB[[#This Row],[Month]], Lookup_Tables!$K$8:$L$19, 2, FALSE)</f>
        <v>January</v>
      </c>
      <c r="U603" s="10" t="str">
        <f>IF(AND(Cleaned_datasetB[[#This Row],[Day_Type]]="Weekday",Cleaned_datasetB[[#This Row],[Is_Holiday]]=FALSE),"Working Day","Non-Working Day")</f>
        <v>Working Day</v>
      </c>
    </row>
    <row r="604" spans="1:21">
      <c r="A604" s="10">
        <v>603</v>
      </c>
      <c r="B604" s="23">
        <v>40571</v>
      </c>
      <c r="C604" s="10">
        <v>1</v>
      </c>
      <c r="D604" s="10">
        <v>0</v>
      </c>
      <c r="E604" s="10">
        <v>1</v>
      </c>
      <c r="F604" s="10">
        <v>8</v>
      </c>
      <c r="G604" s="10" t="b">
        <v>0</v>
      </c>
      <c r="H604" s="10">
        <v>5</v>
      </c>
      <c r="I604" s="10" t="str">
        <f>IF(OR(Cleaned_datasetB[[#This Row],[Day_Code]]=0,Cleaned_datasetB[[#This Row],[Day_Code]]=6),"Weekend","Weekday")</f>
        <v>Weekday</v>
      </c>
      <c r="J604" s="10">
        <v>2</v>
      </c>
      <c r="K604" s="10">
        <v>0.16</v>
      </c>
      <c r="L604" s="51">
        <v>0.19700000000000001</v>
      </c>
      <c r="M604" s="10">
        <v>0.86</v>
      </c>
      <c r="N604" s="10">
        <v>8.9599999999999999E-2</v>
      </c>
      <c r="O604" s="10">
        <v>2</v>
      </c>
      <c r="P604" s="10">
        <v>155</v>
      </c>
      <c r="Q604" s="10">
        <v>157</v>
      </c>
      <c r="R604" s="10" t="str">
        <f>VLOOKUP(Cleaned_datasetB[[#This Row],[Weather_Code]],Lookup_Tables!$E$9:$F$13,2,FALSE)</f>
        <v>Cloudy</v>
      </c>
      <c r="S604" s="10" t="str">
        <f>INDEX(Lookup_Tables!$I$10:$I$16,MATCH(Cleaned_datasetB[[#This Row],[Day_Code]],Lookup_Tables!$H$10:$H$16,0))</f>
        <v>Friday</v>
      </c>
      <c r="T604" s="10" t="str">
        <f>VLOOKUP(Cleaned_datasetB[[#This Row],[Month]], Lookup_Tables!$K$8:$L$19, 2, FALSE)</f>
        <v>January</v>
      </c>
      <c r="U604" s="10" t="str">
        <f>IF(AND(Cleaned_datasetB[[#This Row],[Day_Type]]="Weekday",Cleaned_datasetB[[#This Row],[Is_Holiday]]=FALSE),"Working Day","Non-Working Day")</f>
        <v>Working Day</v>
      </c>
    </row>
    <row r="605" spans="1:21">
      <c r="A605" s="10">
        <v>604</v>
      </c>
      <c r="B605" s="23">
        <v>40571</v>
      </c>
      <c r="C605" s="10">
        <v>1</v>
      </c>
      <c r="D605" s="10">
        <v>0</v>
      </c>
      <c r="E605" s="10">
        <v>1</v>
      </c>
      <c r="F605" s="10">
        <v>9</v>
      </c>
      <c r="G605" s="10" t="b">
        <v>0</v>
      </c>
      <c r="H605" s="10">
        <v>5</v>
      </c>
      <c r="I605" s="10" t="str">
        <f>IF(OR(Cleaned_datasetB[[#This Row],[Day_Code]]=0,Cleaned_datasetB[[#This Row],[Day_Code]]=6),"Weekend","Weekday")</f>
        <v>Weekday</v>
      </c>
      <c r="J605" s="10">
        <v>3</v>
      </c>
      <c r="K605" s="10">
        <v>0.18</v>
      </c>
      <c r="L605" s="51">
        <v>0.21210000000000001</v>
      </c>
      <c r="M605" s="10">
        <v>0.86</v>
      </c>
      <c r="N605" s="10">
        <v>8.9599999999999999E-2</v>
      </c>
      <c r="O605" s="10">
        <v>6</v>
      </c>
      <c r="P605" s="10">
        <v>95</v>
      </c>
      <c r="Q605" s="10">
        <v>101</v>
      </c>
      <c r="R605" s="10" t="str">
        <f>VLOOKUP(Cleaned_datasetB[[#This Row],[Weather_Code]],Lookup_Tables!$E$9:$F$13,2,FALSE)</f>
        <v>Light Rain</v>
      </c>
      <c r="S605" s="10" t="str">
        <f>INDEX(Lookup_Tables!$I$10:$I$16,MATCH(Cleaned_datasetB[[#This Row],[Day_Code]],Lookup_Tables!$H$10:$H$16,0))</f>
        <v>Friday</v>
      </c>
      <c r="T605" s="10" t="str">
        <f>VLOOKUP(Cleaned_datasetB[[#This Row],[Month]], Lookup_Tables!$K$8:$L$19, 2, FALSE)</f>
        <v>January</v>
      </c>
      <c r="U605" s="10" t="str">
        <f>IF(AND(Cleaned_datasetB[[#This Row],[Day_Type]]="Weekday",Cleaned_datasetB[[#This Row],[Is_Holiday]]=FALSE),"Working Day","Non-Working Day")</f>
        <v>Working Day</v>
      </c>
    </row>
    <row r="606" spans="1:21">
      <c r="A606" s="10">
        <v>605</v>
      </c>
      <c r="B606" s="23">
        <v>40571</v>
      </c>
      <c r="C606" s="10">
        <v>1</v>
      </c>
      <c r="D606" s="10">
        <v>0</v>
      </c>
      <c r="E606" s="10">
        <v>1</v>
      </c>
      <c r="F606" s="10">
        <v>10</v>
      </c>
      <c r="G606" s="10" t="b">
        <v>0</v>
      </c>
      <c r="H606" s="10">
        <v>5</v>
      </c>
      <c r="I606" s="10" t="str">
        <f>IF(OR(Cleaned_datasetB[[#This Row],[Day_Code]]=0,Cleaned_datasetB[[#This Row],[Day_Code]]=6),"Weekend","Weekday")</f>
        <v>Weekday</v>
      </c>
      <c r="J606" s="10">
        <v>3</v>
      </c>
      <c r="K606" s="10">
        <v>0.18</v>
      </c>
      <c r="L606" s="51">
        <v>0.21210000000000001</v>
      </c>
      <c r="M606" s="10">
        <v>0.86</v>
      </c>
      <c r="N606" s="10">
        <v>0.1045</v>
      </c>
      <c r="O606" s="10">
        <v>0</v>
      </c>
      <c r="P606" s="10">
        <v>49</v>
      </c>
      <c r="Q606" s="10">
        <v>49</v>
      </c>
      <c r="R606" s="10" t="str">
        <f>VLOOKUP(Cleaned_datasetB[[#This Row],[Weather_Code]],Lookup_Tables!$E$9:$F$13,2,FALSE)</f>
        <v>Light Rain</v>
      </c>
      <c r="S606" s="10" t="str">
        <f>INDEX(Lookup_Tables!$I$10:$I$16,MATCH(Cleaned_datasetB[[#This Row],[Day_Code]],Lookup_Tables!$H$10:$H$16,0))</f>
        <v>Friday</v>
      </c>
      <c r="T606" s="10" t="str">
        <f>VLOOKUP(Cleaned_datasetB[[#This Row],[Month]], Lookup_Tables!$K$8:$L$19, 2, FALSE)</f>
        <v>January</v>
      </c>
      <c r="U606" s="10" t="str">
        <f>IF(AND(Cleaned_datasetB[[#This Row],[Day_Type]]="Weekday",Cleaned_datasetB[[#This Row],[Is_Holiday]]=FALSE),"Working Day","Non-Working Day")</f>
        <v>Working Day</v>
      </c>
    </row>
    <row r="607" spans="1:21">
      <c r="A607" s="10">
        <v>606</v>
      </c>
      <c r="B607" s="23">
        <v>40571</v>
      </c>
      <c r="C607" s="10">
        <v>1</v>
      </c>
      <c r="D607" s="10">
        <v>0</v>
      </c>
      <c r="E607" s="10">
        <v>1</v>
      </c>
      <c r="F607" s="10">
        <v>11</v>
      </c>
      <c r="G607" s="10" t="b">
        <v>0</v>
      </c>
      <c r="H607" s="10">
        <v>5</v>
      </c>
      <c r="I607" s="10" t="str">
        <f>IF(OR(Cleaned_datasetB[[#This Row],[Day_Code]]=0,Cleaned_datasetB[[#This Row],[Day_Code]]=6),"Weekend","Weekday")</f>
        <v>Weekday</v>
      </c>
      <c r="J607" s="10">
        <v>3</v>
      </c>
      <c r="K607" s="10">
        <v>0.18</v>
      </c>
      <c r="L607" s="51">
        <v>0.21210000000000001</v>
      </c>
      <c r="M607" s="10">
        <v>0.93</v>
      </c>
      <c r="N607" s="10">
        <v>0.1045</v>
      </c>
      <c r="O607" s="10">
        <v>0</v>
      </c>
      <c r="P607" s="10">
        <v>30</v>
      </c>
      <c r="Q607" s="10">
        <v>30</v>
      </c>
      <c r="R607" s="10" t="str">
        <f>VLOOKUP(Cleaned_datasetB[[#This Row],[Weather_Code]],Lookup_Tables!$E$9:$F$13,2,FALSE)</f>
        <v>Light Rain</v>
      </c>
      <c r="S607" s="10" t="str">
        <f>INDEX(Lookup_Tables!$I$10:$I$16,MATCH(Cleaned_datasetB[[#This Row],[Day_Code]],Lookup_Tables!$H$10:$H$16,0))</f>
        <v>Friday</v>
      </c>
      <c r="T607" s="10" t="str">
        <f>VLOOKUP(Cleaned_datasetB[[#This Row],[Month]], Lookup_Tables!$K$8:$L$19, 2, FALSE)</f>
        <v>January</v>
      </c>
      <c r="U607" s="10" t="str">
        <f>IF(AND(Cleaned_datasetB[[#This Row],[Day_Type]]="Weekday",Cleaned_datasetB[[#This Row],[Is_Holiday]]=FALSE),"Working Day","Non-Working Day")</f>
        <v>Working Day</v>
      </c>
    </row>
    <row r="608" spans="1:21">
      <c r="A608" s="10">
        <v>607</v>
      </c>
      <c r="B608" s="23">
        <v>40571</v>
      </c>
      <c r="C608" s="10">
        <v>1</v>
      </c>
      <c r="D608" s="10">
        <v>0</v>
      </c>
      <c r="E608" s="10">
        <v>1</v>
      </c>
      <c r="F608" s="10">
        <v>12</v>
      </c>
      <c r="G608" s="10" t="b">
        <v>0</v>
      </c>
      <c r="H608" s="10">
        <v>5</v>
      </c>
      <c r="I608" s="10" t="str">
        <f>IF(OR(Cleaned_datasetB[[#This Row],[Day_Code]]=0,Cleaned_datasetB[[#This Row],[Day_Code]]=6),"Weekend","Weekday")</f>
        <v>Weekday</v>
      </c>
      <c r="J608" s="10">
        <v>3</v>
      </c>
      <c r="K608" s="10">
        <v>0.18</v>
      </c>
      <c r="L608" s="51">
        <v>0.21210000000000001</v>
      </c>
      <c r="M608" s="10">
        <v>0.93</v>
      </c>
      <c r="N608" s="10">
        <v>0.1045</v>
      </c>
      <c r="O608" s="10">
        <v>1</v>
      </c>
      <c r="P608" s="10">
        <v>28</v>
      </c>
      <c r="Q608" s="10">
        <v>29</v>
      </c>
      <c r="R608" s="10" t="str">
        <f>VLOOKUP(Cleaned_datasetB[[#This Row],[Weather_Code]],Lookup_Tables!$E$9:$F$13,2,FALSE)</f>
        <v>Light Rain</v>
      </c>
      <c r="S608" s="10" t="str">
        <f>INDEX(Lookup_Tables!$I$10:$I$16,MATCH(Cleaned_datasetB[[#This Row],[Day_Code]],Lookup_Tables!$H$10:$H$16,0))</f>
        <v>Friday</v>
      </c>
      <c r="T608" s="10" t="str">
        <f>VLOOKUP(Cleaned_datasetB[[#This Row],[Month]], Lookup_Tables!$K$8:$L$19, 2, FALSE)</f>
        <v>January</v>
      </c>
      <c r="U608" s="10" t="str">
        <f>IF(AND(Cleaned_datasetB[[#This Row],[Day_Type]]="Weekday",Cleaned_datasetB[[#This Row],[Is_Holiday]]=FALSE),"Working Day","Non-Working Day")</f>
        <v>Working Day</v>
      </c>
    </row>
    <row r="609" spans="1:21">
      <c r="A609" s="10">
        <v>608</v>
      </c>
      <c r="B609" s="23">
        <v>40571</v>
      </c>
      <c r="C609" s="10">
        <v>1</v>
      </c>
      <c r="D609" s="10">
        <v>0</v>
      </c>
      <c r="E609" s="10">
        <v>1</v>
      </c>
      <c r="F609" s="10">
        <v>13</v>
      </c>
      <c r="G609" s="10" t="b">
        <v>0</v>
      </c>
      <c r="H609" s="10">
        <v>5</v>
      </c>
      <c r="I609" s="10" t="str">
        <f>IF(OR(Cleaned_datasetB[[#This Row],[Day_Code]]=0,Cleaned_datasetB[[#This Row],[Day_Code]]=6),"Weekend","Weekday")</f>
        <v>Weekday</v>
      </c>
      <c r="J609" s="10">
        <v>3</v>
      </c>
      <c r="K609" s="10">
        <v>0.18</v>
      </c>
      <c r="L609" s="51">
        <v>0.21210000000000001</v>
      </c>
      <c r="M609" s="10">
        <v>0.93</v>
      </c>
      <c r="N609" s="10">
        <v>0.1045</v>
      </c>
      <c r="O609" s="10">
        <v>0</v>
      </c>
      <c r="P609" s="10">
        <v>31</v>
      </c>
      <c r="Q609" s="10">
        <v>31</v>
      </c>
      <c r="R609" s="10" t="str">
        <f>VLOOKUP(Cleaned_datasetB[[#This Row],[Weather_Code]],Lookup_Tables!$E$9:$F$13,2,FALSE)</f>
        <v>Light Rain</v>
      </c>
      <c r="S609" s="10" t="str">
        <f>INDEX(Lookup_Tables!$I$10:$I$16,MATCH(Cleaned_datasetB[[#This Row],[Day_Code]],Lookup_Tables!$H$10:$H$16,0))</f>
        <v>Friday</v>
      </c>
      <c r="T609" s="10" t="str">
        <f>VLOOKUP(Cleaned_datasetB[[#This Row],[Month]], Lookup_Tables!$K$8:$L$19, 2, FALSE)</f>
        <v>January</v>
      </c>
      <c r="U609" s="10" t="str">
        <f>IF(AND(Cleaned_datasetB[[#This Row],[Day_Type]]="Weekday",Cleaned_datasetB[[#This Row],[Is_Holiday]]=FALSE),"Working Day","Non-Working Day")</f>
        <v>Working Day</v>
      </c>
    </row>
    <row r="610" spans="1:21">
      <c r="A610" s="10">
        <v>609</v>
      </c>
      <c r="B610" s="23">
        <v>40571</v>
      </c>
      <c r="C610" s="10">
        <v>1</v>
      </c>
      <c r="D610" s="10">
        <v>0</v>
      </c>
      <c r="E610" s="10">
        <v>1</v>
      </c>
      <c r="F610" s="10">
        <v>14</v>
      </c>
      <c r="G610" s="10" t="b">
        <v>0</v>
      </c>
      <c r="H610" s="10">
        <v>5</v>
      </c>
      <c r="I610" s="10" t="str">
        <f>IF(OR(Cleaned_datasetB[[#This Row],[Day_Code]]=0,Cleaned_datasetB[[#This Row],[Day_Code]]=6),"Weekend","Weekday")</f>
        <v>Weekday</v>
      </c>
      <c r="J610" s="10">
        <v>3</v>
      </c>
      <c r="K610" s="10">
        <v>0.22</v>
      </c>
      <c r="L610" s="51">
        <v>0.2727</v>
      </c>
      <c r="M610" s="10">
        <v>0.8</v>
      </c>
      <c r="N610" s="10">
        <v>0</v>
      </c>
      <c r="O610" s="10">
        <v>2</v>
      </c>
      <c r="P610" s="10">
        <v>36</v>
      </c>
      <c r="Q610" s="10">
        <v>38</v>
      </c>
      <c r="R610" s="10" t="str">
        <f>VLOOKUP(Cleaned_datasetB[[#This Row],[Weather_Code]],Lookup_Tables!$E$9:$F$13,2,FALSE)</f>
        <v>Light Rain</v>
      </c>
      <c r="S610" s="10" t="str">
        <f>INDEX(Lookup_Tables!$I$10:$I$16,MATCH(Cleaned_datasetB[[#This Row],[Day_Code]],Lookup_Tables!$H$10:$H$16,0))</f>
        <v>Friday</v>
      </c>
      <c r="T610" s="10" t="str">
        <f>VLOOKUP(Cleaned_datasetB[[#This Row],[Month]], Lookup_Tables!$K$8:$L$19, 2, FALSE)</f>
        <v>January</v>
      </c>
      <c r="U610" s="10" t="str">
        <f>IF(AND(Cleaned_datasetB[[#This Row],[Day_Type]]="Weekday",Cleaned_datasetB[[#This Row],[Is_Holiday]]=FALSE),"Working Day","Non-Working Day")</f>
        <v>Working Day</v>
      </c>
    </row>
    <row r="611" spans="1:21">
      <c r="A611" s="10">
        <v>610</v>
      </c>
      <c r="B611" s="23">
        <v>40571</v>
      </c>
      <c r="C611" s="10">
        <v>1</v>
      </c>
      <c r="D611" s="10">
        <v>0</v>
      </c>
      <c r="E611" s="10">
        <v>1</v>
      </c>
      <c r="F611" s="10">
        <v>15</v>
      </c>
      <c r="G611" s="10" t="b">
        <v>0</v>
      </c>
      <c r="H611" s="10">
        <v>5</v>
      </c>
      <c r="I611" s="10" t="str">
        <f>IF(OR(Cleaned_datasetB[[#This Row],[Day_Code]]=0,Cleaned_datasetB[[#This Row],[Day_Code]]=6),"Weekend","Weekday")</f>
        <v>Weekday</v>
      </c>
      <c r="J611" s="10">
        <v>2</v>
      </c>
      <c r="K611" s="10">
        <v>0.2</v>
      </c>
      <c r="L611" s="51">
        <v>0.2576</v>
      </c>
      <c r="M611" s="10">
        <v>0.86</v>
      </c>
      <c r="N611" s="10">
        <v>0</v>
      </c>
      <c r="O611" s="10">
        <v>1</v>
      </c>
      <c r="P611" s="10">
        <v>40</v>
      </c>
      <c r="Q611" s="10">
        <v>41</v>
      </c>
      <c r="R611" s="10" t="str">
        <f>VLOOKUP(Cleaned_datasetB[[#This Row],[Weather_Code]],Lookup_Tables!$E$9:$F$13,2,FALSE)</f>
        <v>Cloudy</v>
      </c>
      <c r="S611" s="10" t="str">
        <f>INDEX(Lookup_Tables!$I$10:$I$16,MATCH(Cleaned_datasetB[[#This Row],[Day_Code]],Lookup_Tables!$H$10:$H$16,0))</f>
        <v>Friday</v>
      </c>
      <c r="T611" s="10" t="str">
        <f>VLOOKUP(Cleaned_datasetB[[#This Row],[Month]], Lookup_Tables!$K$8:$L$19, 2, FALSE)</f>
        <v>January</v>
      </c>
      <c r="U611" s="10" t="str">
        <f>IF(AND(Cleaned_datasetB[[#This Row],[Day_Type]]="Weekday",Cleaned_datasetB[[#This Row],[Is_Holiday]]=FALSE),"Working Day","Non-Working Day")</f>
        <v>Working Day</v>
      </c>
    </row>
    <row r="612" spans="1:21">
      <c r="A612" s="10">
        <v>611</v>
      </c>
      <c r="B612" s="23">
        <v>40571</v>
      </c>
      <c r="C612" s="10">
        <v>1</v>
      </c>
      <c r="D612" s="10">
        <v>0</v>
      </c>
      <c r="E612" s="10">
        <v>1</v>
      </c>
      <c r="F612" s="10">
        <v>16</v>
      </c>
      <c r="G612" s="10" t="b">
        <v>0</v>
      </c>
      <c r="H612" s="10">
        <v>5</v>
      </c>
      <c r="I612" s="10" t="str">
        <f>IF(OR(Cleaned_datasetB[[#This Row],[Day_Code]]=0,Cleaned_datasetB[[#This Row],[Day_Code]]=6),"Weekend","Weekday")</f>
        <v>Weekday</v>
      </c>
      <c r="J612" s="10">
        <v>1</v>
      </c>
      <c r="K612" s="10">
        <v>0.22</v>
      </c>
      <c r="L612" s="51">
        <v>0.2727</v>
      </c>
      <c r="M612" s="10">
        <v>0.8</v>
      </c>
      <c r="N612" s="10">
        <v>0</v>
      </c>
      <c r="O612" s="10">
        <v>10</v>
      </c>
      <c r="P612" s="10">
        <v>70</v>
      </c>
      <c r="Q612" s="10">
        <v>80</v>
      </c>
      <c r="R612" s="10" t="str">
        <f>VLOOKUP(Cleaned_datasetB[[#This Row],[Weather_Code]],Lookup_Tables!$E$9:$F$13,2,FALSE)</f>
        <v>Clear</v>
      </c>
      <c r="S612" s="10" t="str">
        <f>INDEX(Lookup_Tables!$I$10:$I$16,MATCH(Cleaned_datasetB[[#This Row],[Day_Code]],Lookup_Tables!$H$10:$H$16,0))</f>
        <v>Friday</v>
      </c>
      <c r="T612" s="10" t="str">
        <f>VLOOKUP(Cleaned_datasetB[[#This Row],[Month]], Lookup_Tables!$K$8:$L$19, 2, FALSE)</f>
        <v>January</v>
      </c>
      <c r="U612" s="10" t="str">
        <f>IF(AND(Cleaned_datasetB[[#This Row],[Day_Type]]="Weekday",Cleaned_datasetB[[#This Row],[Is_Holiday]]=FALSE),"Working Day","Non-Working Day")</f>
        <v>Working Day</v>
      </c>
    </row>
    <row r="613" spans="1:21">
      <c r="A613" s="10">
        <v>612</v>
      </c>
      <c r="B613" s="23">
        <v>40571</v>
      </c>
      <c r="C613" s="10">
        <v>1</v>
      </c>
      <c r="D613" s="10">
        <v>0</v>
      </c>
      <c r="E613" s="10">
        <v>1</v>
      </c>
      <c r="F613" s="10">
        <v>17</v>
      </c>
      <c r="G613" s="10" t="b">
        <v>0</v>
      </c>
      <c r="H613" s="10">
        <v>5</v>
      </c>
      <c r="I613" s="10" t="str">
        <f>IF(OR(Cleaned_datasetB[[#This Row],[Day_Code]]=0,Cleaned_datasetB[[#This Row],[Day_Code]]=6),"Weekend","Weekday")</f>
        <v>Weekday</v>
      </c>
      <c r="J613" s="10">
        <v>1</v>
      </c>
      <c r="K613" s="10">
        <v>0.24</v>
      </c>
      <c r="L613" s="51">
        <v>0.2424</v>
      </c>
      <c r="M613" s="10">
        <v>0.75</v>
      </c>
      <c r="N613" s="10">
        <v>0.1343</v>
      </c>
      <c r="O613" s="10">
        <v>2</v>
      </c>
      <c r="P613" s="10">
        <v>147</v>
      </c>
      <c r="Q613" s="10">
        <v>149</v>
      </c>
      <c r="R613" s="10" t="str">
        <f>VLOOKUP(Cleaned_datasetB[[#This Row],[Weather_Code]],Lookup_Tables!$E$9:$F$13,2,FALSE)</f>
        <v>Clear</v>
      </c>
      <c r="S613" s="10" t="str">
        <f>INDEX(Lookup_Tables!$I$10:$I$16,MATCH(Cleaned_datasetB[[#This Row],[Day_Code]],Lookup_Tables!$H$10:$H$16,0))</f>
        <v>Friday</v>
      </c>
      <c r="T613" s="10" t="str">
        <f>VLOOKUP(Cleaned_datasetB[[#This Row],[Month]], Lookup_Tables!$K$8:$L$19, 2, FALSE)</f>
        <v>January</v>
      </c>
      <c r="U613" s="10" t="str">
        <f>IF(AND(Cleaned_datasetB[[#This Row],[Day_Type]]="Weekday",Cleaned_datasetB[[#This Row],[Is_Holiday]]=FALSE),"Working Day","Non-Working Day")</f>
        <v>Working Day</v>
      </c>
    </row>
    <row r="614" spans="1:21">
      <c r="A614" s="10">
        <v>613</v>
      </c>
      <c r="B614" s="23">
        <v>40571</v>
      </c>
      <c r="C614" s="10">
        <v>1</v>
      </c>
      <c r="D614" s="10">
        <v>0</v>
      </c>
      <c r="E614" s="10">
        <v>1</v>
      </c>
      <c r="F614" s="10">
        <v>18</v>
      </c>
      <c r="G614" s="10" t="b">
        <v>0</v>
      </c>
      <c r="H614" s="10">
        <v>5</v>
      </c>
      <c r="I614" s="10" t="str">
        <f>IF(OR(Cleaned_datasetB[[#This Row],[Day_Code]]=0,Cleaned_datasetB[[#This Row],[Day_Code]]=6),"Weekend","Weekday")</f>
        <v>Weekday</v>
      </c>
      <c r="J614" s="10">
        <v>1</v>
      </c>
      <c r="K614" s="10">
        <v>0.24</v>
      </c>
      <c r="L614" s="51">
        <v>0.2273</v>
      </c>
      <c r="M614" s="10">
        <v>0.75</v>
      </c>
      <c r="N614" s="10">
        <v>0.19400000000000001</v>
      </c>
      <c r="O614" s="10">
        <v>2</v>
      </c>
      <c r="P614" s="10">
        <v>107</v>
      </c>
      <c r="Q614" s="10">
        <v>109</v>
      </c>
      <c r="R614" s="10" t="str">
        <f>VLOOKUP(Cleaned_datasetB[[#This Row],[Weather_Code]],Lookup_Tables!$E$9:$F$13,2,FALSE)</f>
        <v>Clear</v>
      </c>
      <c r="S614" s="10" t="str">
        <f>INDEX(Lookup_Tables!$I$10:$I$16,MATCH(Cleaned_datasetB[[#This Row],[Day_Code]],Lookup_Tables!$H$10:$H$16,0))</f>
        <v>Friday</v>
      </c>
      <c r="T614" s="10" t="str">
        <f>VLOOKUP(Cleaned_datasetB[[#This Row],[Month]], Lookup_Tables!$K$8:$L$19, 2, FALSE)</f>
        <v>January</v>
      </c>
      <c r="U614" s="10" t="str">
        <f>IF(AND(Cleaned_datasetB[[#This Row],[Day_Type]]="Weekday",Cleaned_datasetB[[#This Row],[Is_Holiday]]=FALSE),"Working Day","Non-Working Day")</f>
        <v>Working Day</v>
      </c>
    </row>
    <row r="615" spans="1:21">
      <c r="A615" s="10">
        <v>614</v>
      </c>
      <c r="B615" s="23">
        <v>40571</v>
      </c>
      <c r="C615" s="10">
        <v>1</v>
      </c>
      <c r="D615" s="10">
        <v>0</v>
      </c>
      <c r="E615" s="10">
        <v>1</v>
      </c>
      <c r="F615" s="10">
        <v>19</v>
      </c>
      <c r="G615" s="10" t="b">
        <v>0</v>
      </c>
      <c r="H615" s="10">
        <v>5</v>
      </c>
      <c r="I615" s="10" t="str">
        <f>IF(OR(Cleaned_datasetB[[#This Row],[Day_Code]]=0,Cleaned_datasetB[[#This Row],[Day_Code]]=6),"Weekend","Weekday")</f>
        <v>Weekday</v>
      </c>
      <c r="J615" s="10">
        <v>2</v>
      </c>
      <c r="K615" s="10">
        <v>0.24</v>
      </c>
      <c r="L615" s="51">
        <v>0.2424</v>
      </c>
      <c r="M615" s="10">
        <v>0.75</v>
      </c>
      <c r="N615" s="10">
        <v>0.1343</v>
      </c>
      <c r="O615" s="10">
        <v>5</v>
      </c>
      <c r="P615" s="10">
        <v>84</v>
      </c>
      <c r="Q615" s="10">
        <v>89</v>
      </c>
      <c r="R615" s="10" t="str">
        <f>VLOOKUP(Cleaned_datasetB[[#This Row],[Weather_Code]],Lookup_Tables!$E$9:$F$13,2,FALSE)</f>
        <v>Cloudy</v>
      </c>
      <c r="S615" s="10" t="str">
        <f>INDEX(Lookup_Tables!$I$10:$I$16,MATCH(Cleaned_datasetB[[#This Row],[Day_Code]],Lookup_Tables!$H$10:$H$16,0))</f>
        <v>Friday</v>
      </c>
      <c r="T615" s="10" t="str">
        <f>VLOOKUP(Cleaned_datasetB[[#This Row],[Month]], Lookup_Tables!$K$8:$L$19, 2, FALSE)</f>
        <v>January</v>
      </c>
      <c r="U615" s="10" t="str">
        <f>IF(AND(Cleaned_datasetB[[#This Row],[Day_Type]]="Weekday",Cleaned_datasetB[[#This Row],[Is_Holiday]]=FALSE),"Working Day","Non-Working Day")</f>
        <v>Working Day</v>
      </c>
    </row>
    <row r="616" spans="1:21">
      <c r="A616" s="10">
        <v>615</v>
      </c>
      <c r="B616" s="23">
        <v>40571</v>
      </c>
      <c r="C616" s="10">
        <v>1</v>
      </c>
      <c r="D616" s="10">
        <v>0</v>
      </c>
      <c r="E616" s="10">
        <v>1</v>
      </c>
      <c r="F616" s="10">
        <v>20</v>
      </c>
      <c r="G616" s="10" t="b">
        <v>0</v>
      </c>
      <c r="H616" s="10">
        <v>5</v>
      </c>
      <c r="I616" s="10" t="str">
        <f>IF(OR(Cleaned_datasetB[[#This Row],[Day_Code]]=0,Cleaned_datasetB[[#This Row],[Day_Code]]=6),"Weekend","Weekday")</f>
        <v>Weekday</v>
      </c>
      <c r="J616" s="10">
        <v>2</v>
      </c>
      <c r="K616" s="10">
        <v>0.24</v>
      </c>
      <c r="L616" s="51">
        <v>0.2273</v>
      </c>
      <c r="M616" s="10">
        <v>0.7</v>
      </c>
      <c r="N616" s="10">
        <v>0.19400000000000001</v>
      </c>
      <c r="O616" s="10">
        <v>1</v>
      </c>
      <c r="P616" s="10">
        <v>61</v>
      </c>
      <c r="Q616" s="10">
        <v>62</v>
      </c>
      <c r="R616" s="10" t="str">
        <f>VLOOKUP(Cleaned_datasetB[[#This Row],[Weather_Code]],Lookup_Tables!$E$9:$F$13,2,FALSE)</f>
        <v>Cloudy</v>
      </c>
      <c r="S616" s="10" t="str">
        <f>INDEX(Lookup_Tables!$I$10:$I$16,MATCH(Cleaned_datasetB[[#This Row],[Day_Code]],Lookup_Tables!$H$10:$H$16,0))</f>
        <v>Friday</v>
      </c>
      <c r="T616" s="10" t="str">
        <f>VLOOKUP(Cleaned_datasetB[[#This Row],[Month]], Lookup_Tables!$K$8:$L$19, 2, FALSE)</f>
        <v>January</v>
      </c>
      <c r="U616" s="10" t="str">
        <f>IF(AND(Cleaned_datasetB[[#This Row],[Day_Type]]="Weekday",Cleaned_datasetB[[#This Row],[Is_Holiday]]=FALSE),"Working Day","Non-Working Day")</f>
        <v>Working Day</v>
      </c>
    </row>
    <row r="617" spans="1:21">
      <c r="A617" s="10">
        <v>616</v>
      </c>
      <c r="B617" s="23">
        <v>40571</v>
      </c>
      <c r="C617" s="10">
        <v>1</v>
      </c>
      <c r="D617" s="10">
        <v>0</v>
      </c>
      <c r="E617" s="10">
        <v>1</v>
      </c>
      <c r="F617" s="10">
        <v>21</v>
      </c>
      <c r="G617" s="10" t="b">
        <v>0</v>
      </c>
      <c r="H617" s="10">
        <v>5</v>
      </c>
      <c r="I617" s="10" t="str">
        <f>IF(OR(Cleaned_datasetB[[#This Row],[Day_Code]]=0,Cleaned_datasetB[[#This Row],[Day_Code]]=6),"Weekend","Weekday")</f>
        <v>Weekday</v>
      </c>
      <c r="J617" s="10">
        <v>2</v>
      </c>
      <c r="K617" s="10">
        <v>0.22</v>
      </c>
      <c r="L617" s="51">
        <v>0.2273</v>
      </c>
      <c r="M617" s="10">
        <v>0.75</v>
      </c>
      <c r="N617" s="10">
        <v>0.1343</v>
      </c>
      <c r="O617" s="10">
        <v>1</v>
      </c>
      <c r="P617" s="10">
        <v>57</v>
      </c>
      <c r="Q617" s="10">
        <v>58</v>
      </c>
      <c r="R617" s="10" t="str">
        <f>VLOOKUP(Cleaned_datasetB[[#This Row],[Weather_Code]],Lookup_Tables!$E$9:$F$13,2,FALSE)</f>
        <v>Cloudy</v>
      </c>
      <c r="S617" s="10" t="str">
        <f>INDEX(Lookup_Tables!$I$10:$I$16,MATCH(Cleaned_datasetB[[#This Row],[Day_Code]],Lookup_Tables!$H$10:$H$16,0))</f>
        <v>Friday</v>
      </c>
      <c r="T617" s="10" t="str">
        <f>VLOOKUP(Cleaned_datasetB[[#This Row],[Month]], Lookup_Tables!$K$8:$L$19, 2, FALSE)</f>
        <v>January</v>
      </c>
      <c r="U617" s="10" t="str">
        <f>IF(AND(Cleaned_datasetB[[#This Row],[Day_Type]]="Weekday",Cleaned_datasetB[[#This Row],[Is_Holiday]]=FALSE),"Working Day","Non-Working Day")</f>
        <v>Working Day</v>
      </c>
    </row>
    <row r="618" spans="1:21">
      <c r="A618" s="10">
        <v>617</v>
      </c>
      <c r="B618" s="23">
        <v>40571</v>
      </c>
      <c r="C618" s="10">
        <v>1</v>
      </c>
      <c r="D618" s="10">
        <v>0</v>
      </c>
      <c r="E618" s="10">
        <v>1</v>
      </c>
      <c r="F618" s="10">
        <v>22</v>
      </c>
      <c r="G618" s="10" t="b">
        <v>0</v>
      </c>
      <c r="H618" s="10">
        <v>5</v>
      </c>
      <c r="I618" s="10" t="str">
        <f>IF(OR(Cleaned_datasetB[[#This Row],[Day_Code]]=0,Cleaned_datasetB[[#This Row],[Day_Code]]=6),"Weekend","Weekday")</f>
        <v>Weekday</v>
      </c>
      <c r="J618" s="10">
        <v>1</v>
      </c>
      <c r="K618" s="10">
        <v>0.24</v>
      </c>
      <c r="L618" s="51">
        <v>0.21210000000000001</v>
      </c>
      <c r="M618" s="10">
        <v>0.65</v>
      </c>
      <c r="N618" s="10">
        <v>0.35820000000000002</v>
      </c>
      <c r="O618" s="10">
        <v>0</v>
      </c>
      <c r="P618" s="10">
        <v>26</v>
      </c>
      <c r="Q618" s="10">
        <v>26</v>
      </c>
      <c r="R618" s="10" t="str">
        <f>VLOOKUP(Cleaned_datasetB[[#This Row],[Weather_Code]],Lookup_Tables!$E$9:$F$13,2,FALSE)</f>
        <v>Clear</v>
      </c>
      <c r="S618" s="10" t="str">
        <f>INDEX(Lookup_Tables!$I$10:$I$16,MATCH(Cleaned_datasetB[[#This Row],[Day_Code]],Lookup_Tables!$H$10:$H$16,0))</f>
        <v>Friday</v>
      </c>
      <c r="T618" s="10" t="str">
        <f>VLOOKUP(Cleaned_datasetB[[#This Row],[Month]], Lookup_Tables!$K$8:$L$19, 2, FALSE)</f>
        <v>January</v>
      </c>
      <c r="U618" s="10" t="str">
        <f>IF(AND(Cleaned_datasetB[[#This Row],[Day_Type]]="Weekday",Cleaned_datasetB[[#This Row],[Is_Holiday]]=FALSE),"Working Day","Non-Working Day")</f>
        <v>Working Day</v>
      </c>
    </row>
    <row r="619" spans="1:21">
      <c r="A619" s="10">
        <v>618</v>
      </c>
      <c r="B619" s="23">
        <v>40571</v>
      </c>
      <c r="C619" s="10">
        <v>1</v>
      </c>
      <c r="D619" s="10">
        <v>0</v>
      </c>
      <c r="E619" s="10">
        <v>1</v>
      </c>
      <c r="F619" s="10">
        <v>23</v>
      </c>
      <c r="G619" s="10" t="b">
        <v>0</v>
      </c>
      <c r="H619" s="10">
        <v>5</v>
      </c>
      <c r="I619" s="10" t="str">
        <f>IF(OR(Cleaned_datasetB[[#This Row],[Day_Code]]=0,Cleaned_datasetB[[#This Row],[Day_Code]]=6),"Weekend","Weekday")</f>
        <v>Weekday</v>
      </c>
      <c r="J619" s="10">
        <v>1</v>
      </c>
      <c r="K619" s="10">
        <v>0.24</v>
      </c>
      <c r="L619" s="51">
        <v>0.2273</v>
      </c>
      <c r="M619" s="10">
        <v>0.6</v>
      </c>
      <c r="N619" s="10">
        <v>0.22389999999999999</v>
      </c>
      <c r="O619" s="10">
        <v>1</v>
      </c>
      <c r="P619" s="10">
        <v>22</v>
      </c>
      <c r="Q619" s="10">
        <v>23</v>
      </c>
      <c r="R619" s="10" t="str">
        <f>VLOOKUP(Cleaned_datasetB[[#This Row],[Weather_Code]],Lookup_Tables!$E$9:$F$13,2,FALSE)</f>
        <v>Clear</v>
      </c>
      <c r="S619" s="10" t="str">
        <f>INDEX(Lookup_Tables!$I$10:$I$16,MATCH(Cleaned_datasetB[[#This Row],[Day_Code]],Lookup_Tables!$H$10:$H$16,0))</f>
        <v>Friday</v>
      </c>
      <c r="T619" s="10" t="str">
        <f>VLOOKUP(Cleaned_datasetB[[#This Row],[Month]], Lookup_Tables!$K$8:$L$19, 2, FALSE)</f>
        <v>January</v>
      </c>
      <c r="U619" s="10" t="str">
        <f>IF(AND(Cleaned_datasetB[[#This Row],[Day_Type]]="Weekday",Cleaned_datasetB[[#This Row],[Is_Holiday]]=FALSE),"Working Day","Non-Working Day")</f>
        <v>Working Day</v>
      </c>
    </row>
    <row r="620" spans="1:21">
      <c r="A620" s="10">
        <v>619</v>
      </c>
      <c r="B620" s="23">
        <v>40572</v>
      </c>
      <c r="C620" s="10">
        <v>1</v>
      </c>
      <c r="D620" s="10">
        <v>0</v>
      </c>
      <c r="E620" s="10">
        <v>1</v>
      </c>
      <c r="F620" s="10">
        <v>0</v>
      </c>
      <c r="G620" s="10" t="b">
        <v>0</v>
      </c>
      <c r="H620" s="10">
        <v>6</v>
      </c>
      <c r="I620" s="10" t="str">
        <f>IF(OR(Cleaned_datasetB[[#This Row],[Day_Code]]=0,Cleaned_datasetB[[#This Row],[Day_Code]]=6),"Weekend","Weekday")</f>
        <v>Weekend</v>
      </c>
      <c r="J620" s="10">
        <v>1</v>
      </c>
      <c r="K620" s="10">
        <v>0.22</v>
      </c>
      <c r="L620" s="51">
        <v>0.19700000000000001</v>
      </c>
      <c r="M620" s="10">
        <v>0.64</v>
      </c>
      <c r="N620" s="10">
        <v>0.35820000000000002</v>
      </c>
      <c r="O620" s="10">
        <v>2</v>
      </c>
      <c r="P620" s="10">
        <v>26</v>
      </c>
      <c r="Q620" s="10">
        <v>28</v>
      </c>
      <c r="R620" s="10" t="str">
        <f>VLOOKUP(Cleaned_datasetB[[#This Row],[Weather_Code]],Lookup_Tables!$E$9:$F$13,2,FALSE)</f>
        <v>Clear</v>
      </c>
      <c r="S620" s="10" t="str">
        <f>INDEX(Lookup_Tables!$I$10:$I$16,MATCH(Cleaned_datasetB[[#This Row],[Day_Code]],Lookup_Tables!$H$10:$H$16,0))</f>
        <v>Saturday</v>
      </c>
      <c r="T620" s="10" t="str">
        <f>VLOOKUP(Cleaned_datasetB[[#This Row],[Month]], Lookup_Tables!$K$8:$L$19, 2, FALSE)</f>
        <v>January</v>
      </c>
      <c r="U620" s="10" t="str">
        <f>IF(AND(Cleaned_datasetB[[#This Row],[Day_Type]]="Weekday",Cleaned_datasetB[[#This Row],[Is_Holiday]]=FALSE),"Working Day","Non-Working Day")</f>
        <v>Non-Working Day</v>
      </c>
    </row>
    <row r="621" spans="1:21">
      <c r="A621" s="10">
        <v>620</v>
      </c>
      <c r="B621" s="23">
        <v>40572</v>
      </c>
      <c r="C621" s="10">
        <v>1</v>
      </c>
      <c r="D621" s="10">
        <v>0</v>
      </c>
      <c r="E621" s="10">
        <v>1</v>
      </c>
      <c r="F621" s="10">
        <v>1</v>
      </c>
      <c r="G621" s="10" t="b">
        <v>0</v>
      </c>
      <c r="H621" s="10">
        <v>6</v>
      </c>
      <c r="I621" s="10" t="str">
        <f>IF(OR(Cleaned_datasetB[[#This Row],[Day_Code]]=0,Cleaned_datasetB[[#This Row],[Day_Code]]=6),"Weekend","Weekday")</f>
        <v>Weekend</v>
      </c>
      <c r="J621" s="10">
        <v>1</v>
      </c>
      <c r="K621" s="10">
        <v>0.22</v>
      </c>
      <c r="L621" s="51">
        <v>0.2273</v>
      </c>
      <c r="M621" s="10">
        <v>0.64</v>
      </c>
      <c r="N621" s="10">
        <v>0.19400000000000001</v>
      </c>
      <c r="O621" s="10">
        <v>0</v>
      </c>
      <c r="P621" s="10">
        <v>20</v>
      </c>
      <c r="Q621" s="10">
        <v>20</v>
      </c>
      <c r="R621" s="10" t="str">
        <f>VLOOKUP(Cleaned_datasetB[[#This Row],[Weather_Code]],Lookup_Tables!$E$9:$F$13,2,FALSE)</f>
        <v>Clear</v>
      </c>
      <c r="S621" s="10" t="str">
        <f>INDEX(Lookup_Tables!$I$10:$I$16,MATCH(Cleaned_datasetB[[#This Row],[Day_Code]],Lookup_Tables!$H$10:$H$16,0))</f>
        <v>Saturday</v>
      </c>
      <c r="T621" s="10" t="str">
        <f>VLOOKUP(Cleaned_datasetB[[#This Row],[Month]], Lookup_Tables!$K$8:$L$19, 2, FALSE)</f>
        <v>January</v>
      </c>
      <c r="U621" s="10" t="str">
        <f>IF(AND(Cleaned_datasetB[[#This Row],[Day_Type]]="Weekday",Cleaned_datasetB[[#This Row],[Is_Holiday]]=FALSE),"Working Day","Non-Working Day")</f>
        <v>Non-Working Day</v>
      </c>
    </row>
    <row r="622" spans="1:21">
      <c r="A622" s="10">
        <v>621</v>
      </c>
      <c r="B622" s="23">
        <v>40572</v>
      </c>
      <c r="C622" s="10">
        <v>1</v>
      </c>
      <c r="D622" s="10">
        <v>0</v>
      </c>
      <c r="E622" s="10">
        <v>1</v>
      </c>
      <c r="F622" s="10">
        <v>2</v>
      </c>
      <c r="G622" s="10" t="b">
        <v>0</v>
      </c>
      <c r="H622" s="10">
        <v>6</v>
      </c>
      <c r="I622" s="10" t="str">
        <f>IF(OR(Cleaned_datasetB[[#This Row],[Day_Code]]=0,Cleaned_datasetB[[#This Row],[Day_Code]]=6),"Weekend","Weekday")</f>
        <v>Weekend</v>
      </c>
      <c r="J622" s="10">
        <v>1</v>
      </c>
      <c r="K622" s="10">
        <v>0.22</v>
      </c>
      <c r="L622" s="51">
        <v>0.2273</v>
      </c>
      <c r="M622" s="10">
        <v>0.64</v>
      </c>
      <c r="N622" s="10">
        <v>0.16420000000000001</v>
      </c>
      <c r="O622" s="10">
        <v>0</v>
      </c>
      <c r="P622" s="10">
        <v>15</v>
      </c>
      <c r="Q622" s="10">
        <v>15</v>
      </c>
      <c r="R622" s="10" t="str">
        <f>VLOOKUP(Cleaned_datasetB[[#This Row],[Weather_Code]],Lookup_Tables!$E$9:$F$13,2,FALSE)</f>
        <v>Clear</v>
      </c>
      <c r="S622" s="10" t="str">
        <f>INDEX(Lookup_Tables!$I$10:$I$16,MATCH(Cleaned_datasetB[[#This Row],[Day_Code]],Lookup_Tables!$H$10:$H$16,0))</f>
        <v>Saturday</v>
      </c>
      <c r="T622" s="10" t="str">
        <f>VLOOKUP(Cleaned_datasetB[[#This Row],[Month]], Lookup_Tables!$K$8:$L$19, 2, FALSE)</f>
        <v>January</v>
      </c>
      <c r="U622" s="10" t="str">
        <f>IF(AND(Cleaned_datasetB[[#This Row],[Day_Type]]="Weekday",Cleaned_datasetB[[#This Row],[Is_Holiday]]=FALSE),"Working Day","Non-Working Day")</f>
        <v>Non-Working Day</v>
      </c>
    </row>
    <row r="623" spans="1:21">
      <c r="A623" s="10">
        <v>622</v>
      </c>
      <c r="B623" s="23">
        <v>40572</v>
      </c>
      <c r="C623" s="10">
        <v>1</v>
      </c>
      <c r="D623" s="10">
        <v>0</v>
      </c>
      <c r="E623" s="10">
        <v>1</v>
      </c>
      <c r="F623" s="10">
        <v>3</v>
      </c>
      <c r="G623" s="10" t="b">
        <v>0</v>
      </c>
      <c r="H623" s="10">
        <v>6</v>
      </c>
      <c r="I623" s="10" t="str">
        <f>IF(OR(Cleaned_datasetB[[#This Row],[Day_Code]]=0,Cleaned_datasetB[[#This Row],[Day_Code]]=6),"Weekend","Weekday")</f>
        <v>Weekend</v>
      </c>
      <c r="J623" s="10">
        <v>1</v>
      </c>
      <c r="K623" s="10">
        <v>0.2</v>
      </c>
      <c r="L623" s="51">
        <v>0.21210000000000001</v>
      </c>
      <c r="M623" s="10">
        <v>0.64</v>
      </c>
      <c r="N623" s="10">
        <v>0.1343</v>
      </c>
      <c r="O623" s="10">
        <v>3</v>
      </c>
      <c r="P623" s="10">
        <v>5</v>
      </c>
      <c r="Q623" s="10">
        <v>8</v>
      </c>
      <c r="R623" s="10" t="str">
        <f>VLOOKUP(Cleaned_datasetB[[#This Row],[Weather_Code]],Lookup_Tables!$E$9:$F$13,2,FALSE)</f>
        <v>Clear</v>
      </c>
      <c r="S623" s="10" t="str">
        <f>INDEX(Lookup_Tables!$I$10:$I$16,MATCH(Cleaned_datasetB[[#This Row],[Day_Code]],Lookup_Tables!$H$10:$H$16,0))</f>
        <v>Saturday</v>
      </c>
      <c r="T623" s="10" t="str">
        <f>VLOOKUP(Cleaned_datasetB[[#This Row],[Month]], Lookup_Tables!$K$8:$L$19, 2, FALSE)</f>
        <v>January</v>
      </c>
      <c r="U623" s="10" t="str">
        <f>IF(AND(Cleaned_datasetB[[#This Row],[Day_Type]]="Weekday",Cleaned_datasetB[[#This Row],[Is_Holiday]]=FALSE),"Working Day","Non-Working Day")</f>
        <v>Non-Working Day</v>
      </c>
    </row>
    <row r="624" spans="1:21">
      <c r="A624" s="10">
        <v>623</v>
      </c>
      <c r="B624" s="23">
        <v>40572</v>
      </c>
      <c r="C624" s="10">
        <v>1</v>
      </c>
      <c r="D624" s="10">
        <v>0</v>
      </c>
      <c r="E624" s="10">
        <v>1</v>
      </c>
      <c r="F624" s="10">
        <v>4</v>
      </c>
      <c r="G624" s="10" t="b">
        <v>0</v>
      </c>
      <c r="H624" s="10">
        <v>6</v>
      </c>
      <c r="I624" s="10" t="str">
        <f>IF(OR(Cleaned_datasetB[[#This Row],[Day_Code]]=0,Cleaned_datasetB[[#This Row],[Day_Code]]=6),"Weekend","Weekday")</f>
        <v>Weekend</v>
      </c>
      <c r="J624" s="10">
        <v>1</v>
      </c>
      <c r="K624" s="10">
        <v>0.16</v>
      </c>
      <c r="L624" s="51">
        <v>0.18179999999999999</v>
      </c>
      <c r="M624" s="10">
        <v>0.69</v>
      </c>
      <c r="N624" s="10">
        <v>0.1045</v>
      </c>
      <c r="O624" s="10">
        <v>1</v>
      </c>
      <c r="P624" s="10">
        <v>2</v>
      </c>
      <c r="Q624" s="10">
        <v>3</v>
      </c>
      <c r="R624" s="10" t="str">
        <f>VLOOKUP(Cleaned_datasetB[[#This Row],[Weather_Code]],Lookup_Tables!$E$9:$F$13,2,FALSE)</f>
        <v>Clear</v>
      </c>
      <c r="S624" s="10" t="str">
        <f>INDEX(Lookup_Tables!$I$10:$I$16,MATCH(Cleaned_datasetB[[#This Row],[Day_Code]],Lookup_Tables!$H$10:$H$16,0))</f>
        <v>Saturday</v>
      </c>
      <c r="T624" s="10" t="str">
        <f>VLOOKUP(Cleaned_datasetB[[#This Row],[Month]], Lookup_Tables!$K$8:$L$19, 2, FALSE)</f>
        <v>January</v>
      </c>
      <c r="U624" s="10" t="str">
        <f>IF(AND(Cleaned_datasetB[[#This Row],[Day_Type]]="Weekday",Cleaned_datasetB[[#This Row],[Is_Holiday]]=FALSE),"Working Day","Non-Working Day")</f>
        <v>Non-Working Day</v>
      </c>
    </row>
    <row r="625" spans="1:21">
      <c r="A625" s="10">
        <v>624</v>
      </c>
      <c r="B625" s="23">
        <v>40572</v>
      </c>
      <c r="C625" s="10">
        <v>1</v>
      </c>
      <c r="D625" s="10">
        <v>0</v>
      </c>
      <c r="E625" s="10">
        <v>1</v>
      </c>
      <c r="F625" s="10">
        <v>6</v>
      </c>
      <c r="G625" s="10" t="b">
        <v>0</v>
      </c>
      <c r="H625" s="10">
        <v>6</v>
      </c>
      <c r="I625" s="10" t="str">
        <f>IF(OR(Cleaned_datasetB[[#This Row],[Day_Code]]=0,Cleaned_datasetB[[#This Row],[Day_Code]]=6),"Weekend","Weekday")</f>
        <v>Weekend</v>
      </c>
      <c r="J625" s="10">
        <v>1</v>
      </c>
      <c r="K625" s="10">
        <v>0.16</v>
      </c>
      <c r="L625" s="51">
        <v>0.18179999999999999</v>
      </c>
      <c r="M625" s="10">
        <v>0.64</v>
      </c>
      <c r="N625" s="10">
        <v>0.1343</v>
      </c>
      <c r="O625" s="10">
        <v>0</v>
      </c>
      <c r="P625" s="10">
        <v>2</v>
      </c>
      <c r="Q625" s="10">
        <v>2</v>
      </c>
      <c r="R625" s="10" t="str">
        <f>VLOOKUP(Cleaned_datasetB[[#This Row],[Weather_Code]],Lookup_Tables!$E$9:$F$13,2,FALSE)</f>
        <v>Clear</v>
      </c>
      <c r="S625" s="10" t="str">
        <f>INDEX(Lookup_Tables!$I$10:$I$16,MATCH(Cleaned_datasetB[[#This Row],[Day_Code]],Lookup_Tables!$H$10:$H$16,0))</f>
        <v>Saturday</v>
      </c>
      <c r="T625" s="10" t="str">
        <f>VLOOKUP(Cleaned_datasetB[[#This Row],[Month]], Lookup_Tables!$K$8:$L$19, 2, FALSE)</f>
        <v>January</v>
      </c>
      <c r="U625" s="10" t="str">
        <f>IF(AND(Cleaned_datasetB[[#This Row],[Day_Type]]="Weekday",Cleaned_datasetB[[#This Row],[Is_Holiday]]=FALSE),"Working Day","Non-Working Day")</f>
        <v>Non-Working Day</v>
      </c>
    </row>
    <row r="626" spans="1:21">
      <c r="A626" s="10">
        <v>625</v>
      </c>
      <c r="B626" s="23">
        <v>40572</v>
      </c>
      <c r="C626" s="10">
        <v>1</v>
      </c>
      <c r="D626" s="10">
        <v>0</v>
      </c>
      <c r="E626" s="10">
        <v>1</v>
      </c>
      <c r="F626" s="10">
        <v>7</v>
      </c>
      <c r="G626" s="10" t="b">
        <v>0</v>
      </c>
      <c r="H626" s="10">
        <v>6</v>
      </c>
      <c r="I626" s="10" t="str">
        <f>IF(OR(Cleaned_datasetB[[#This Row],[Day_Code]]=0,Cleaned_datasetB[[#This Row],[Day_Code]]=6),"Weekend","Weekday")</f>
        <v>Weekend</v>
      </c>
      <c r="J626" s="10">
        <v>1</v>
      </c>
      <c r="K626" s="10">
        <v>0.16</v>
      </c>
      <c r="L626" s="51">
        <v>0.18179999999999999</v>
      </c>
      <c r="M626" s="10">
        <v>0.59</v>
      </c>
      <c r="N626" s="10">
        <v>0.1045</v>
      </c>
      <c r="O626" s="10">
        <v>1</v>
      </c>
      <c r="P626" s="10">
        <v>4</v>
      </c>
      <c r="Q626" s="10">
        <v>5</v>
      </c>
      <c r="R626" s="10" t="str">
        <f>VLOOKUP(Cleaned_datasetB[[#This Row],[Weather_Code]],Lookup_Tables!$E$9:$F$13,2,FALSE)</f>
        <v>Clear</v>
      </c>
      <c r="S626" s="10" t="str">
        <f>INDEX(Lookup_Tables!$I$10:$I$16,MATCH(Cleaned_datasetB[[#This Row],[Day_Code]],Lookup_Tables!$H$10:$H$16,0))</f>
        <v>Saturday</v>
      </c>
      <c r="T626" s="10" t="str">
        <f>VLOOKUP(Cleaned_datasetB[[#This Row],[Month]], Lookup_Tables!$K$8:$L$19, 2, FALSE)</f>
        <v>January</v>
      </c>
      <c r="U626" s="10" t="str">
        <f>IF(AND(Cleaned_datasetB[[#This Row],[Day_Type]]="Weekday",Cleaned_datasetB[[#This Row],[Is_Holiday]]=FALSE),"Working Day","Non-Working Day")</f>
        <v>Non-Working Day</v>
      </c>
    </row>
    <row r="627" spans="1:21">
      <c r="A627" s="10">
        <v>626</v>
      </c>
      <c r="B627" s="23">
        <v>40572</v>
      </c>
      <c r="C627" s="10">
        <v>1</v>
      </c>
      <c r="D627" s="10">
        <v>0</v>
      </c>
      <c r="E627" s="10">
        <v>1</v>
      </c>
      <c r="F627" s="10">
        <v>8</v>
      </c>
      <c r="G627" s="10" t="b">
        <v>0</v>
      </c>
      <c r="H627" s="10">
        <v>6</v>
      </c>
      <c r="I627" s="10" t="str">
        <f>IF(OR(Cleaned_datasetB[[#This Row],[Day_Code]]=0,Cleaned_datasetB[[#This Row],[Day_Code]]=6),"Weekend","Weekday")</f>
        <v>Weekend</v>
      </c>
      <c r="J627" s="10">
        <v>1</v>
      </c>
      <c r="K627" s="10">
        <v>0.18</v>
      </c>
      <c r="L627" s="51">
        <v>0.19700000000000001</v>
      </c>
      <c r="M627" s="10">
        <v>0.55000000000000004</v>
      </c>
      <c r="N627" s="10">
        <v>0.16420000000000001</v>
      </c>
      <c r="O627" s="10">
        <v>3</v>
      </c>
      <c r="P627" s="10">
        <v>31</v>
      </c>
      <c r="Q627" s="10">
        <v>34</v>
      </c>
      <c r="R627" s="10" t="str">
        <f>VLOOKUP(Cleaned_datasetB[[#This Row],[Weather_Code]],Lookup_Tables!$E$9:$F$13,2,FALSE)</f>
        <v>Clear</v>
      </c>
      <c r="S627" s="10" t="str">
        <f>INDEX(Lookup_Tables!$I$10:$I$16,MATCH(Cleaned_datasetB[[#This Row],[Day_Code]],Lookup_Tables!$H$10:$H$16,0))</f>
        <v>Saturday</v>
      </c>
      <c r="T627" s="10" t="str">
        <f>VLOOKUP(Cleaned_datasetB[[#This Row],[Month]], Lookup_Tables!$K$8:$L$19, 2, FALSE)</f>
        <v>January</v>
      </c>
      <c r="U627" s="10" t="str">
        <f>IF(AND(Cleaned_datasetB[[#This Row],[Day_Type]]="Weekday",Cleaned_datasetB[[#This Row],[Is_Holiday]]=FALSE),"Working Day","Non-Working Day")</f>
        <v>Non-Working Day</v>
      </c>
    </row>
    <row r="628" spans="1:21">
      <c r="A628" s="10">
        <v>627</v>
      </c>
      <c r="B628" s="23">
        <v>40572</v>
      </c>
      <c r="C628" s="10">
        <v>1</v>
      </c>
      <c r="D628" s="10">
        <v>0</v>
      </c>
      <c r="E628" s="10">
        <v>1</v>
      </c>
      <c r="F628" s="10">
        <v>9</v>
      </c>
      <c r="G628" s="10" t="b">
        <v>0</v>
      </c>
      <c r="H628" s="10">
        <v>6</v>
      </c>
      <c r="I628" s="10" t="str">
        <f>IF(OR(Cleaned_datasetB[[#This Row],[Day_Code]]=0,Cleaned_datasetB[[#This Row],[Day_Code]]=6),"Weekend","Weekday")</f>
        <v>Weekend</v>
      </c>
      <c r="J628" s="10">
        <v>1</v>
      </c>
      <c r="K628" s="10">
        <v>0.18</v>
      </c>
      <c r="L628" s="51">
        <v>0.21210000000000001</v>
      </c>
      <c r="M628" s="10">
        <v>0.59</v>
      </c>
      <c r="N628" s="10">
        <v>8.9599999999999999E-2</v>
      </c>
      <c r="O628" s="10">
        <v>0</v>
      </c>
      <c r="P628" s="10">
        <v>34</v>
      </c>
      <c r="Q628" s="10">
        <v>34</v>
      </c>
      <c r="R628" s="10" t="str">
        <f>VLOOKUP(Cleaned_datasetB[[#This Row],[Weather_Code]],Lookup_Tables!$E$9:$F$13,2,FALSE)</f>
        <v>Clear</v>
      </c>
      <c r="S628" s="10" t="str">
        <f>INDEX(Lookup_Tables!$I$10:$I$16,MATCH(Cleaned_datasetB[[#This Row],[Day_Code]],Lookup_Tables!$H$10:$H$16,0))</f>
        <v>Saturday</v>
      </c>
      <c r="T628" s="10" t="str">
        <f>VLOOKUP(Cleaned_datasetB[[#This Row],[Month]], Lookup_Tables!$K$8:$L$19, 2, FALSE)</f>
        <v>January</v>
      </c>
      <c r="U628" s="10" t="str">
        <f>IF(AND(Cleaned_datasetB[[#This Row],[Day_Type]]="Weekday",Cleaned_datasetB[[#This Row],[Is_Holiday]]=FALSE),"Working Day","Non-Working Day")</f>
        <v>Non-Working Day</v>
      </c>
    </row>
    <row r="629" spans="1:21">
      <c r="A629" s="10">
        <v>628</v>
      </c>
      <c r="B629" s="23">
        <v>40572</v>
      </c>
      <c r="C629" s="10">
        <v>1</v>
      </c>
      <c r="D629" s="10">
        <v>0</v>
      </c>
      <c r="E629" s="10">
        <v>1</v>
      </c>
      <c r="F629" s="10">
        <v>10</v>
      </c>
      <c r="G629" s="10" t="b">
        <v>0</v>
      </c>
      <c r="H629" s="10">
        <v>6</v>
      </c>
      <c r="I629" s="10" t="str">
        <f>IF(OR(Cleaned_datasetB[[#This Row],[Day_Code]]=0,Cleaned_datasetB[[#This Row],[Day_Code]]=6),"Weekend","Weekday")</f>
        <v>Weekend</v>
      </c>
      <c r="J629" s="10">
        <v>2</v>
      </c>
      <c r="K629" s="10">
        <v>0.18</v>
      </c>
      <c r="L629" s="51">
        <v>0.21210000000000001</v>
      </c>
      <c r="M629" s="10">
        <v>0.64</v>
      </c>
      <c r="N629" s="10">
        <v>0.1045</v>
      </c>
      <c r="O629" s="10">
        <v>4</v>
      </c>
      <c r="P629" s="10">
        <v>51</v>
      </c>
      <c r="Q629" s="10">
        <v>55</v>
      </c>
      <c r="R629" s="10" t="str">
        <f>VLOOKUP(Cleaned_datasetB[[#This Row],[Weather_Code]],Lookup_Tables!$E$9:$F$13,2,FALSE)</f>
        <v>Cloudy</v>
      </c>
      <c r="S629" s="10" t="str">
        <f>INDEX(Lookup_Tables!$I$10:$I$16,MATCH(Cleaned_datasetB[[#This Row],[Day_Code]],Lookup_Tables!$H$10:$H$16,0))</f>
        <v>Saturday</v>
      </c>
      <c r="T629" s="10" t="str">
        <f>VLOOKUP(Cleaned_datasetB[[#This Row],[Month]], Lookup_Tables!$K$8:$L$19, 2, FALSE)</f>
        <v>January</v>
      </c>
      <c r="U629" s="10" t="str">
        <f>IF(AND(Cleaned_datasetB[[#This Row],[Day_Type]]="Weekday",Cleaned_datasetB[[#This Row],[Is_Holiday]]=FALSE),"Working Day","Non-Working Day")</f>
        <v>Non-Working Day</v>
      </c>
    </row>
    <row r="630" spans="1:21">
      <c r="A630" s="10">
        <v>629</v>
      </c>
      <c r="B630" s="23">
        <v>40572</v>
      </c>
      <c r="C630" s="10">
        <v>1</v>
      </c>
      <c r="D630" s="10">
        <v>0</v>
      </c>
      <c r="E630" s="10">
        <v>1</v>
      </c>
      <c r="F630" s="10">
        <v>11</v>
      </c>
      <c r="G630" s="10" t="b">
        <v>0</v>
      </c>
      <c r="H630" s="10">
        <v>6</v>
      </c>
      <c r="I630" s="10" t="str">
        <f>IF(OR(Cleaned_datasetB[[#This Row],[Day_Code]]=0,Cleaned_datasetB[[#This Row],[Day_Code]]=6),"Weekend","Weekday")</f>
        <v>Weekend</v>
      </c>
      <c r="J630" s="10">
        <v>2</v>
      </c>
      <c r="K630" s="10">
        <v>0.18</v>
      </c>
      <c r="L630" s="51">
        <v>0.19700000000000001</v>
      </c>
      <c r="M630" s="10">
        <v>0.64</v>
      </c>
      <c r="N630" s="10">
        <v>0.1343</v>
      </c>
      <c r="O630" s="10">
        <v>4</v>
      </c>
      <c r="P630" s="10">
        <v>60</v>
      </c>
      <c r="Q630" s="10">
        <v>64</v>
      </c>
      <c r="R630" s="10" t="str">
        <f>VLOOKUP(Cleaned_datasetB[[#This Row],[Weather_Code]],Lookup_Tables!$E$9:$F$13,2,FALSE)</f>
        <v>Cloudy</v>
      </c>
      <c r="S630" s="10" t="str">
        <f>INDEX(Lookup_Tables!$I$10:$I$16,MATCH(Cleaned_datasetB[[#This Row],[Day_Code]],Lookup_Tables!$H$10:$H$16,0))</f>
        <v>Saturday</v>
      </c>
      <c r="T630" s="10" t="str">
        <f>VLOOKUP(Cleaned_datasetB[[#This Row],[Month]], Lookup_Tables!$K$8:$L$19, 2, FALSE)</f>
        <v>January</v>
      </c>
      <c r="U630" s="10" t="str">
        <f>IF(AND(Cleaned_datasetB[[#This Row],[Day_Type]]="Weekday",Cleaned_datasetB[[#This Row],[Is_Holiday]]=FALSE),"Working Day","Non-Working Day")</f>
        <v>Non-Working Day</v>
      </c>
    </row>
    <row r="631" spans="1:21">
      <c r="A631" s="10">
        <v>630</v>
      </c>
      <c r="B631" s="23">
        <v>40572</v>
      </c>
      <c r="C631" s="10">
        <v>1</v>
      </c>
      <c r="D631" s="10">
        <v>0</v>
      </c>
      <c r="E631" s="10">
        <v>1</v>
      </c>
      <c r="F631" s="10">
        <v>12</v>
      </c>
      <c r="G631" s="10" t="b">
        <v>0</v>
      </c>
      <c r="H631" s="10">
        <v>6</v>
      </c>
      <c r="I631" s="10" t="str">
        <f>IF(OR(Cleaned_datasetB[[#This Row],[Day_Code]]=0,Cleaned_datasetB[[#This Row],[Day_Code]]=6),"Weekend","Weekday")</f>
        <v>Weekend</v>
      </c>
      <c r="J631" s="10">
        <v>2</v>
      </c>
      <c r="K631" s="10">
        <v>0.2</v>
      </c>
      <c r="L631" s="51">
        <v>0.19700000000000001</v>
      </c>
      <c r="M631" s="10">
        <v>0.59</v>
      </c>
      <c r="N631" s="10">
        <v>0.19400000000000001</v>
      </c>
      <c r="O631" s="10">
        <v>12</v>
      </c>
      <c r="P631" s="10">
        <v>66</v>
      </c>
      <c r="Q631" s="10">
        <v>78</v>
      </c>
      <c r="R631" s="10" t="str">
        <f>VLOOKUP(Cleaned_datasetB[[#This Row],[Weather_Code]],Lookup_Tables!$E$9:$F$13,2,FALSE)</f>
        <v>Cloudy</v>
      </c>
      <c r="S631" s="10" t="str">
        <f>INDEX(Lookup_Tables!$I$10:$I$16,MATCH(Cleaned_datasetB[[#This Row],[Day_Code]],Lookup_Tables!$H$10:$H$16,0))</f>
        <v>Saturday</v>
      </c>
      <c r="T631" s="10" t="str">
        <f>VLOOKUP(Cleaned_datasetB[[#This Row],[Month]], Lookup_Tables!$K$8:$L$19, 2, FALSE)</f>
        <v>January</v>
      </c>
      <c r="U631" s="10" t="str">
        <f>IF(AND(Cleaned_datasetB[[#This Row],[Day_Type]]="Weekday",Cleaned_datasetB[[#This Row],[Is_Holiday]]=FALSE),"Working Day","Non-Working Day")</f>
        <v>Non-Working Day</v>
      </c>
    </row>
    <row r="632" spans="1:21">
      <c r="A632" s="10">
        <v>631</v>
      </c>
      <c r="B632" s="23">
        <v>40572</v>
      </c>
      <c r="C632" s="10">
        <v>1</v>
      </c>
      <c r="D632" s="10">
        <v>0</v>
      </c>
      <c r="E632" s="10">
        <v>1</v>
      </c>
      <c r="F632" s="10">
        <v>13</v>
      </c>
      <c r="G632" s="10" t="b">
        <v>0</v>
      </c>
      <c r="H632" s="10">
        <v>6</v>
      </c>
      <c r="I632" s="10" t="str">
        <f>IF(OR(Cleaned_datasetB[[#This Row],[Day_Code]]=0,Cleaned_datasetB[[#This Row],[Day_Code]]=6),"Weekend","Weekday")</f>
        <v>Weekend</v>
      </c>
      <c r="J632" s="10">
        <v>2</v>
      </c>
      <c r="K632" s="10">
        <v>0.22</v>
      </c>
      <c r="L632" s="51">
        <v>0.2273</v>
      </c>
      <c r="M632" s="10">
        <v>0.55000000000000004</v>
      </c>
      <c r="N632" s="10">
        <v>0.16420000000000001</v>
      </c>
      <c r="O632" s="10">
        <v>9</v>
      </c>
      <c r="P632" s="10">
        <v>56</v>
      </c>
      <c r="Q632" s="10">
        <v>65</v>
      </c>
      <c r="R632" s="10" t="str">
        <f>VLOOKUP(Cleaned_datasetB[[#This Row],[Weather_Code]],Lookup_Tables!$E$9:$F$13,2,FALSE)</f>
        <v>Cloudy</v>
      </c>
      <c r="S632" s="10" t="str">
        <f>INDEX(Lookup_Tables!$I$10:$I$16,MATCH(Cleaned_datasetB[[#This Row],[Day_Code]],Lookup_Tables!$H$10:$H$16,0))</f>
        <v>Saturday</v>
      </c>
      <c r="T632" s="10" t="str">
        <f>VLOOKUP(Cleaned_datasetB[[#This Row],[Month]], Lookup_Tables!$K$8:$L$19, 2, FALSE)</f>
        <v>January</v>
      </c>
      <c r="U632" s="10" t="str">
        <f>IF(AND(Cleaned_datasetB[[#This Row],[Day_Type]]="Weekday",Cleaned_datasetB[[#This Row],[Is_Holiday]]=FALSE),"Working Day","Non-Working Day")</f>
        <v>Non-Working Day</v>
      </c>
    </row>
    <row r="633" spans="1:21">
      <c r="A633" s="10">
        <v>632</v>
      </c>
      <c r="B633" s="23">
        <v>40572</v>
      </c>
      <c r="C633" s="10">
        <v>1</v>
      </c>
      <c r="D633" s="10">
        <v>0</v>
      </c>
      <c r="E633" s="10">
        <v>1</v>
      </c>
      <c r="F633" s="10">
        <v>14</v>
      </c>
      <c r="G633" s="10" t="b">
        <v>0</v>
      </c>
      <c r="H633" s="10">
        <v>6</v>
      </c>
      <c r="I633" s="10" t="str">
        <f>IF(OR(Cleaned_datasetB[[#This Row],[Day_Code]]=0,Cleaned_datasetB[[#This Row],[Day_Code]]=6),"Weekend","Weekday")</f>
        <v>Weekend</v>
      </c>
      <c r="J633" s="10">
        <v>2</v>
      </c>
      <c r="K633" s="10">
        <v>0.22</v>
      </c>
      <c r="L633" s="51">
        <v>0.2273</v>
      </c>
      <c r="M633" s="10">
        <v>0.6</v>
      </c>
      <c r="N633" s="10">
        <v>0.1343</v>
      </c>
      <c r="O633" s="10">
        <v>10</v>
      </c>
      <c r="P633" s="10">
        <v>89</v>
      </c>
      <c r="Q633" s="10">
        <v>99</v>
      </c>
      <c r="R633" s="10" t="str">
        <f>VLOOKUP(Cleaned_datasetB[[#This Row],[Weather_Code]],Lookup_Tables!$E$9:$F$13,2,FALSE)</f>
        <v>Cloudy</v>
      </c>
      <c r="S633" s="10" t="str">
        <f>INDEX(Lookup_Tables!$I$10:$I$16,MATCH(Cleaned_datasetB[[#This Row],[Day_Code]],Lookup_Tables!$H$10:$H$16,0))</f>
        <v>Saturday</v>
      </c>
      <c r="T633" s="10" t="str">
        <f>VLOOKUP(Cleaned_datasetB[[#This Row],[Month]], Lookup_Tables!$K$8:$L$19, 2, FALSE)</f>
        <v>January</v>
      </c>
      <c r="U633" s="10" t="str">
        <f>IF(AND(Cleaned_datasetB[[#This Row],[Day_Type]]="Weekday",Cleaned_datasetB[[#This Row],[Is_Holiday]]=FALSE),"Working Day","Non-Working Day")</f>
        <v>Non-Working Day</v>
      </c>
    </row>
    <row r="634" spans="1:21">
      <c r="A634" s="10">
        <v>633</v>
      </c>
      <c r="B634" s="23">
        <v>40572</v>
      </c>
      <c r="C634" s="10">
        <v>1</v>
      </c>
      <c r="D634" s="10">
        <v>0</v>
      </c>
      <c r="E634" s="10">
        <v>1</v>
      </c>
      <c r="F634" s="10">
        <v>15</v>
      </c>
      <c r="G634" s="10" t="b">
        <v>0</v>
      </c>
      <c r="H634" s="10">
        <v>6</v>
      </c>
      <c r="I634" s="10" t="str">
        <f>IF(OR(Cleaned_datasetB[[#This Row],[Day_Code]]=0,Cleaned_datasetB[[#This Row],[Day_Code]]=6),"Weekend","Weekday")</f>
        <v>Weekend</v>
      </c>
      <c r="J634" s="10">
        <v>1</v>
      </c>
      <c r="K634" s="10">
        <v>0.22</v>
      </c>
      <c r="L634" s="51">
        <v>0.21210000000000001</v>
      </c>
      <c r="M634" s="10">
        <v>0.69</v>
      </c>
      <c r="N634" s="10">
        <v>0.25369999999999998</v>
      </c>
      <c r="O634" s="10">
        <v>22</v>
      </c>
      <c r="P634" s="10">
        <v>98</v>
      </c>
      <c r="Q634" s="10">
        <v>120</v>
      </c>
      <c r="R634" s="10" t="str">
        <f>VLOOKUP(Cleaned_datasetB[[#This Row],[Weather_Code]],Lookup_Tables!$E$9:$F$13,2,FALSE)</f>
        <v>Clear</v>
      </c>
      <c r="S634" s="10" t="str">
        <f>INDEX(Lookup_Tables!$I$10:$I$16,MATCH(Cleaned_datasetB[[#This Row],[Day_Code]],Lookup_Tables!$H$10:$H$16,0))</f>
        <v>Saturday</v>
      </c>
      <c r="T634" s="10" t="str">
        <f>VLOOKUP(Cleaned_datasetB[[#This Row],[Month]], Lookup_Tables!$K$8:$L$19, 2, FALSE)</f>
        <v>January</v>
      </c>
      <c r="U634" s="10" t="str">
        <f>IF(AND(Cleaned_datasetB[[#This Row],[Day_Type]]="Weekday",Cleaned_datasetB[[#This Row],[Is_Holiday]]=FALSE),"Working Day","Non-Working Day")</f>
        <v>Non-Working Day</v>
      </c>
    </row>
    <row r="635" spans="1:21">
      <c r="A635" s="10">
        <v>634</v>
      </c>
      <c r="B635" s="23">
        <v>40572</v>
      </c>
      <c r="C635" s="10">
        <v>1</v>
      </c>
      <c r="D635" s="10">
        <v>0</v>
      </c>
      <c r="E635" s="10">
        <v>1</v>
      </c>
      <c r="F635" s="10">
        <v>16</v>
      </c>
      <c r="G635" s="10" t="b">
        <v>0</v>
      </c>
      <c r="H635" s="10">
        <v>6</v>
      </c>
      <c r="I635" s="10" t="str">
        <f>IF(OR(Cleaned_datasetB[[#This Row],[Day_Code]]=0,Cleaned_datasetB[[#This Row],[Day_Code]]=6),"Weekend","Weekday")</f>
        <v>Weekend</v>
      </c>
      <c r="J635" s="10">
        <v>1</v>
      </c>
      <c r="K635" s="10">
        <v>0.24</v>
      </c>
      <c r="L635" s="51">
        <v>0.2424</v>
      </c>
      <c r="M635" s="10">
        <v>0.6</v>
      </c>
      <c r="N635" s="10">
        <v>0.16420000000000001</v>
      </c>
      <c r="O635" s="10">
        <v>19</v>
      </c>
      <c r="P635" s="10">
        <v>88</v>
      </c>
      <c r="Q635" s="10">
        <v>107</v>
      </c>
      <c r="R635" s="10" t="str">
        <f>VLOOKUP(Cleaned_datasetB[[#This Row],[Weather_Code]],Lookup_Tables!$E$9:$F$13,2,FALSE)</f>
        <v>Clear</v>
      </c>
      <c r="S635" s="10" t="str">
        <f>INDEX(Lookup_Tables!$I$10:$I$16,MATCH(Cleaned_datasetB[[#This Row],[Day_Code]],Lookup_Tables!$H$10:$H$16,0))</f>
        <v>Saturday</v>
      </c>
      <c r="T635" s="10" t="str">
        <f>VLOOKUP(Cleaned_datasetB[[#This Row],[Month]], Lookup_Tables!$K$8:$L$19, 2, FALSE)</f>
        <v>January</v>
      </c>
      <c r="U635" s="10" t="str">
        <f>IF(AND(Cleaned_datasetB[[#This Row],[Day_Type]]="Weekday",Cleaned_datasetB[[#This Row],[Is_Holiday]]=FALSE),"Working Day","Non-Working Day")</f>
        <v>Non-Working Day</v>
      </c>
    </row>
    <row r="636" spans="1:21">
      <c r="A636" s="10">
        <v>635</v>
      </c>
      <c r="B636" s="23">
        <v>40572</v>
      </c>
      <c r="C636" s="10">
        <v>1</v>
      </c>
      <c r="D636" s="10">
        <v>0</v>
      </c>
      <c r="E636" s="10">
        <v>1</v>
      </c>
      <c r="F636" s="10">
        <v>17</v>
      </c>
      <c r="G636" s="10" t="b">
        <v>0</v>
      </c>
      <c r="H636" s="10">
        <v>6</v>
      </c>
      <c r="I636" s="10" t="str">
        <f>IF(OR(Cleaned_datasetB[[#This Row],[Day_Code]]=0,Cleaned_datasetB[[#This Row],[Day_Code]]=6),"Weekend","Weekday")</f>
        <v>Weekend</v>
      </c>
      <c r="J636" s="10">
        <v>1</v>
      </c>
      <c r="K636" s="10">
        <v>0.24</v>
      </c>
      <c r="L636" s="51">
        <v>0.28789999999999999</v>
      </c>
      <c r="M636" s="10">
        <v>0.6</v>
      </c>
      <c r="N636" s="10">
        <v>0</v>
      </c>
      <c r="O636" s="10">
        <v>9</v>
      </c>
      <c r="P636" s="10">
        <v>82</v>
      </c>
      <c r="Q636" s="10">
        <v>91</v>
      </c>
      <c r="R636" s="10" t="str">
        <f>VLOOKUP(Cleaned_datasetB[[#This Row],[Weather_Code]],Lookup_Tables!$E$9:$F$13,2,FALSE)</f>
        <v>Clear</v>
      </c>
      <c r="S636" s="10" t="str">
        <f>INDEX(Lookup_Tables!$I$10:$I$16,MATCH(Cleaned_datasetB[[#This Row],[Day_Code]],Lookup_Tables!$H$10:$H$16,0))</f>
        <v>Saturday</v>
      </c>
      <c r="T636" s="10" t="str">
        <f>VLOOKUP(Cleaned_datasetB[[#This Row],[Month]], Lookup_Tables!$K$8:$L$19, 2, FALSE)</f>
        <v>January</v>
      </c>
      <c r="U636" s="10" t="str">
        <f>IF(AND(Cleaned_datasetB[[#This Row],[Day_Type]]="Weekday",Cleaned_datasetB[[#This Row],[Is_Holiday]]=FALSE),"Working Day","Non-Working Day")</f>
        <v>Non-Working Day</v>
      </c>
    </row>
    <row r="637" spans="1:21">
      <c r="A637" s="10">
        <v>636</v>
      </c>
      <c r="B637" s="23">
        <v>40572</v>
      </c>
      <c r="C637" s="10">
        <v>1</v>
      </c>
      <c r="D637" s="10">
        <v>0</v>
      </c>
      <c r="E637" s="10">
        <v>1</v>
      </c>
      <c r="F637" s="10">
        <v>18</v>
      </c>
      <c r="G637" s="10" t="b">
        <v>0</v>
      </c>
      <c r="H637" s="10">
        <v>6</v>
      </c>
      <c r="I637" s="10" t="str">
        <f>IF(OR(Cleaned_datasetB[[#This Row],[Day_Code]]=0,Cleaned_datasetB[[#This Row],[Day_Code]]=6),"Weekend","Weekday")</f>
        <v>Weekend</v>
      </c>
      <c r="J637" s="10">
        <v>1</v>
      </c>
      <c r="K637" s="10">
        <v>0.22</v>
      </c>
      <c r="L637" s="51">
        <v>0.2273</v>
      </c>
      <c r="M637" s="10">
        <v>0.69</v>
      </c>
      <c r="N637" s="10">
        <v>0.1343</v>
      </c>
      <c r="O637" s="10">
        <v>9</v>
      </c>
      <c r="P637" s="10">
        <v>59</v>
      </c>
      <c r="Q637" s="10">
        <v>68</v>
      </c>
      <c r="R637" s="10" t="str">
        <f>VLOOKUP(Cleaned_datasetB[[#This Row],[Weather_Code]],Lookup_Tables!$E$9:$F$13,2,FALSE)</f>
        <v>Clear</v>
      </c>
      <c r="S637" s="10" t="str">
        <f>INDEX(Lookup_Tables!$I$10:$I$16,MATCH(Cleaned_datasetB[[#This Row],[Day_Code]],Lookup_Tables!$H$10:$H$16,0))</f>
        <v>Saturday</v>
      </c>
      <c r="T637" s="10" t="str">
        <f>VLOOKUP(Cleaned_datasetB[[#This Row],[Month]], Lookup_Tables!$K$8:$L$19, 2, FALSE)</f>
        <v>January</v>
      </c>
      <c r="U637" s="10" t="str">
        <f>IF(AND(Cleaned_datasetB[[#This Row],[Day_Type]]="Weekday",Cleaned_datasetB[[#This Row],[Is_Holiday]]=FALSE),"Working Day","Non-Working Day")</f>
        <v>Non-Working Day</v>
      </c>
    </row>
    <row r="638" spans="1:21">
      <c r="A638" s="10">
        <v>637</v>
      </c>
      <c r="B638" s="23">
        <v>40572</v>
      </c>
      <c r="C638" s="10">
        <v>1</v>
      </c>
      <c r="D638" s="10">
        <v>0</v>
      </c>
      <c r="E638" s="10">
        <v>1</v>
      </c>
      <c r="F638" s="10">
        <v>19</v>
      </c>
      <c r="G638" s="10" t="b">
        <v>0</v>
      </c>
      <c r="H638" s="10">
        <v>6</v>
      </c>
      <c r="I638" s="10" t="str">
        <f>IF(OR(Cleaned_datasetB[[#This Row],[Day_Code]]=0,Cleaned_datasetB[[#This Row],[Day_Code]]=6),"Weekend","Weekday")</f>
        <v>Weekend</v>
      </c>
      <c r="J638" s="10">
        <v>2</v>
      </c>
      <c r="K638" s="10">
        <v>0.22</v>
      </c>
      <c r="L638" s="51">
        <v>0.21210000000000001</v>
      </c>
      <c r="M638" s="10">
        <v>0.69</v>
      </c>
      <c r="N638" s="10">
        <v>0.25369999999999998</v>
      </c>
      <c r="O638" s="10">
        <v>6</v>
      </c>
      <c r="P638" s="10">
        <v>52</v>
      </c>
      <c r="Q638" s="10">
        <v>58</v>
      </c>
      <c r="R638" s="10" t="str">
        <f>VLOOKUP(Cleaned_datasetB[[#This Row],[Weather_Code]],Lookup_Tables!$E$9:$F$13,2,FALSE)</f>
        <v>Cloudy</v>
      </c>
      <c r="S638" s="10" t="str">
        <f>INDEX(Lookup_Tables!$I$10:$I$16,MATCH(Cleaned_datasetB[[#This Row],[Day_Code]],Lookup_Tables!$H$10:$H$16,0))</f>
        <v>Saturday</v>
      </c>
      <c r="T638" s="10" t="str">
        <f>VLOOKUP(Cleaned_datasetB[[#This Row],[Month]], Lookup_Tables!$K$8:$L$19, 2, FALSE)</f>
        <v>January</v>
      </c>
      <c r="U638" s="10" t="str">
        <f>IF(AND(Cleaned_datasetB[[#This Row],[Day_Type]]="Weekday",Cleaned_datasetB[[#This Row],[Is_Holiday]]=FALSE),"Working Day","Non-Working Day")</f>
        <v>Non-Working Day</v>
      </c>
    </row>
    <row r="639" spans="1:21">
      <c r="A639" s="10">
        <v>638</v>
      </c>
      <c r="B639" s="23">
        <v>40572</v>
      </c>
      <c r="C639" s="10">
        <v>1</v>
      </c>
      <c r="D639" s="10">
        <v>0</v>
      </c>
      <c r="E639" s="10">
        <v>1</v>
      </c>
      <c r="F639" s="10">
        <v>20</v>
      </c>
      <c r="G639" s="10" t="b">
        <v>0</v>
      </c>
      <c r="H639" s="10">
        <v>6</v>
      </c>
      <c r="I639" s="10" t="str">
        <f>IF(OR(Cleaned_datasetB[[#This Row],[Day_Code]]=0,Cleaned_datasetB[[#This Row],[Day_Code]]=6),"Weekend","Weekday")</f>
        <v>Weekend</v>
      </c>
      <c r="J639" s="10">
        <v>1</v>
      </c>
      <c r="K639" s="10">
        <v>0.18</v>
      </c>
      <c r="L639" s="51">
        <v>0.21210000000000001</v>
      </c>
      <c r="M639" s="10">
        <v>0.74</v>
      </c>
      <c r="N639" s="10">
        <v>8.9599999999999999E-2</v>
      </c>
      <c r="O639" s="10">
        <v>1</v>
      </c>
      <c r="P639" s="10">
        <v>42</v>
      </c>
      <c r="Q639" s="10">
        <v>43</v>
      </c>
      <c r="R639" s="10" t="str">
        <f>VLOOKUP(Cleaned_datasetB[[#This Row],[Weather_Code]],Lookup_Tables!$E$9:$F$13,2,FALSE)</f>
        <v>Clear</v>
      </c>
      <c r="S639" s="10" t="str">
        <f>INDEX(Lookup_Tables!$I$10:$I$16,MATCH(Cleaned_datasetB[[#This Row],[Day_Code]],Lookup_Tables!$H$10:$H$16,0))</f>
        <v>Saturday</v>
      </c>
      <c r="T639" s="10" t="str">
        <f>VLOOKUP(Cleaned_datasetB[[#This Row],[Month]], Lookup_Tables!$K$8:$L$19, 2, FALSE)</f>
        <v>January</v>
      </c>
      <c r="U639" s="10" t="str">
        <f>IF(AND(Cleaned_datasetB[[#This Row],[Day_Type]]="Weekday",Cleaned_datasetB[[#This Row],[Is_Holiday]]=FALSE),"Working Day","Non-Working Day")</f>
        <v>Non-Working Day</v>
      </c>
    </row>
    <row r="640" spans="1:21">
      <c r="A640" s="10">
        <v>639</v>
      </c>
      <c r="B640" s="23">
        <v>40572</v>
      </c>
      <c r="C640" s="10">
        <v>1</v>
      </c>
      <c r="D640" s="10">
        <v>0</v>
      </c>
      <c r="E640" s="10">
        <v>1</v>
      </c>
      <c r="F640" s="10">
        <v>21</v>
      </c>
      <c r="G640" s="10" t="b">
        <v>0</v>
      </c>
      <c r="H640" s="10">
        <v>6</v>
      </c>
      <c r="I640" s="10" t="str">
        <f>IF(OR(Cleaned_datasetB[[#This Row],[Day_Code]]=0,Cleaned_datasetB[[#This Row],[Day_Code]]=6),"Weekend","Weekday")</f>
        <v>Weekend</v>
      </c>
      <c r="J640" s="10">
        <v>1</v>
      </c>
      <c r="K640" s="10">
        <v>0.18</v>
      </c>
      <c r="L640" s="51">
        <v>0.21210000000000001</v>
      </c>
      <c r="M640" s="10">
        <v>0.74</v>
      </c>
      <c r="N640" s="10">
        <v>8.9599999999999999E-2</v>
      </c>
      <c r="O640" s="10">
        <v>1</v>
      </c>
      <c r="P640" s="10">
        <v>35</v>
      </c>
      <c r="Q640" s="10">
        <v>36</v>
      </c>
      <c r="R640" s="10" t="str">
        <f>VLOOKUP(Cleaned_datasetB[[#This Row],[Weather_Code]],Lookup_Tables!$E$9:$F$13,2,FALSE)</f>
        <v>Clear</v>
      </c>
      <c r="S640" s="10" t="str">
        <f>INDEX(Lookup_Tables!$I$10:$I$16,MATCH(Cleaned_datasetB[[#This Row],[Day_Code]],Lookup_Tables!$H$10:$H$16,0))</f>
        <v>Saturday</v>
      </c>
      <c r="T640" s="10" t="str">
        <f>VLOOKUP(Cleaned_datasetB[[#This Row],[Month]], Lookup_Tables!$K$8:$L$19, 2, FALSE)</f>
        <v>January</v>
      </c>
      <c r="U640" s="10" t="str">
        <f>IF(AND(Cleaned_datasetB[[#This Row],[Day_Type]]="Weekday",Cleaned_datasetB[[#This Row],[Is_Holiday]]=FALSE),"Working Day","Non-Working Day")</f>
        <v>Non-Working Day</v>
      </c>
    </row>
    <row r="641" spans="1:21">
      <c r="A641" s="10">
        <v>640</v>
      </c>
      <c r="B641" s="23">
        <v>40572</v>
      </c>
      <c r="C641" s="10">
        <v>1</v>
      </c>
      <c r="D641" s="10">
        <v>0</v>
      </c>
      <c r="E641" s="10">
        <v>1</v>
      </c>
      <c r="F641" s="10">
        <v>22</v>
      </c>
      <c r="G641" s="10" t="b">
        <v>0</v>
      </c>
      <c r="H641" s="10">
        <v>6</v>
      </c>
      <c r="I641" s="10" t="str">
        <f>IF(OR(Cleaned_datasetB[[#This Row],[Day_Code]]=0,Cleaned_datasetB[[#This Row],[Day_Code]]=6),"Weekend","Weekday")</f>
        <v>Weekend</v>
      </c>
      <c r="J641" s="10">
        <v>1</v>
      </c>
      <c r="K641" s="10">
        <v>0.16</v>
      </c>
      <c r="L641" s="51">
        <v>0.19700000000000001</v>
      </c>
      <c r="M641" s="10">
        <v>0.8</v>
      </c>
      <c r="N641" s="10">
        <v>8.9599999999999999E-2</v>
      </c>
      <c r="O641" s="10">
        <v>4</v>
      </c>
      <c r="P641" s="10">
        <v>28</v>
      </c>
      <c r="Q641" s="10">
        <v>32</v>
      </c>
      <c r="R641" s="10" t="str">
        <f>VLOOKUP(Cleaned_datasetB[[#This Row],[Weather_Code]],Lookup_Tables!$E$9:$F$13,2,FALSE)</f>
        <v>Clear</v>
      </c>
      <c r="S641" s="10" t="str">
        <f>INDEX(Lookup_Tables!$I$10:$I$16,MATCH(Cleaned_datasetB[[#This Row],[Day_Code]],Lookup_Tables!$H$10:$H$16,0))</f>
        <v>Saturday</v>
      </c>
      <c r="T641" s="10" t="str">
        <f>VLOOKUP(Cleaned_datasetB[[#This Row],[Month]], Lookup_Tables!$K$8:$L$19, 2, FALSE)</f>
        <v>January</v>
      </c>
      <c r="U641" s="10" t="str">
        <f>IF(AND(Cleaned_datasetB[[#This Row],[Day_Type]]="Weekday",Cleaned_datasetB[[#This Row],[Is_Holiday]]=FALSE),"Working Day","Non-Working Day")</f>
        <v>Non-Working Day</v>
      </c>
    </row>
    <row r="642" spans="1:21">
      <c r="A642" s="10">
        <v>641</v>
      </c>
      <c r="B642" s="23">
        <v>40572</v>
      </c>
      <c r="C642" s="10">
        <v>1</v>
      </c>
      <c r="D642" s="10">
        <v>0</v>
      </c>
      <c r="E642" s="10">
        <v>1</v>
      </c>
      <c r="F642" s="10">
        <v>23</v>
      </c>
      <c r="G642" s="10" t="b">
        <v>0</v>
      </c>
      <c r="H642" s="10">
        <v>6</v>
      </c>
      <c r="I642" s="10" t="str">
        <f>IF(OR(Cleaned_datasetB[[#This Row],[Day_Code]]=0,Cleaned_datasetB[[#This Row],[Day_Code]]=6),"Weekend","Weekday")</f>
        <v>Weekend</v>
      </c>
      <c r="J642" s="10">
        <v>1</v>
      </c>
      <c r="K642" s="10">
        <v>0.16</v>
      </c>
      <c r="L642" s="51">
        <v>0.19700000000000001</v>
      </c>
      <c r="M642" s="10">
        <v>0.8</v>
      </c>
      <c r="N642" s="10">
        <v>8.9599999999999999E-2</v>
      </c>
      <c r="O642" s="10">
        <v>3</v>
      </c>
      <c r="P642" s="10">
        <v>30</v>
      </c>
      <c r="Q642" s="10">
        <v>33</v>
      </c>
      <c r="R642" s="10" t="str">
        <f>VLOOKUP(Cleaned_datasetB[[#This Row],[Weather_Code]],Lookup_Tables!$E$9:$F$13,2,FALSE)</f>
        <v>Clear</v>
      </c>
      <c r="S642" s="10" t="str">
        <f>INDEX(Lookup_Tables!$I$10:$I$16,MATCH(Cleaned_datasetB[[#This Row],[Day_Code]],Lookup_Tables!$H$10:$H$16,0))</f>
        <v>Saturday</v>
      </c>
      <c r="T642" s="10" t="str">
        <f>VLOOKUP(Cleaned_datasetB[[#This Row],[Month]], Lookup_Tables!$K$8:$L$19, 2, FALSE)</f>
        <v>January</v>
      </c>
      <c r="U642" s="10" t="str">
        <f>IF(AND(Cleaned_datasetB[[#This Row],[Day_Type]]="Weekday",Cleaned_datasetB[[#This Row],[Is_Holiday]]=FALSE),"Working Day","Non-Working Day")</f>
        <v>Non-Working Day</v>
      </c>
    </row>
    <row r="643" spans="1:21">
      <c r="A643" s="10">
        <v>642</v>
      </c>
      <c r="B643" s="23">
        <v>40573</v>
      </c>
      <c r="C643" s="10">
        <v>1</v>
      </c>
      <c r="D643" s="10">
        <v>0</v>
      </c>
      <c r="E643" s="10">
        <v>1</v>
      </c>
      <c r="F643" s="10">
        <v>0</v>
      </c>
      <c r="G643" s="10" t="b">
        <v>0</v>
      </c>
      <c r="H643" s="10">
        <v>0</v>
      </c>
      <c r="I643" s="10" t="str">
        <f>IF(OR(Cleaned_datasetB[[#This Row],[Day_Code]]=0,Cleaned_datasetB[[#This Row],[Day_Code]]=6),"Weekend","Weekday")</f>
        <v>Weekend</v>
      </c>
      <c r="J643" s="10">
        <v>1</v>
      </c>
      <c r="K643" s="10">
        <v>0.16</v>
      </c>
      <c r="L643" s="51">
        <v>0.18179999999999999</v>
      </c>
      <c r="M643" s="10">
        <v>0.8</v>
      </c>
      <c r="N643" s="10">
        <v>0.1045</v>
      </c>
      <c r="O643" s="10">
        <v>0</v>
      </c>
      <c r="P643" s="10">
        <v>33</v>
      </c>
      <c r="Q643" s="10">
        <v>33</v>
      </c>
      <c r="R643" s="10" t="str">
        <f>VLOOKUP(Cleaned_datasetB[[#This Row],[Weather_Code]],Lookup_Tables!$E$9:$F$13,2,FALSE)</f>
        <v>Clear</v>
      </c>
      <c r="S643" s="10" t="str">
        <f>INDEX(Lookup_Tables!$I$10:$I$16,MATCH(Cleaned_datasetB[[#This Row],[Day_Code]],Lookup_Tables!$H$10:$H$16,0))</f>
        <v>Sunday</v>
      </c>
      <c r="T643" s="10" t="str">
        <f>VLOOKUP(Cleaned_datasetB[[#This Row],[Month]], Lookup_Tables!$K$8:$L$19, 2, FALSE)</f>
        <v>January</v>
      </c>
      <c r="U643" s="10" t="str">
        <f>IF(AND(Cleaned_datasetB[[#This Row],[Day_Type]]="Weekday",Cleaned_datasetB[[#This Row],[Is_Holiday]]=FALSE),"Working Day","Non-Working Day")</f>
        <v>Non-Working Day</v>
      </c>
    </row>
    <row r="644" spans="1:21">
      <c r="A644" s="10">
        <v>643</v>
      </c>
      <c r="B644" s="23">
        <v>40573</v>
      </c>
      <c r="C644" s="10">
        <v>1</v>
      </c>
      <c r="D644" s="10">
        <v>0</v>
      </c>
      <c r="E644" s="10">
        <v>1</v>
      </c>
      <c r="F644" s="10">
        <v>1</v>
      </c>
      <c r="G644" s="10" t="b">
        <v>0</v>
      </c>
      <c r="H644" s="10">
        <v>0</v>
      </c>
      <c r="I644" s="10" t="str">
        <f>IF(OR(Cleaned_datasetB[[#This Row],[Day_Code]]=0,Cleaned_datasetB[[#This Row],[Day_Code]]=6),"Weekend","Weekday")</f>
        <v>Weekend</v>
      </c>
      <c r="J644" s="10">
        <v>1</v>
      </c>
      <c r="K644" s="10">
        <v>0.14000000000000001</v>
      </c>
      <c r="L644" s="51">
        <v>0.21210000000000001</v>
      </c>
      <c r="M644" s="10">
        <v>0.8</v>
      </c>
      <c r="N644" s="10">
        <v>0</v>
      </c>
      <c r="O644" s="10">
        <v>7</v>
      </c>
      <c r="P644" s="10">
        <v>22</v>
      </c>
      <c r="Q644" s="10">
        <v>29</v>
      </c>
      <c r="R644" s="10" t="str">
        <f>VLOOKUP(Cleaned_datasetB[[#This Row],[Weather_Code]],Lookup_Tables!$E$9:$F$13,2,FALSE)</f>
        <v>Clear</v>
      </c>
      <c r="S644" s="10" t="str">
        <f>INDEX(Lookup_Tables!$I$10:$I$16,MATCH(Cleaned_datasetB[[#This Row],[Day_Code]],Lookup_Tables!$H$10:$H$16,0))</f>
        <v>Sunday</v>
      </c>
      <c r="T644" s="10" t="str">
        <f>VLOOKUP(Cleaned_datasetB[[#This Row],[Month]], Lookup_Tables!$K$8:$L$19, 2, FALSE)</f>
        <v>January</v>
      </c>
      <c r="U644" s="10" t="str">
        <f>IF(AND(Cleaned_datasetB[[#This Row],[Day_Type]]="Weekday",Cleaned_datasetB[[#This Row],[Is_Holiday]]=FALSE),"Working Day","Non-Working Day")</f>
        <v>Non-Working Day</v>
      </c>
    </row>
    <row r="645" spans="1:21">
      <c r="A645" s="10">
        <v>644</v>
      </c>
      <c r="B645" s="23">
        <v>40573</v>
      </c>
      <c r="C645" s="10">
        <v>1</v>
      </c>
      <c r="D645" s="10">
        <v>0</v>
      </c>
      <c r="E645" s="10">
        <v>1</v>
      </c>
      <c r="F645" s="10">
        <v>2</v>
      </c>
      <c r="G645" s="10" t="b">
        <v>0</v>
      </c>
      <c r="H645" s="10">
        <v>0</v>
      </c>
      <c r="I645" s="10" t="str">
        <f>IF(OR(Cleaned_datasetB[[#This Row],[Day_Code]]=0,Cleaned_datasetB[[#This Row],[Day_Code]]=6),"Weekend","Weekday")</f>
        <v>Weekend</v>
      </c>
      <c r="J645" s="10">
        <v>1</v>
      </c>
      <c r="K645" s="10">
        <v>0.16</v>
      </c>
      <c r="L645" s="51">
        <v>0.2273</v>
      </c>
      <c r="M645" s="10">
        <v>0.8</v>
      </c>
      <c r="N645" s="10">
        <v>0</v>
      </c>
      <c r="O645" s="10">
        <v>1</v>
      </c>
      <c r="P645" s="10">
        <v>10</v>
      </c>
      <c r="Q645" s="10">
        <v>11</v>
      </c>
      <c r="R645" s="10" t="str">
        <f>VLOOKUP(Cleaned_datasetB[[#This Row],[Weather_Code]],Lookup_Tables!$E$9:$F$13,2,FALSE)</f>
        <v>Clear</v>
      </c>
      <c r="S645" s="10" t="str">
        <f>INDEX(Lookup_Tables!$I$10:$I$16,MATCH(Cleaned_datasetB[[#This Row],[Day_Code]],Lookup_Tables!$H$10:$H$16,0))</f>
        <v>Sunday</v>
      </c>
      <c r="T645" s="10" t="str">
        <f>VLOOKUP(Cleaned_datasetB[[#This Row],[Month]], Lookup_Tables!$K$8:$L$19, 2, FALSE)</f>
        <v>January</v>
      </c>
      <c r="U645" s="10" t="str">
        <f>IF(AND(Cleaned_datasetB[[#This Row],[Day_Type]]="Weekday",Cleaned_datasetB[[#This Row],[Is_Holiday]]=FALSE),"Working Day","Non-Working Day")</f>
        <v>Non-Working Day</v>
      </c>
    </row>
    <row r="646" spans="1:21">
      <c r="A646" s="10">
        <v>645</v>
      </c>
      <c r="B646" s="23">
        <v>40573</v>
      </c>
      <c r="C646" s="10">
        <v>1</v>
      </c>
      <c r="D646" s="10">
        <v>0</v>
      </c>
      <c r="E646" s="10">
        <v>1</v>
      </c>
      <c r="F646" s="10">
        <v>3</v>
      </c>
      <c r="G646" s="10" t="b">
        <v>0</v>
      </c>
      <c r="H646" s="10">
        <v>0</v>
      </c>
      <c r="I646" s="10" t="str">
        <f>IF(OR(Cleaned_datasetB[[#This Row],[Day_Code]]=0,Cleaned_datasetB[[#This Row],[Day_Code]]=6),"Weekend","Weekday")</f>
        <v>Weekend</v>
      </c>
      <c r="J646" s="10">
        <v>1</v>
      </c>
      <c r="K646" s="10">
        <v>0.14000000000000001</v>
      </c>
      <c r="L646" s="51">
        <v>0.21210000000000001</v>
      </c>
      <c r="M646" s="10">
        <v>0.93</v>
      </c>
      <c r="N646" s="10">
        <v>0</v>
      </c>
      <c r="O646" s="10">
        <v>1</v>
      </c>
      <c r="P646" s="10">
        <v>7</v>
      </c>
      <c r="Q646" s="10">
        <v>8</v>
      </c>
      <c r="R646" s="10" t="str">
        <f>VLOOKUP(Cleaned_datasetB[[#This Row],[Weather_Code]],Lookup_Tables!$E$9:$F$13,2,FALSE)</f>
        <v>Clear</v>
      </c>
      <c r="S646" s="10" t="str">
        <f>INDEX(Lookup_Tables!$I$10:$I$16,MATCH(Cleaned_datasetB[[#This Row],[Day_Code]],Lookup_Tables!$H$10:$H$16,0))</f>
        <v>Sunday</v>
      </c>
      <c r="T646" s="10" t="str">
        <f>VLOOKUP(Cleaned_datasetB[[#This Row],[Month]], Lookup_Tables!$K$8:$L$19, 2, FALSE)</f>
        <v>January</v>
      </c>
      <c r="U646" s="10" t="str">
        <f>IF(AND(Cleaned_datasetB[[#This Row],[Day_Type]]="Weekday",Cleaned_datasetB[[#This Row],[Is_Holiday]]=FALSE),"Working Day","Non-Working Day")</f>
        <v>Non-Working Day</v>
      </c>
    </row>
    <row r="647" spans="1:21">
      <c r="A647" s="10">
        <v>646</v>
      </c>
      <c r="B647" s="23">
        <v>40573</v>
      </c>
      <c r="C647" s="10">
        <v>1</v>
      </c>
      <c r="D647" s="10">
        <v>0</v>
      </c>
      <c r="E647" s="10">
        <v>1</v>
      </c>
      <c r="F647" s="10">
        <v>4</v>
      </c>
      <c r="G647" s="10" t="b">
        <v>0</v>
      </c>
      <c r="H647" s="10">
        <v>0</v>
      </c>
      <c r="I647" s="10" t="str">
        <f>IF(OR(Cleaned_datasetB[[#This Row],[Day_Code]]=0,Cleaned_datasetB[[#This Row],[Day_Code]]=6),"Weekend","Weekday")</f>
        <v>Weekend</v>
      </c>
      <c r="J647" s="10">
        <v>1</v>
      </c>
      <c r="K647" s="10">
        <v>0.14000000000000001</v>
      </c>
      <c r="L647" s="51">
        <v>0.21210000000000001</v>
      </c>
      <c r="M647" s="10">
        <v>0.93</v>
      </c>
      <c r="N647" s="10">
        <v>0</v>
      </c>
      <c r="O647" s="10">
        <v>0</v>
      </c>
      <c r="P647" s="10">
        <v>1</v>
      </c>
      <c r="Q647" s="10">
        <v>1</v>
      </c>
      <c r="R647" s="10" t="str">
        <f>VLOOKUP(Cleaned_datasetB[[#This Row],[Weather_Code]],Lookup_Tables!$E$9:$F$13,2,FALSE)</f>
        <v>Clear</v>
      </c>
      <c r="S647" s="10" t="str">
        <f>INDEX(Lookup_Tables!$I$10:$I$16,MATCH(Cleaned_datasetB[[#This Row],[Day_Code]],Lookup_Tables!$H$10:$H$16,0))</f>
        <v>Sunday</v>
      </c>
      <c r="T647" s="10" t="str">
        <f>VLOOKUP(Cleaned_datasetB[[#This Row],[Month]], Lookup_Tables!$K$8:$L$19, 2, FALSE)</f>
        <v>January</v>
      </c>
      <c r="U647" s="10" t="str">
        <f>IF(AND(Cleaned_datasetB[[#This Row],[Day_Type]]="Weekday",Cleaned_datasetB[[#This Row],[Is_Holiday]]=FALSE),"Working Day","Non-Working Day")</f>
        <v>Non-Working Day</v>
      </c>
    </row>
    <row r="648" spans="1:21">
      <c r="A648" s="10">
        <v>647</v>
      </c>
      <c r="B648" s="23">
        <v>40573</v>
      </c>
      <c r="C648" s="10">
        <v>1</v>
      </c>
      <c r="D648" s="10">
        <v>0</v>
      </c>
      <c r="E648" s="10">
        <v>1</v>
      </c>
      <c r="F648" s="10">
        <v>5</v>
      </c>
      <c r="G648" s="10" t="b">
        <v>0</v>
      </c>
      <c r="H648" s="10">
        <v>0</v>
      </c>
      <c r="I648" s="10" t="str">
        <f>IF(OR(Cleaned_datasetB[[#This Row],[Day_Code]]=0,Cleaned_datasetB[[#This Row],[Day_Code]]=6),"Weekend","Weekday")</f>
        <v>Weekend</v>
      </c>
      <c r="J648" s="10">
        <v>1</v>
      </c>
      <c r="K648" s="10">
        <v>0.14000000000000001</v>
      </c>
      <c r="L648" s="51">
        <v>0.21210000000000001</v>
      </c>
      <c r="M648" s="10">
        <v>0.86</v>
      </c>
      <c r="N648" s="10">
        <v>0</v>
      </c>
      <c r="O648" s="10">
        <v>0</v>
      </c>
      <c r="P648" s="10">
        <v>3</v>
      </c>
      <c r="Q648" s="10">
        <v>3</v>
      </c>
      <c r="R648" s="10" t="str">
        <f>VLOOKUP(Cleaned_datasetB[[#This Row],[Weather_Code]],Lookup_Tables!$E$9:$F$13,2,FALSE)</f>
        <v>Clear</v>
      </c>
      <c r="S648" s="10" t="str">
        <f>INDEX(Lookup_Tables!$I$10:$I$16,MATCH(Cleaned_datasetB[[#This Row],[Day_Code]],Lookup_Tables!$H$10:$H$16,0))</f>
        <v>Sunday</v>
      </c>
      <c r="T648" s="10" t="str">
        <f>VLOOKUP(Cleaned_datasetB[[#This Row],[Month]], Lookup_Tables!$K$8:$L$19, 2, FALSE)</f>
        <v>January</v>
      </c>
      <c r="U648" s="10" t="str">
        <f>IF(AND(Cleaned_datasetB[[#This Row],[Day_Type]]="Weekday",Cleaned_datasetB[[#This Row],[Is_Holiday]]=FALSE),"Working Day","Non-Working Day")</f>
        <v>Non-Working Day</v>
      </c>
    </row>
    <row r="649" spans="1:21">
      <c r="A649" s="10">
        <v>648</v>
      </c>
      <c r="B649" s="23">
        <v>40573</v>
      </c>
      <c r="C649" s="10">
        <v>1</v>
      </c>
      <c r="D649" s="10">
        <v>0</v>
      </c>
      <c r="E649" s="10">
        <v>1</v>
      </c>
      <c r="F649" s="10">
        <v>7</v>
      </c>
      <c r="G649" s="10" t="b">
        <v>0</v>
      </c>
      <c r="H649" s="10">
        <v>0</v>
      </c>
      <c r="I649" s="10" t="str">
        <f>IF(OR(Cleaned_datasetB[[#This Row],[Day_Code]]=0,Cleaned_datasetB[[#This Row],[Day_Code]]=6),"Weekend","Weekday")</f>
        <v>Weekend</v>
      </c>
      <c r="J649" s="10">
        <v>1</v>
      </c>
      <c r="K649" s="10">
        <v>0.14000000000000001</v>
      </c>
      <c r="L649" s="51">
        <v>0.21210000000000001</v>
      </c>
      <c r="M649" s="10">
        <v>0.86</v>
      </c>
      <c r="N649" s="10">
        <v>0</v>
      </c>
      <c r="O649" s="10">
        <v>0</v>
      </c>
      <c r="P649" s="10">
        <v>3</v>
      </c>
      <c r="Q649" s="10">
        <v>3</v>
      </c>
      <c r="R649" s="10" t="str">
        <f>VLOOKUP(Cleaned_datasetB[[#This Row],[Weather_Code]],Lookup_Tables!$E$9:$F$13,2,FALSE)</f>
        <v>Clear</v>
      </c>
      <c r="S649" s="10" t="str">
        <f>INDEX(Lookup_Tables!$I$10:$I$16,MATCH(Cleaned_datasetB[[#This Row],[Day_Code]],Lookup_Tables!$H$10:$H$16,0))</f>
        <v>Sunday</v>
      </c>
      <c r="T649" s="10" t="str">
        <f>VLOOKUP(Cleaned_datasetB[[#This Row],[Month]], Lookup_Tables!$K$8:$L$19, 2, FALSE)</f>
        <v>January</v>
      </c>
      <c r="U649" s="10" t="str">
        <f>IF(AND(Cleaned_datasetB[[#This Row],[Day_Type]]="Weekday",Cleaned_datasetB[[#This Row],[Is_Holiday]]=FALSE),"Working Day","Non-Working Day")</f>
        <v>Non-Working Day</v>
      </c>
    </row>
    <row r="650" spans="1:21">
      <c r="A650" s="10">
        <v>649</v>
      </c>
      <c r="B650" s="23">
        <v>40573</v>
      </c>
      <c r="C650" s="10">
        <v>1</v>
      </c>
      <c r="D650" s="10">
        <v>0</v>
      </c>
      <c r="E650" s="10">
        <v>1</v>
      </c>
      <c r="F650" s="10">
        <v>8</v>
      </c>
      <c r="G650" s="10" t="b">
        <v>0</v>
      </c>
      <c r="H650" s="10">
        <v>0</v>
      </c>
      <c r="I650" s="10" t="str">
        <f>IF(OR(Cleaned_datasetB[[#This Row],[Day_Code]]=0,Cleaned_datasetB[[#This Row],[Day_Code]]=6),"Weekend","Weekday")</f>
        <v>Weekend</v>
      </c>
      <c r="J650" s="10">
        <v>2</v>
      </c>
      <c r="K650" s="10">
        <v>0.14000000000000001</v>
      </c>
      <c r="L650" s="51">
        <v>0.21210000000000001</v>
      </c>
      <c r="M650" s="10">
        <v>0.86</v>
      </c>
      <c r="N650" s="10">
        <v>0</v>
      </c>
      <c r="O650" s="10">
        <v>1</v>
      </c>
      <c r="P650" s="10">
        <v>11</v>
      </c>
      <c r="Q650" s="10">
        <v>12</v>
      </c>
      <c r="R650" s="10" t="str">
        <f>VLOOKUP(Cleaned_datasetB[[#This Row],[Weather_Code]],Lookup_Tables!$E$9:$F$13,2,FALSE)</f>
        <v>Cloudy</v>
      </c>
      <c r="S650" s="10" t="str">
        <f>INDEX(Lookup_Tables!$I$10:$I$16,MATCH(Cleaned_datasetB[[#This Row],[Day_Code]],Lookup_Tables!$H$10:$H$16,0))</f>
        <v>Sunday</v>
      </c>
      <c r="T650" s="10" t="str">
        <f>VLOOKUP(Cleaned_datasetB[[#This Row],[Month]], Lookup_Tables!$K$8:$L$19, 2, FALSE)</f>
        <v>January</v>
      </c>
      <c r="U650" s="10" t="str">
        <f>IF(AND(Cleaned_datasetB[[#This Row],[Day_Type]]="Weekday",Cleaned_datasetB[[#This Row],[Is_Holiday]]=FALSE),"Working Day","Non-Working Day")</f>
        <v>Non-Working Day</v>
      </c>
    </row>
    <row r="651" spans="1:21">
      <c r="A651" s="10">
        <v>650</v>
      </c>
      <c r="B651" s="23">
        <v>40573</v>
      </c>
      <c r="C651" s="10">
        <v>1</v>
      </c>
      <c r="D651" s="10">
        <v>0</v>
      </c>
      <c r="E651" s="10">
        <v>1</v>
      </c>
      <c r="F651" s="10">
        <v>9</v>
      </c>
      <c r="G651" s="10" t="b">
        <v>0</v>
      </c>
      <c r="H651" s="10">
        <v>0</v>
      </c>
      <c r="I651" s="10" t="str">
        <f>IF(OR(Cleaned_datasetB[[#This Row],[Day_Code]]=0,Cleaned_datasetB[[#This Row],[Day_Code]]=6),"Weekend","Weekday")</f>
        <v>Weekend</v>
      </c>
      <c r="J651" s="10">
        <v>2</v>
      </c>
      <c r="K651" s="10">
        <v>0.16</v>
      </c>
      <c r="L651" s="51">
        <v>0.2273</v>
      </c>
      <c r="M651" s="10">
        <v>0.8</v>
      </c>
      <c r="N651" s="10">
        <v>0</v>
      </c>
      <c r="O651" s="10">
        <v>4</v>
      </c>
      <c r="P651" s="10">
        <v>34</v>
      </c>
      <c r="Q651" s="10">
        <v>38</v>
      </c>
      <c r="R651" s="10" t="str">
        <f>VLOOKUP(Cleaned_datasetB[[#This Row],[Weather_Code]],Lookup_Tables!$E$9:$F$13,2,FALSE)</f>
        <v>Cloudy</v>
      </c>
      <c r="S651" s="10" t="str">
        <f>INDEX(Lookup_Tables!$I$10:$I$16,MATCH(Cleaned_datasetB[[#This Row],[Day_Code]],Lookup_Tables!$H$10:$H$16,0))</f>
        <v>Sunday</v>
      </c>
      <c r="T651" s="10" t="str">
        <f>VLOOKUP(Cleaned_datasetB[[#This Row],[Month]], Lookup_Tables!$K$8:$L$19, 2, FALSE)</f>
        <v>January</v>
      </c>
      <c r="U651" s="10" t="str">
        <f>IF(AND(Cleaned_datasetB[[#This Row],[Day_Type]]="Weekday",Cleaned_datasetB[[#This Row],[Is_Holiday]]=FALSE),"Working Day","Non-Working Day")</f>
        <v>Non-Working Day</v>
      </c>
    </row>
    <row r="652" spans="1:21">
      <c r="A652" s="10">
        <v>651</v>
      </c>
      <c r="B652" s="23">
        <v>40573</v>
      </c>
      <c r="C652" s="10">
        <v>1</v>
      </c>
      <c r="D652" s="10">
        <v>0</v>
      </c>
      <c r="E652" s="10">
        <v>1</v>
      </c>
      <c r="F652" s="10">
        <v>10</v>
      </c>
      <c r="G652" s="10" t="b">
        <v>0</v>
      </c>
      <c r="H652" s="10">
        <v>0</v>
      </c>
      <c r="I652" s="10" t="str">
        <f>IF(OR(Cleaned_datasetB[[#This Row],[Day_Code]]=0,Cleaned_datasetB[[#This Row],[Day_Code]]=6),"Weekend","Weekday")</f>
        <v>Weekend</v>
      </c>
      <c r="J652" s="10">
        <v>2</v>
      </c>
      <c r="K652" s="10">
        <v>0.18</v>
      </c>
      <c r="L652" s="51">
        <v>0.2424</v>
      </c>
      <c r="M652" s="10">
        <v>0.8</v>
      </c>
      <c r="N652" s="10">
        <v>0</v>
      </c>
      <c r="O652" s="10">
        <v>7</v>
      </c>
      <c r="P652" s="10">
        <v>57</v>
      </c>
      <c r="Q652" s="10">
        <v>64</v>
      </c>
      <c r="R652" s="10" t="str">
        <f>VLOOKUP(Cleaned_datasetB[[#This Row],[Weather_Code]],Lookup_Tables!$E$9:$F$13,2,FALSE)</f>
        <v>Cloudy</v>
      </c>
      <c r="S652" s="10" t="str">
        <f>INDEX(Lookup_Tables!$I$10:$I$16,MATCH(Cleaned_datasetB[[#This Row],[Day_Code]],Lookup_Tables!$H$10:$H$16,0))</f>
        <v>Sunday</v>
      </c>
      <c r="T652" s="10" t="str">
        <f>VLOOKUP(Cleaned_datasetB[[#This Row],[Month]], Lookup_Tables!$K$8:$L$19, 2, FALSE)</f>
        <v>January</v>
      </c>
      <c r="U652" s="10" t="str">
        <f>IF(AND(Cleaned_datasetB[[#This Row],[Day_Type]]="Weekday",Cleaned_datasetB[[#This Row],[Is_Holiday]]=FALSE),"Working Day","Non-Working Day")</f>
        <v>Non-Working Day</v>
      </c>
    </row>
    <row r="653" spans="1:21">
      <c r="A653" s="10">
        <v>652</v>
      </c>
      <c r="B653" s="23">
        <v>40573</v>
      </c>
      <c r="C653" s="10">
        <v>1</v>
      </c>
      <c r="D653" s="10">
        <v>0</v>
      </c>
      <c r="E653" s="10">
        <v>1</v>
      </c>
      <c r="F653" s="10">
        <v>11</v>
      </c>
      <c r="G653" s="10" t="b">
        <v>0</v>
      </c>
      <c r="H653" s="10">
        <v>0</v>
      </c>
      <c r="I653" s="10" t="str">
        <f>IF(OR(Cleaned_datasetB[[#This Row],[Day_Code]]=0,Cleaned_datasetB[[#This Row],[Day_Code]]=6),"Weekend","Weekday")</f>
        <v>Weekend</v>
      </c>
      <c r="J653" s="10">
        <v>1</v>
      </c>
      <c r="K653" s="10">
        <v>0.22</v>
      </c>
      <c r="L653" s="51">
        <v>0.2727</v>
      </c>
      <c r="M653" s="10">
        <v>0.75</v>
      </c>
      <c r="N653" s="10">
        <v>0</v>
      </c>
      <c r="O653" s="10">
        <v>9</v>
      </c>
      <c r="P653" s="10">
        <v>50</v>
      </c>
      <c r="Q653" s="10">
        <v>59</v>
      </c>
      <c r="R653" s="10" t="str">
        <f>VLOOKUP(Cleaned_datasetB[[#This Row],[Weather_Code]],Lookup_Tables!$E$9:$F$13,2,FALSE)</f>
        <v>Clear</v>
      </c>
      <c r="S653" s="10" t="str">
        <f>INDEX(Lookup_Tables!$I$10:$I$16,MATCH(Cleaned_datasetB[[#This Row],[Day_Code]],Lookup_Tables!$H$10:$H$16,0))</f>
        <v>Sunday</v>
      </c>
      <c r="T653" s="10" t="str">
        <f>VLOOKUP(Cleaned_datasetB[[#This Row],[Month]], Lookup_Tables!$K$8:$L$19, 2, FALSE)</f>
        <v>January</v>
      </c>
      <c r="U653" s="10" t="str">
        <f>IF(AND(Cleaned_datasetB[[#This Row],[Day_Type]]="Weekday",Cleaned_datasetB[[#This Row],[Is_Holiday]]=FALSE),"Working Day","Non-Working Day")</f>
        <v>Non-Working Day</v>
      </c>
    </row>
    <row r="654" spans="1:21">
      <c r="A654" s="10">
        <v>653</v>
      </c>
      <c r="B654" s="23">
        <v>40573</v>
      </c>
      <c r="C654" s="10">
        <v>1</v>
      </c>
      <c r="D654" s="10">
        <v>0</v>
      </c>
      <c r="E654" s="10">
        <v>1</v>
      </c>
      <c r="F654" s="10">
        <v>12</v>
      </c>
      <c r="G654" s="10" t="b">
        <v>0</v>
      </c>
      <c r="H654" s="10">
        <v>0</v>
      </c>
      <c r="I654" s="10" t="str">
        <f>IF(OR(Cleaned_datasetB[[#This Row],[Day_Code]]=0,Cleaned_datasetB[[#This Row],[Day_Code]]=6),"Weekend","Weekday")</f>
        <v>Weekend</v>
      </c>
      <c r="J654" s="10">
        <v>1</v>
      </c>
      <c r="K654" s="10">
        <v>0.3</v>
      </c>
      <c r="L654" s="51">
        <v>0.31819999999999998</v>
      </c>
      <c r="M654" s="10">
        <v>0.52</v>
      </c>
      <c r="N654" s="10">
        <v>0.1045</v>
      </c>
      <c r="O654" s="10">
        <v>10</v>
      </c>
      <c r="P654" s="10">
        <v>87</v>
      </c>
      <c r="Q654" s="10">
        <v>97</v>
      </c>
      <c r="R654" s="10" t="str">
        <f>VLOOKUP(Cleaned_datasetB[[#This Row],[Weather_Code]],Lookup_Tables!$E$9:$F$13,2,FALSE)</f>
        <v>Clear</v>
      </c>
      <c r="S654" s="10" t="str">
        <f>INDEX(Lookup_Tables!$I$10:$I$16,MATCH(Cleaned_datasetB[[#This Row],[Day_Code]],Lookup_Tables!$H$10:$H$16,0))</f>
        <v>Sunday</v>
      </c>
      <c r="T654" s="10" t="str">
        <f>VLOOKUP(Cleaned_datasetB[[#This Row],[Month]], Lookup_Tables!$K$8:$L$19, 2, FALSE)</f>
        <v>January</v>
      </c>
      <c r="U654" s="10" t="str">
        <f>IF(AND(Cleaned_datasetB[[#This Row],[Day_Type]]="Weekday",Cleaned_datasetB[[#This Row],[Is_Holiday]]=FALSE),"Working Day","Non-Working Day")</f>
        <v>Non-Working Day</v>
      </c>
    </row>
    <row r="655" spans="1:21">
      <c r="A655" s="10">
        <v>654</v>
      </c>
      <c r="B655" s="23">
        <v>40573</v>
      </c>
      <c r="C655" s="10">
        <v>1</v>
      </c>
      <c r="D655" s="10">
        <v>0</v>
      </c>
      <c r="E655" s="10">
        <v>1</v>
      </c>
      <c r="F655" s="10">
        <v>13</v>
      </c>
      <c r="G655" s="10" t="b">
        <v>0</v>
      </c>
      <c r="H655" s="10">
        <v>0</v>
      </c>
      <c r="I655" s="10" t="str">
        <f>IF(OR(Cleaned_datasetB[[#This Row],[Day_Code]]=0,Cleaned_datasetB[[#This Row],[Day_Code]]=6),"Weekend","Weekday")</f>
        <v>Weekend</v>
      </c>
      <c r="J655" s="10">
        <v>1</v>
      </c>
      <c r="K655" s="10">
        <v>0.28000000000000003</v>
      </c>
      <c r="L655" s="51">
        <v>0.28789999999999999</v>
      </c>
      <c r="M655" s="10">
        <v>0.61</v>
      </c>
      <c r="N655" s="10">
        <v>0.1045</v>
      </c>
      <c r="O655" s="10">
        <v>13</v>
      </c>
      <c r="P655" s="10">
        <v>71</v>
      </c>
      <c r="Q655" s="10">
        <v>84</v>
      </c>
      <c r="R655" s="10" t="str">
        <f>VLOOKUP(Cleaned_datasetB[[#This Row],[Weather_Code]],Lookup_Tables!$E$9:$F$13,2,FALSE)</f>
        <v>Clear</v>
      </c>
      <c r="S655" s="10" t="str">
        <f>INDEX(Lookup_Tables!$I$10:$I$16,MATCH(Cleaned_datasetB[[#This Row],[Day_Code]],Lookup_Tables!$H$10:$H$16,0))</f>
        <v>Sunday</v>
      </c>
      <c r="T655" s="10" t="str">
        <f>VLOOKUP(Cleaned_datasetB[[#This Row],[Month]], Lookup_Tables!$K$8:$L$19, 2, FALSE)</f>
        <v>January</v>
      </c>
      <c r="U655" s="10" t="str">
        <f>IF(AND(Cleaned_datasetB[[#This Row],[Day_Type]]="Weekday",Cleaned_datasetB[[#This Row],[Is_Holiday]]=FALSE),"Working Day","Non-Working Day")</f>
        <v>Non-Working Day</v>
      </c>
    </row>
    <row r="656" spans="1:21">
      <c r="A656" s="10">
        <v>655</v>
      </c>
      <c r="B656" s="23">
        <v>40573</v>
      </c>
      <c r="C656" s="10">
        <v>1</v>
      </c>
      <c r="D656" s="10">
        <v>0</v>
      </c>
      <c r="E656" s="10">
        <v>1</v>
      </c>
      <c r="F656" s="10">
        <v>14</v>
      </c>
      <c r="G656" s="10" t="b">
        <v>0</v>
      </c>
      <c r="H656" s="10">
        <v>0</v>
      </c>
      <c r="I656" s="10" t="str">
        <f>IF(OR(Cleaned_datasetB[[#This Row],[Day_Code]]=0,Cleaned_datasetB[[#This Row],[Day_Code]]=6),"Weekend","Weekday")</f>
        <v>Weekend</v>
      </c>
      <c r="J656" s="10">
        <v>1</v>
      </c>
      <c r="K656" s="10">
        <v>0.28000000000000003</v>
      </c>
      <c r="L656" s="51">
        <v>0.30299999999999999</v>
      </c>
      <c r="M656" s="10">
        <v>0.61</v>
      </c>
      <c r="N656" s="10">
        <v>8.9599999999999999E-2</v>
      </c>
      <c r="O656" s="10">
        <v>18</v>
      </c>
      <c r="P656" s="10">
        <v>104</v>
      </c>
      <c r="Q656" s="10">
        <v>122</v>
      </c>
      <c r="R656" s="10" t="str">
        <f>VLOOKUP(Cleaned_datasetB[[#This Row],[Weather_Code]],Lookup_Tables!$E$9:$F$13,2,FALSE)</f>
        <v>Clear</v>
      </c>
      <c r="S656" s="10" t="str">
        <f>INDEX(Lookup_Tables!$I$10:$I$16,MATCH(Cleaned_datasetB[[#This Row],[Day_Code]],Lookup_Tables!$H$10:$H$16,0))</f>
        <v>Sunday</v>
      </c>
      <c r="T656" s="10" t="str">
        <f>VLOOKUP(Cleaned_datasetB[[#This Row],[Month]], Lookup_Tables!$K$8:$L$19, 2, FALSE)</f>
        <v>January</v>
      </c>
      <c r="U656" s="10" t="str">
        <f>IF(AND(Cleaned_datasetB[[#This Row],[Day_Type]]="Weekday",Cleaned_datasetB[[#This Row],[Is_Holiday]]=FALSE),"Working Day","Non-Working Day")</f>
        <v>Non-Working Day</v>
      </c>
    </row>
    <row r="657" spans="1:21">
      <c r="A657" s="10">
        <v>656</v>
      </c>
      <c r="B657" s="23">
        <v>40573</v>
      </c>
      <c r="C657" s="10">
        <v>1</v>
      </c>
      <c r="D657" s="10">
        <v>0</v>
      </c>
      <c r="E657" s="10">
        <v>1</v>
      </c>
      <c r="F657" s="10">
        <v>15</v>
      </c>
      <c r="G657" s="10" t="b">
        <v>0</v>
      </c>
      <c r="H657" s="10">
        <v>0</v>
      </c>
      <c r="I657" s="10" t="str">
        <f>IF(OR(Cleaned_datasetB[[#This Row],[Day_Code]]=0,Cleaned_datasetB[[#This Row],[Day_Code]]=6),"Weekend","Weekday")</f>
        <v>Weekend</v>
      </c>
      <c r="J657" s="10">
        <v>1</v>
      </c>
      <c r="K657" s="10">
        <v>0.3</v>
      </c>
      <c r="L657" s="51">
        <v>0.33329999999999999</v>
      </c>
      <c r="M657" s="10">
        <v>0.56000000000000005</v>
      </c>
      <c r="N657" s="10">
        <v>0</v>
      </c>
      <c r="O657" s="10">
        <v>14</v>
      </c>
      <c r="P657" s="10">
        <v>95</v>
      </c>
      <c r="Q657" s="10">
        <v>109</v>
      </c>
      <c r="R657" s="10" t="str">
        <f>VLOOKUP(Cleaned_datasetB[[#This Row],[Weather_Code]],Lookup_Tables!$E$9:$F$13,2,FALSE)</f>
        <v>Clear</v>
      </c>
      <c r="S657" s="10" t="str">
        <f>INDEX(Lookup_Tables!$I$10:$I$16,MATCH(Cleaned_datasetB[[#This Row],[Day_Code]],Lookup_Tables!$H$10:$H$16,0))</f>
        <v>Sunday</v>
      </c>
      <c r="T657" s="10" t="str">
        <f>VLOOKUP(Cleaned_datasetB[[#This Row],[Month]], Lookup_Tables!$K$8:$L$19, 2, FALSE)</f>
        <v>January</v>
      </c>
      <c r="U657" s="10" t="str">
        <f>IF(AND(Cleaned_datasetB[[#This Row],[Day_Type]]="Weekday",Cleaned_datasetB[[#This Row],[Is_Holiday]]=FALSE),"Working Day","Non-Working Day")</f>
        <v>Non-Working Day</v>
      </c>
    </row>
    <row r="658" spans="1:21">
      <c r="A658" s="10">
        <v>657</v>
      </c>
      <c r="B658" s="23">
        <v>40573</v>
      </c>
      <c r="C658" s="10">
        <v>1</v>
      </c>
      <c r="D658" s="10">
        <v>0</v>
      </c>
      <c r="E658" s="10">
        <v>1</v>
      </c>
      <c r="F658" s="10">
        <v>16</v>
      </c>
      <c r="G658" s="10" t="b">
        <v>0</v>
      </c>
      <c r="H658" s="10">
        <v>0</v>
      </c>
      <c r="I658" s="10" t="str">
        <f>IF(OR(Cleaned_datasetB[[#This Row],[Day_Code]]=0,Cleaned_datasetB[[#This Row],[Day_Code]]=6),"Weekend","Weekday")</f>
        <v>Weekend</v>
      </c>
      <c r="J658" s="10">
        <v>1</v>
      </c>
      <c r="K658" s="10">
        <v>0.3</v>
      </c>
      <c r="L658" s="51">
        <v>0.33329999999999999</v>
      </c>
      <c r="M658" s="10">
        <v>0.56000000000000005</v>
      </c>
      <c r="N658" s="10">
        <v>0</v>
      </c>
      <c r="O658" s="10">
        <v>19</v>
      </c>
      <c r="P658" s="10">
        <v>104</v>
      </c>
      <c r="Q658" s="10">
        <v>123</v>
      </c>
      <c r="R658" s="10" t="str">
        <f>VLOOKUP(Cleaned_datasetB[[#This Row],[Weather_Code]],Lookup_Tables!$E$9:$F$13,2,FALSE)</f>
        <v>Clear</v>
      </c>
      <c r="S658" s="10" t="str">
        <f>INDEX(Lookup_Tables!$I$10:$I$16,MATCH(Cleaned_datasetB[[#This Row],[Day_Code]],Lookup_Tables!$H$10:$H$16,0))</f>
        <v>Sunday</v>
      </c>
      <c r="T658" s="10" t="str">
        <f>VLOOKUP(Cleaned_datasetB[[#This Row],[Month]], Lookup_Tables!$K$8:$L$19, 2, FALSE)</f>
        <v>January</v>
      </c>
      <c r="U658" s="10" t="str">
        <f>IF(AND(Cleaned_datasetB[[#This Row],[Day_Type]]="Weekday",Cleaned_datasetB[[#This Row],[Is_Holiday]]=FALSE),"Working Day","Non-Working Day")</f>
        <v>Non-Working Day</v>
      </c>
    </row>
    <row r="659" spans="1:21">
      <c r="A659" s="10">
        <v>658</v>
      </c>
      <c r="B659" s="23">
        <v>40573</v>
      </c>
      <c r="C659" s="10">
        <v>1</v>
      </c>
      <c r="D659" s="10">
        <v>0</v>
      </c>
      <c r="E659" s="10">
        <v>1</v>
      </c>
      <c r="F659" s="10">
        <v>17</v>
      </c>
      <c r="G659" s="10" t="b">
        <v>0</v>
      </c>
      <c r="H659" s="10">
        <v>0</v>
      </c>
      <c r="I659" s="10" t="str">
        <f>IF(OR(Cleaned_datasetB[[#This Row],[Day_Code]]=0,Cleaned_datasetB[[#This Row],[Day_Code]]=6),"Weekend","Weekday")</f>
        <v>Weekend</v>
      </c>
      <c r="J659" s="10">
        <v>1</v>
      </c>
      <c r="K659" s="10">
        <v>0.3</v>
      </c>
      <c r="L659" s="51">
        <v>0.28789999999999999</v>
      </c>
      <c r="M659" s="10">
        <v>0.56000000000000005</v>
      </c>
      <c r="N659" s="10">
        <v>0.19400000000000001</v>
      </c>
      <c r="O659" s="10">
        <v>6</v>
      </c>
      <c r="P659" s="10">
        <v>71</v>
      </c>
      <c r="Q659" s="10">
        <v>77</v>
      </c>
      <c r="R659" s="10" t="str">
        <f>VLOOKUP(Cleaned_datasetB[[#This Row],[Weather_Code]],Lookup_Tables!$E$9:$F$13,2,FALSE)</f>
        <v>Clear</v>
      </c>
      <c r="S659" s="10" t="str">
        <f>INDEX(Lookup_Tables!$I$10:$I$16,MATCH(Cleaned_datasetB[[#This Row],[Day_Code]],Lookup_Tables!$H$10:$H$16,0))</f>
        <v>Sunday</v>
      </c>
      <c r="T659" s="10" t="str">
        <f>VLOOKUP(Cleaned_datasetB[[#This Row],[Month]], Lookup_Tables!$K$8:$L$19, 2, FALSE)</f>
        <v>January</v>
      </c>
      <c r="U659" s="10" t="str">
        <f>IF(AND(Cleaned_datasetB[[#This Row],[Day_Type]]="Weekday",Cleaned_datasetB[[#This Row],[Is_Holiday]]=FALSE),"Working Day","Non-Working Day")</f>
        <v>Non-Working Day</v>
      </c>
    </row>
    <row r="660" spans="1:21">
      <c r="A660" s="10">
        <v>659</v>
      </c>
      <c r="B660" s="23">
        <v>40573</v>
      </c>
      <c r="C660" s="10">
        <v>1</v>
      </c>
      <c r="D660" s="10">
        <v>0</v>
      </c>
      <c r="E660" s="10">
        <v>1</v>
      </c>
      <c r="F660" s="10">
        <v>18</v>
      </c>
      <c r="G660" s="10" t="b">
        <v>0</v>
      </c>
      <c r="H660" s="10">
        <v>0</v>
      </c>
      <c r="I660" s="10" t="str">
        <f>IF(OR(Cleaned_datasetB[[#This Row],[Day_Code]]=0,Cleaned_datasetB[[#This Row],[Day_Code]]=6),"Weekend","Weekday")</f>
        <v>Weekend</v>
      </c>
      <c r="J660" s="10">
        <v>1</v>
      </c>
      <c r="K660" s="10">
        <v>0.26</v>
      </c>
      <c r="L660" s="51">
        <v>0.2576</v>
      </c>
      <c r="M660" s="10">
        <v>0.65</v>
      </c>
      <c r="N660" s="10">
        <v>0.16420000000000001</v>
      </c>
      <c r="O660" s="10">
        <v>8</v>
      </c>
      <c r="P660" s="10">
        <v>57</v>
      </c>
      <c r="Q660" s="10">
        <v>65</v>
      </c>
      <c r="R660" s="10" t="str">
        <f>VLOOKUP(Cleaned_datasetB[[#This Row],[Weather_Code]],Lookup_Tables!$E$9:$F$13,2,FALSE)</f>
        <v>Clear</v>
      </c>
      <c r="S660" s="10" t="str">
        <f>INDEX(Lookup_Tables!$I$10:$I$16,MATCH(Cleaned_datasetB[[#This Row],[Day_Code]],Lookup_Tables!$H$10:$H$16,0))</f>
        <v>Sunday</v>
      </c>
      <c r="T660" s="10" t="str">
        <f>VLOOKUP(Cleaned_datasetB[[#This Row],[Month]], Lookup_Tables!$K$8:$L$19, 2, FALSE)</f>
        <v>January</v>
      </c>
      <c r="U660" s="10" t="str">
        <f>IF(AND(Cleaned_datasetB[[#This Row],[Day_Type]]="Weekday",Cleaned_datasetB[[#This Row],[Is_Holiday]]=FALSE),"Working Day","Non-Working Day")</f>
        <v>Non-Working Day</v>
      </c>
    </row>
    <row r="661" spans="1:21">
      <c r="A661" s="10">
        <v>660</v>
      </c>
      <c r="B661" s="23">
        <v>40573</v>
      </c>
      <c r="C661" s="10">
        <v>1</v>
      </c>
      <c r="D661" s="10">
        <v>0</v>
      </c>
      <c r="E661" s="10">
        <v>1</v>
      </c>
      <c r="F661" s="10">
        <v>19</v>
      </c>
      <c r="G661" s="10" t="b">
        <v>0</v>
      </c>
      <c r="H661" s="10">
        <v>0</v>
      </c>
      <c r="I661" s="10" t="str">
        <f>IF(OR(Cleaned_datasetB[[#This Row],[Day_Code]]=0,Cleaned_datasetB[[#This Row],[Day_Code]]=6),"Weekend","Weekday")</f>
        <v>Weekend</v>
      </c>
      <c r="J661" s="10">
        <v>1</v>
      </c>
      <c r="K661" s="10">
        <v>0.26</v>
      </c>
      <c r="L661" s="51">
        <v>0.2576</v>
      </c>
      <c r="M661" s="10">
        <v>0.65</v>
      </c>
      <c r="N661" s="10">
        <v>0.19400000000000001</v>
      </c>
      <c r="O661" s="10">
        <v>9</v>
      </c>
      <c r="P661" s="10">
        <v>46</v>
      </c>
      <c r="Q661" s="10">
        <v>55</v>
      </c>
      <c r="R661" s="10" t="str">
        <f>VLOOKUP(Cleaned_datasetB[[#This Row],[Weather_Code]],Lookup_Tables!$E$9:$F$13,2,FALSE)</f>
        <v>Clear</v>
      </c>
      <c r="S661" s="10" t="str">
        <f>INDEX(Lookup_Tables!$I$10:$I$16,MATCH(Cleaned_datasetB[[#This Row],[Day_Code]],Lookup_Tables!$H$10:$H$16,0))</f>
        <v>Sunday</v>
      </c>
      <c r="T661" s="10" t="str">
        <f>VLOOKUP(Cleaned_datasetB[[#This Row],[Month]], Lookup_Tables!$K$8:$L$19, 2, FALSE)</f>
        <v>January</v>
      </c>
      <c r="U661" s="10" t="str">
        <f>IF(AND(Cleaned_datasetB[[#This Row],[Day_Type]]="Weekday",Cleaned_datasetB[[#This Row],[Is_Holiday]]=FALSE),"Working Day","Non-Working Day")</f>
        <v>Non-Working Day</v>
      </c>
    </row>
    <row r="662" spans="1:21">
      <c r="A662" s="10">
        <v>661</v>
      </c>
      <c r="B662" s="23">
        <v>40573</v>
      </c>
      <c r="C662" s="10">
        <v>1</v>
      </c>
      <c r="D662" s="10">
        <v>0</v>
      </c>
      <c r="E662" s="10">
        <v>1</v>
      </c>
      <c r="F662" s="10">
        <v>20</v>
      </c>
      <c r="G662" s="10" t="b">
        <v>0</v>
      </c>
      <c r="H662" s="10">
        <v>0</v>
      </c>
      <c r="I662" s="10" t="str">
        <f>IF(OR(Cleaned_datasetB[[#This Row],[Day_Code]]=0,Cleaned_datasetB[[#This Row],[Day_Code]]=6),"Weekend","Weekday")</f>
        <v>Weekend</v>
      </c>
      <c r="J662" s="10">
        <v>2</v>
      </c>
      <c r="K662" s="10">
        <v>0.26</v>
      </c>
      <c r="L662" s="51">
        <v>0.2727</v>
      </c>
      <c r="M662" s="10">
        <v>0.65</v>
      </c>
      <c r="N662" s="10">
        <v>0.1045</v>
      </c>
      <c r="O662" s="10">
        <v>3</v>
      </c>
      <c r="P662" s="10">
        <v>30</v>
      </c>
      <c r="Q662" s="10">
        <v>33</v>
      </c>
      <c r="R662" s="10" t="str">
        <f>VLOOKUP(Cleaned_datasetB[[#This Row],[Weather_Code]],Lookup_Tables!$E$9:$F$13,2,FALSE)</f>
        <v>Cloudy</v>
      </c>
      <c r="S662" s="10" t="str">
        <f>INDEX(Lookup_Tables!$I$10:$I$16,MATCH(Cleaned_datasetB[[#This Row],[Day_Code]],Lookup_Tables!$H$10:$H$16,0))</f>
        <v>Sunday</v>
      </c>
      <c r="T662" s="10" t="str">
        <f>VLOOKUP(Cleaned_datasetB[[#This Row],[Month]], Lookup_Tables!$K$8:$L$19, 2, FALSE)</f>
        <v>January</v>
      </c>
      <c r="U662" s="10" t="str">
        <f>IF(AND(Cleaned_datasetB[[#This Row],[Day_Type]]="Weekday",Cleaned_datasetB[[#This Row],[Is_Holiday]]=FALSE),"Working Day","Non-Working Day")</f>
        <v>Non-Working Day</v>
      </c>
    </row>
    <row r="663" spans="1:21">
      <c r="A663" s="10">
        <v>662</v>
      </c>
      <c r="B663" s="23">
        <v>40573</v>
      </c>
      <c r="C663" s="10">
        <v>1</v>
      </c>
      <c r="D663" s="10">
        <v>0</v>
      </c>
      <c r="E663" s="10">
        <v>1</v>
      </c>
      <c r="F663" s="10">
        <v>21</v>
      </c>
      <c r="G663" s="10" t="b">
        <v>0</v>
      </c>
      <c r="H663" s="10">
        <v>0</v>
      </c>
      <c r="I663" s="10" t="str">
        <f>IF(OR(Cleaned_datasetB[[#This Row],[Day_Code]]=0,Cleaned_datasetB[[#This Row],[Day_Code]]=6),"Weekend","Weekday")</f>
        <v>Weekend</v>
      </c>
      <c r="J663" s="10">
        <v>2</v>
      </c>
      <c r="K663" s="10">
        <v>0.24</v>
      </c>
      <c r="L663" s="51">
        <v>0.2424</v>
      </c>
      <c r="M663" s="10">
        <v>0.7</v>
      </c>
      <c r="N663" s="10">
        <v>0.16420000000000001</v>
      </c>
      <c r="O663" s="10">
        <v>3</v>
      </c>
      <c r="P663" s="10">
        <v>25</v>
      </c>
      <c r="Q663" s="10">
        <v>28</v>
      </c>
      <c r="R663" s="10" t="str">
        <f>VLOOKUP(Cleaned_datasetB[[#This Row],[Weather_Code]],Lookup_Tables!$E$9:$F$13,2,FALSE)</f>
        <v>Cloudy</v>
      </c>
      <c r="S663" s="10" t="str">
        <f>INDEX(Lookup_Tables!$I$10:$I$16,MATCH(Cleaned_datasetB[[#This Row],[Day_Code]],Lookup_Tables!$H$10:$H$16,0))</f>
        <v>Sunday</v>
      </c>
      <c r="T663" s="10" t="str">
        <f>VLOOKUP(Cleaned_datasetB[[#This Row],[Month]], Lookup_Tables!$K$8:$L$19, 2, FALSE)</f>
        <v>January</v>
      </c>
      <c r="U663" s="10" t="str">
        <f>IF(AND(Cleaned_datasetB[[#This Row],[Day_Type]]="Weekday",Cleaned_datasetB[[#This Row],[Is_Holiday]]=FALSE),"Working Day","Non-Working Day")</f>
        <v>Non-Working Day</v>
      </c>
    </row>
    <row r="664" spans="1:21">
      <c r="A664" s="10">
        <v>663</v>
      </c>
      <c r="B664" s="23">
        <v>40573</v>
      </c>
      <c r="C664" s="10">
        <v>1</v>
      </c>
      <c r="D664" s="10">
        <v>0</v>
      </c>
      <c r="E664" s="10">
        <v>1</v>
      </c>
      <c r="F664" s="10">
        <v>22</v>
      </c>
      <c r="G664" s="10" t="b">
        <v>0</v>
      </c>
      <c r="H664" s="10">
        <v>0</v>
      </c>
      <c r="I664" s="10" t="str">
        <f>IF(OR(Cleaned_datasetB[[#This Row],[Day_Code]]=0,Cleaned_datasetB[[#This Row],[Day_Code]]=6),"Weekend","Weekday")</f>
        <v>Weekend</v>
      </c>
      <c r="J664" s="10">
        <v>2</v>
      </c>
      <c r="K664" s="10">
        <v>0.24</v>
      </c>
      <c r="L664" s="51">
        <v>0.2273</v>
      </c>
      <c r="M664" s="10">
        <v>0.7</v>
      </c>
      <c r="N664" s="10">
        <v>0.19400000000000001</v>
      </c>
      <c r="O664" s="10">
        <v>2</v>
      </c>
      <c r="P664" s="10">
        <v>19</v>
      </c>
      <c r="Q664" s="10">
        <v>21</v>
      </c>
      <c r="R664" s="10" t="str">
        <f>VLOOKUP(Cleaned_datasetB[[#This Row],[Weather_Code]],Lookup_Tables!$E$9:$F$13,2,FALSE)</f>
        <v>Cloudy</v>
      </c>
      <c r="S664" s="10" t="str">
        <f>INDEX(Lookup_Tables!$I$10:$I$16,MATCH(Cleaned_datasetB[[#This Row],[Day_Code]],Lookup_Tables!$H$10:$H$16,0))</f>
        <v>Sunday</v>
      </c>
      <c r="T664" s="10" t="str">
        <f>VLOOKUP(Cleaned_datasetB[[#This Row],[Month]], Lookup_Tables!$K$8:$L$19, 2, FALSE)</f>
        <v>January</v>
      </c>
      <c r="U664" s="10" t="str">
        <f>IF(AND(Cleaned_datasetB[[#This Row],[Day_Type]]="Weekday",Cleaned_datasetB[[#This Row],[Is_Holiday]]=FALSE),"Working Day","Non-Working Day")</f>
        <v>Non-Working Day</v>
      </c>
    </row>
    <row r="665" spans="1:21">
      <c r="A665" s="10">
        <v>664</v>
      </c>
      <c r="B665" s="23">
        <v>40573</v>
      </c>
      <c r="C665" s="10">
        <v>1</v>
      </c>
      <c r="D665" s="10">
        <v>0</v>
      </c>
      <c r="E665" s="10">
        <v>1</v>
      </c>
      <c r="F665" s="10">
        <v>23</v>
      </c>
      <c r="G665" s="10" t="b">
        <v>0</v>
      </c>
      <c r="H665" s="10">
        <v>0</v>
      </c>
      <c r="I665" s="10" t="str">
        <f>IF(OR(Cleaned_datasetB[[#This Row],[Day_Code]]=0,Cleaned_datasetB[[#This Row],[Day_Code]]=6),"Weekend","Weekday")</f>
        <v>Weekend</v>
      </c>
      <c r="J665" s="10">
        <v>2</v>
      </c>
      <c r="K665" s="10">
        <v>0.24</v>
      </c>
      <c r="L665" s="51">
        <v>0.21210000000000001</v>
      </c>
      <c r="M665" s="10">
        <v>0.65</v>
      </c>
      <c r="N665" s="10">
        <v>0.28360000000000002</v>
      </c>
      <c r="O665" s="10">
        <v>5</v>
      </c>
      <c r="P665" s="10">
        <v>16</v>
      </c>
      <c r="Q665" s="10">
        <v>21</v>
      </c>
      <c r="R665" s="10" t="str">
        <f>VLOOKUP(Cleaned_datasetB[[#This Row],[Weather_Code]],Lookup_Tables!$E$9:$F$13,2,FALSE)</f>
        <v>Cloudy</v>
      </c>
      <c r="S665" s="10" t="str">
        <f>INDEX(Lookup_Tables!$I$10:$I$16,MATCH(Cleaned_datasetB[[#This Row],[Day_Code]],Lookup_Tables!$H$10:$H$16,0))</f>
        <v>Sunday</v>
      </c>
      <c r="T665" s="10" t="str">
        <f>VLOOKUP(Cleaned_datasetB[[#This Row],[Month]], Lookup_Tables!$K$8:$L$19, 2, FALSE)</f>
        <v>January</v>
      </c>
      <c r="U665" s="10" t="str">
        <f>IF(AND(Cleaned_datasetB[[#This Row],[Day_Type]]="Weekday",Cleaned_datasetB[[#This Row],[Is_Holiday]]=FALSE),"Working Day","Non-Working Day")</f>
        <v>Non-Working Day</v>
      </c>
    </row>
    <row r="666" spans="1:21">
      <c r="A666" s="10">
        <v>665</v>
      </c>
      <c r="B666" s="23">
        <v>40574</v>
      </c>
      <c r="C666" s="10">
        <v>1</v>
      </c>
      <c r="D666" s="10">
        <v>0</v>
      </c>
      <c r="E666" s="10">
        <v>1</v>
      </c>
      <c r="F666" s="10">
        <v>0</v>
      </c>
      <c r="G666" s="10" t="b">
        <v>0</v>
      </c>
      <c r="H666" s="10">
        <v>1</v>
      </c>
      <c r="I666" s="10" t="str">
        <f>IF(OR(Cleaned_datasetB[[#This Row],[Day_Code]]=0,Cleaned_datasetB[[#This Row],[Day_Code]]=6),"Weekend","Weekday")</f>
        <v>Weekday</v>
      </c>
      <c r="J666" s="10">
        <v>2</v>
      </c>
      <c r="K666" s="10">
        <v>0.24</v>
      </c>
      <c r="L666" s="51">
        <v>0.2273</v>
      </c>
      <c r="M666" s="10">
        <v>0.65</v>
      </c>
      <c r="N666" s="10">
        <v>0.22389999999999999</v>
      </c>
      <c r="O666" s="10">
        <v>1</v>
      </c>
      <c r="P666" s="10">
        <v>6</v>
      </c>
      <c r="Q666" s="10">
        <v>7</v>
      </c>
      <c r="R666" s="10" t="str">
        <f>VLOOKUP(Cleaned_datasetB[[#This Row],[Weather_Code]],Lookup_Tables!$E$9:$F$13,2,FALSE)</f>
        <v>Cloudy</v>
      </c>
      <c r="S666" s="10" t="str">
        <f>INDEX(Lookup_Tables!$I$10:$I$16,MATCH(Cleaned_datasetB[[#This Row],[Day_Code]],Lookup_Tables!$H$10:$H$16,0))</f>
        <v>Monday</v>
      </c>
      <c r="T666" s="10" t="str">
        <f>VLOOKUP(Cleaned_datasetB[[#This Row],[Month]], Lookup_Tables!$K$8:$L$19, 2, FALSE)</f>
        <v>January</v>
      </c>
      <c r="U666" s="10" t="str">
        <f>IF(AND(Cleaned_datasetB[[#This Row],[Day_Type]]="Weekday",Cleaned_datasetB[[#This Row],[Is_Holiday]]=FALSE),"Working Day","Non-Working Day")</f>
        <v>Working Day</v>
      </c>
    </row>
    <row r="667" spans="1:21">
      <c r="A667" s="10">
        <v>666</v>
      </c>
      <c r="B667" s="23">
        <v>40574</v>
      </c>
      <c r="C667" s="10">
        <v>1</v>
      </c>
      <c r="D667" s="10">
        <v>0</v>
      </c>
      <c r="E667" s="10">
        <v>1</v>
      </c>
      <c r="F667" s="10">
        <v>1</v>
      </c>
      <c r="G667" s="10" t="b">
        <v>0</v>
      </c>
      <c r="H667" s="10">
        <v>1</v>
      </c>
      <c r="I667" s="10" t="str">
        <f>IF(OR(Cleaned_datasetB[[#This Row],[Day_Code]]=0,Cleaned_datasetB[[#This Row],[Day_Code]]=6),"Weekend","Weekday")</f>
        <v>Weekday</v>
      </c>
      <c r="J667" s="10">
        <v>1</v>
      </c>
      <c r="K667" s="10">
        <v>0.22</v>
      </c>
      <c r="L667" s="51">
        <v>0.21210000000000001</v>
      </c>
      <c r="M667" s="10">
        <v>0.64</v>
      </c>
      <c r="N667" s="10">
        <v>0.25369999999999998</v>
      </c>
      <c r="O667" s="10">
        <v>2</v>
      </c>
      <c r="P667" s="10">
        <v>5</v>
      </c>
      <c r="Q667" s="10">
        <v>7</v>
      </c>
      <c r="R667" s="10" t="str">
        <f>VLOOKUP(Cleaned_datasetB[[#This Row],[Weather_Code]],Lookup_Tables!$E$9:$F$13,2,FALSE)</f>
        <v>Clear</v>
      </c>
      <c r="S667" s="10" t="str">
        <f>INDEX(Lookup_Tables!$I$10:$I$16,MATCH(Cleaned_datasetB[[#This Row],[Day_Code]],Lookup_Tables!$H$10:$H$16,0))</f>
        <v>Monday</v>
      </c>
      <c r="T667" s="10" t="str">
        <f>VLOOKUP(Cleaned_datasetB[[#This Row],[Month]], Lookup_Tables!$K$8:$L$19, 2, FALSE)</f>
        <v>January</v>
      </c>
      <c r="U667" s="10" t="str">
        <f>IF(AND(Cleaned_datasetB[[#This Row],[Day_Type]]="Weekday",Cleaned_datasetB[[#This Row],[Is_Holiday]]=FALSE),"Working Day","Non-Working Day")</f>
        <v>Working Day</v>
      </c>
    </row>
    <row r="668" spans="1:21">
      <c r="A668" s="10">
        <v>667</v>
      </c>
      <c r="B668" s="23">
        <v>40574</v>
      </c>
      <c r="C668" s="10">
        <v>1</v>
      </c>
      <c r="D668" s="10">
        <v>0</v>
      </c>
      <c r="E668" s="10">
        <v>1</v>
      </c>
      <c r="F668" s="10">
        <v>2</v>
      </c>
      <c r="G668" s="10" t="b">
        <v>0</v>
      </c>
      <c r="H668" s="10">
        <v>1</v>
      </c>
      <c r="I668" s="10" t="str">
        <f>IF(OR(Cleaned_datasetB[[#This Row],[Day_Code]]=0,Cleaned_datasetB[[#This Row],[Day_Code]]=6),"Weekend","Weekday")</f>
        <v>Weekday</v>
      </c>
      <c r="J668" s="10">
        <v>1</v>
      </c>
      <c r="K668" s="10">
        <v>0.22</v>
      </c>
      <c r="L668" s="51">
        <v>0.2273</v>
      </c>
      <c r="M668" s="10">
        <v>0.64</v>
      </c>
      <c r="N668" s="10">
        <v>0.19400000000000001</v>
      </c>
      <c r="O668" s="10">
        <v>0</v>
      </c>
      <c r="P668" s="10">
        <v>1</v>
      </c>
      <c r="Q668" s="10">
        <v>1</v>
      </c>
      <c r="R668" s="10" t="str">
        <f>VLOOKUP(Cleaned_datasetB[[#This Row],[Weather_Code]],Lookup_Tables!$E$9:$F$13,2,FALSE)</f>
        <v>Clear</v>
      </c>
      <c r="S668" s="10" t="str">
        <f>INDEX(Lookup_Tables!$I$10:$I$16,MATCH(Cleaned_datasetB[[#This Row],[Day_Code]],Lookup_Tables!$H$10:$H$16,0))</f>
        <v>Monday</v>
      </c>
      <c r="T668" s="10" t="str">
        <f>VLOOKUP(Cleaned_datasetB[[#This Row],[Month]], Lookup_Tables!$K$8:$L$19, 2, FALSE)</f>
        <v>January</v>
      </c>
      <c r="U668" s="10" t="str">
        <f>IF(AND(Cleaned_datasetB[[#This Row],[Day_Type]]="Weekday",Cleaned_datasetB[[#This Row],[Is_Holiday]]=FALSE),"Working Day","Non-Working Day")</f>
        <v>Working Day</v>
      </c>
    </row>
    <row r="669" spans="1:21">
      <c r="A669" s="10">
        <v>668</v>
      </c>
      <c r="B669" s="23">
        <v>40574</v>
      </c>
      <c r="C669" s="10">
        <v>1</v>
      </c>
      <c r="D669" s="10">
        <v>0</v>
      </c>
      <c r="E669" s="10">
        <v>1</v>
      </c>
      <c r="F669" s="10">
        <v>3</v>
      </c>
      <c r="G669" s="10" t="b">
        <v>0</v>
      </c>
      <c r="H669" s="10">
        <v>1</v>
      </c>
      <c r="I669" s="10" t="str">
        <f>IF(OR(Cleaned_datasetB[[#This Row],[Day_Code]]=0,Cleaned_datasetB[[#This Row],[Day_Code]]=6),"Weekend","Weekday")</f>
        <v>Weekday</v>
      </c>
      <c r="J669" s="10">
        <v>1</v>
      </c>
      <c r="K669" s="10">
        <v>0.22</v>
      </c>
      <c r="L669" s="51">
        <v>0.2273</v>
      </c>
      <c r="M669" s="10">
        <v>0.64</v>
      </c>
      <c r="N669" s="10">
        <v>0.19400000000000001</v>
      </c>
      <c r="O669" s="10">
        <v>0</v>
      </c>
      <c r="P669" s="10">
        <v>2</v>
      </c>
      <c r="Q669" s="10">
        <v>2</v>
      </c>
      <c r="R669" s="10" t="str">
        <f>VLOOKUP(Cleaned_datasetB[[#This Row],[Weather_Code]],Lookup_Tables!$E$9:$F$13,2,FALSE)</f>
        <v>Clear</v>
      </c>
      <c r="S669" s="10" t="str">
        <f>INDEX(Lookup_Tables!$I$10:$I$16,MATCH(Cleaned_datasetB[[#This Row],[Day_Code]],Lookup_Tables!$H$10:$H$16,0))</f>
        <v>Monday</v>
      </c>
      <c r="T669" s="10" t="str">
        <f>VLOOKUP(Cleaned_datasetB[[#This Row],[Month]], Lookup_Tables!$K$8:$L$19, 2, FALSE)</f>
        <v>January</v>
      </c>
      <c r="U669" s="10" t="str">
        <f>IF(AND(Cleaned_datasetB[[#This Row],[Day_Type]]="Weekday",Cleaned_datasetB[[#This Row],[Is_Holiday]]=FALSE),"Working Day","Non-Working Day")</f>
        <v>Working Day</v>
      </c>
    </row>
    <row r="670" spans="1:21">
      <c r="A670" s="10">
        <v>669</v>
      </c>
      <c r="B670" s="23">
        <v>40574</v>
      </c>
      <c r="C670" s="10">
        <v>1</v>
      </c>
      <c r="D670" s="10">
        <v>0</v>
      </c>
      <c r="E670" s="10">
        <v>1</v>
      </c>
      <c r="F670" s="10">
        <v>4</v>
      </c>
      <c r="G670" s="10" t="b">
        <v>0</v>
      </c>
      <c r="H670" s="10">
        <v>1</v>
      </c>
      <c r="I670" s="10" t="str">
        <f>IF(OR(Cleaned_datasetB[[#This Row],[Day_Code]]=0,Cleaned_datasetB[[#This Row],[Day_Code]]=6),"Weekend","Weekday")</f>
        <v>Weekday</v>
      </c>
      <c r="J670" s="10">
        <v>1</v>
      </c>
      <c r="K670" s="10">
        <v>0.2</v>
      </c>
      <c r="L670" s="51">
        <v>0.19700000000000001</v>
      </c>
      <c r="M670" s="10">
        <v>0.59</v>
      </c>
      <c r="N670" s="10">
        <v>0.22389999999999999</v>
      </c>
      <c r="O670" s="10">
        <v>0</v>
      </c>
      <c r="P670" s="10">
        <v>2</v>
      </c>
      <c r="Q670" s="10">
        <v>2</v>
      </c>
      <c r="R670" s="10" t="str">
        <f>VLOOKUP(Cleaned_datasetB[[#This Row],[Weather_Code]],Lookup_Tables!$E$9:$F$13,2,FALSE)</f>
        <v>Clear</v>
      </c>
      <c r="S670" s="10" t="str">
        <f>INDEX(Lookup_Tables!$I$10:$I$16,MATCH(Cleaned_datasetB[[#This Row],[Day_Code]],Lookup_Tables!$H$10:$H$16,0))</f>
        <v>Monday</v>
      </c>
      <c r="T670" s="10" t="str">
        <f>VLOOKUP(Cleaned_datasetB[[#This Row],[Month]], Lookup_Tables!$K$8:$L$19, 2, FALSE)</f>
        <v>January</v>
      </c>
      <c r="U670" s="10" t="str">
        <f>IF(AND(Cleaned_datasetB[[#This Row],[Day_Type]]="Weekday",Cleaned_datasetB[[#This Row],[Is_Holiday]]=FALSE),"Working Day","Non-Working Day")</f>
        <v>Working Day</v>
      </c>
    </row>
    <row r="671" spans="1:21">
      <c r="A671" s="10">
        <v>670</v>
      </c>
      <c r="B671" s="23">
        <v>40574</v>
      </c>
      <c r="C671" s="10">
        <v>1</v>
      </c>
      <c r="D671" s="10">
        <v>0</v>
      </c>
      <c r="E671" s="10">
        <v>1</v>
      </c>
      <c r="F671" s="10">
        <v>5</v>
      </c>
      <c r="G671" s="10" t="b">
        <v>0</v>
      </c>
      <c r="H671" s="10">
        <v>1</v>
      </c>
      <c r="I671" s="10" t="str">
        <f>IF(OR(Cleaned_datasetB[[#This Row],[Day_Code]]=0,Cleaned_datasetB[[#This Row],[Day_Code]]=6),"Weekend","Weekday")</f>
        <v>Weekday</v>
      </c>
      <c r="J671" s="10">
        <v>1</v>
      </c>
      <c r="K671" s="10">
        <v>0.18</v>
      </c>
      <c r="L671" s="51">
        <v>0.16669999999999999</v>
      </c>
      <c r="M671" s="10">
        <v>0.64</v>
      </c>
      <c r="N671" s="10">
        <v>0.28360000000000002</v>
      </c>
      <c r="O671" s="10">
        <v>0</v>
      </c>
      <c r="P671" s="10">
        <v>8</v>
      </c>
      <c r="Q671" s="10">
        <v>8</v>
      </c>
      <c r="R671" s="10" t="str">
        <f>VLOOKUP(Cleaned_datasetB[[#This Row],[Weather_Code]],Lookup_Tables!$E$9:$F$13,2,FALSE)</f>
        <v>Clear</v>
      </c>
      <c r="S671" s="10" t="str">
        <f>INDEX(Lookup_Tables!$I$10:$I$16,MATCH(Cleaned_datasetB[[#This Row],[Day_Code]],Lookup_Tables!$H$10:$H$16,0))</f>
        <v>Monday</v>
      </c>
      <c r="T671" s="10" t="str">
        <f>VLOOKUP(Cleaned_datasetB[[#This Row],[Month]], Lookup_Tables!$K$8:$L$19, 2, FALSE)</f>
        <v>January</v>
      </c>
      <c r="U671" s="10" t="str">
        <f>IF(AND(Cleaned_datasetB[[#This Row],[Day_Type]]="Weekday",Cleaned_datasetB[[#This Row],[Is_Holiday]]=FALSE),"Working Day","Non-Working Day")</f>
        <v>Working Day</v>
      </c>
    </row>
    <row r="672" spans="1:21">
      <c r="A672" s="10">
        <v>671</v>
      </c>
      <c r="B672" s="23">
        <v>40574</v>
      </c>
      <c r="C672" s="10">
        <v>1</v>
      </c>
      <c r="D672" s="10">
        <v>0</v>
      </c>
      <c r="E672" s="10">
        <v>1</v>
      </c>
      <c r="F672" s="10">
        <v>6</v>
      </c>
      <c r="G672" s="10" t="b">
        <v>0</v>
      </c>
      <c r="H672" s="10">
        <v>1</v>
      </c>
      <c r="I672" s="10" t="str">
        <f>IF(OR(Cleaned_datasetB[[#This Row],[Day_Code]]=0,Cleaned_datasetB[[#This Row],[Day_Code]]=6),"Weekend","Weekday")</f>
        <v>Weekday</v>
      </c>
      <c r="J672" s="10">
        <v>1</v>
      </c>
      <c r="K672" s="10">
        <v>0.16</v>
      </c>
      <c r="L672" s="51">
        <v>0.13639999999999999</v>
      </c>
      <c r="M672" s="10">
        <v>0.69</v>
      </c>
      <c r="N672" s="10">
        <v>0.32840000000000003</v>
      </c>
      <c r="O672" s="10">
        <v>0</v>
      </c>
      <c r="P672" s="10">
        <v>37</v>
      </c>
      <c r="Q672" s="10">
        <v>37</v>
      </c>
      <c r="R672" s="10" t="str">
        <f>VLOOKUP(Cleaned_datasetB[[#This Row],[Weather_Code]],Lookup_Tables!$E$9:$F$13,2,FALSE)</f>
        <v>Clear</v>
      </c>
      <c r="S672" s="10" t="str">
        <f>INDEX(Lookup_Tables!$I$10:$I$16,MATCH(Cleaned_datasetB[[#This Row],[Day_Code]],Lookup_Tables!$H$10:$H$16,0))</f>
        <v>Monday</v>
      </c>
      <c r="T672" s="10" t="str">
        <f>VLOOKUP(Cleaned_datasetB[[#This Row],[Month]], Lookup_Tables!$K$8:$L$19, 2, FALSE)</f>
        <v>January</v>
      </c>
      <c r="U672" s="10" t="str">
        <f>IF(AND(Cleaned_datasetB[[#This Row],[Day_Type]]="Weekday",Cleaned_datasetB[[#This Row],[Is_Holiday]]=FALSE),"Working Day","Non-Working Day")</f>
        <v>Working Day</v>
      </c>
    </row>
    <row r="673" spans="1:21">
      <c r="A673" s="10">
        <v>672</v>
      </c>
      <c r="B673" s="23">
        <v>40574</v>
      </c>
      <c r="C673" s="10">
        <v>1</v>
      </c>
      <c r="D673" s="10">
        <v>0</v>
      </c>
      <c r="E673" s="10">
        <v>1</v>
      </c>
      <c r="F673" s="10">
        <v>7</v>
      </c>
      <c r="G673" s="10" t="b">
        <v>0</v>
      </c>
      <c r="H673" s="10">
        <v>1</v>
      </c>
      <c r="I673" s="10" t="str">
        <f>IF(OR(Cleaned_datasetB[[#This Row],[Day_Code]]=0,Cleaned_datasetB[[#This Row],[Day_Code]]=6),"Weekend","Weekday")</f>
        <v>Weekday</v>
      </c>
      <c r="J673" s="10">
        <v>2</v>
      </c>
      <c r="K673" s="10">
        <v>0.16</v>
      </c>
      <c r="L673" s="51">
        <v>0.13639999999999999</v>
      </c>
      <c r="M673" s="10">
        <v>0.64</v>
      </c>
      <c r="N673" s="10">
        <v>0.28360000000000002</v>
      </c>
      <c r="O673" s="10">
        <v>1</v>
      </c>
      <c r="P673" s="10">
        <v>71</v>
      </c>
      <c r="Q673" s="10">
        <v>72</v>
      </c>
      <c r="R673" s="10" t="str">
        <f>VLOOKUP(Cleaned_datasetB[[#This Row],[Weather_Code]],Lookup_Tables!$E$9:$F$13,2,FALSE)</f>
        <v>Cloudy</v>
      </c>
      <c r="S673" s="10" t="str">
        <f>INDEX(Lookup_Tables!$I$10:$I$16,MATCH(Cleaned_datasetB[[#This Row],[Day_Code]],Lookup_Tables!$H$10:$H$16,0))</f>
        <v>Monday</v>
      </c>
      <c r="T673" s="10" t="str">
        <f>VLOOKUP(Cleaned_datasetB[[#This Row],[Month]], Lookup_Tables!$K$8:$L$19, 2, FALSE)</f>
        <v>January</v>
      </c>
      <c r="U673" s="10" t="str">
        <f>IF(AND(Cleaned_datasetB[[#This Row],[Day_Type]]="Weekday",Cleaned_datasetB[[#This Row],[Is_Holiday]]=FALSE),"Working Day","Non-Working Day")</f>
        <v>Working Day</v>
      </c>
    </row>
    <row r="674" spans="1:21">
      <c r="A674" s="10">
        <v>673</v>
      </c>
      <c r="B674" s="23">
        <v>40574</v>
      </c>
      <c r="C674" s="10">
        <v>1</v>
      </c>
      <c r="D674" s="10">
        <v>0</v>
      </c>
      <c r="E674" s="10">
        <v>1</v>
      </c>
      <c r="F674" s="10">
        <v>8</v>
      </c>
      <c r="G674" s="10" t="b">
        <v>0</v>
      </c>
      <c r="H674" s="10">
        <v>1</v>
      </c>
      <c r="I674" s="10" t="str">
        <f>IF(OR(Cleaned_datasetB[[#This Row],[Day_Code]]=0,Cleaned_datasetB[[#This Row],[Day_Code]]=6),"Weekend","Weekday")</f>
        <v>Weekday</v>
      </c>
      <c r="J674" s="10">
        <v>2</v>
      </c>
      <c r="K674" s="10">
        <v>0.16</v>
      </c>
      <c r="L674" s="51">
        <v>0.13639999999999999</v>
      </c>
      <c r="M674" s="10">
        <v>0.59</v>
      </c>
      <c r="N674" s="10">
        <v>0.28360000000000002</v>
      </c>
      <c r="O674" s="10">
        <v>3</v>
      </c>
      <c r="P674" s="10">
        <v>182</v>
      </c>
      <c r="Q674" s="10">
        <v>185</v>
      </c>
      <c r="R674" s="10" t="str">
        <f>VLOOKUP(Cleaned_datasetB[[#This Row],[Weather_Code]],Lookup_Tables!$E$9:$F$13,2,FALSE)</f>
        <v>Cloudy</v>
      </c>
      <c r="S674" s="10" t="str">
        <f>INDEX(Lookup_Tables!$I$10:$I$16,MATCH(Cleaned_datasetB[[#This Row],[Day_Code]],Lookup_Tables!$H$10:$H$16,0))</f>
        <v>Monday</v>
      </c>
      <c r="T674" s="10" t="str">
        <f>VLOOKUP(Cleaned_datasetB[[#This Row],[Month]], Lookup_Tables!$K$8:$L$19, 2, FALSE)</f>
        <v>January</v>
      </c>
      <c r="U674" s="10" t="str">
        <f>IF(AND(Cleaned_datasetB[[#This Row],[Day_Type]]="Weekday",Cleaned_datasetB[[#This Row],[Is_Holiday]]=FALSE),"Working Day","Non-Working Day")</f>
        <v>Working Day</v>
      </c>
    </row>
    <row r="675" spans="1:21">
      <c r="A675" s="10">
        <v>674</v>
      </c>
      <c r="B675" s="23">
        <v>40574</v>
      </c>
      <c r="C675" s="10">
        <v>1</v>
      </c>
      <c r="D675" s="10">
        <v>0</v>
      </c>
      <c r="E675" s="10">
        <v>1</v>
      </c>
      <c r="F675" s="10">
        <v>9</v>
      </c>
      <c r="G675" s="10" t="b">
        <v>0</v>
      </c>
      <c r="H675" s="10">
        <v>1</v>
      </c>
      <c r="I675" s="10" t="str">
        <f>IF(OR(Cleaned_datasetB[[#This Row],[Day_Code]]=0,Cleaned_datasetB[[#This Row],[Day_Code]]=6),"Weekend","Weekday")</f>
        <v>Weekday</v>
      </c>
      <c r="J675" s="10">
        <v>2</v>
      </c>
      <c r="K675" s="10">
        <v>0.16</v>
      </c>
      <c r="L675" s="51">
        <v>0.13639999999999999</v>
      </c>
      <c r="M675" s="10">
        <v>0.59</v>
      </c>
      <c r="N675" s="10">
        <v>0.29849999999999999</v>
      </c>
      <c r="O675" s="10">
        <v>0</v>
      </c>
      <c r="P675" s="10">
        <v>112</v>
      </c>
      <c r="Q675" s="10">
        <v>112</v>
      </c>
      <c r="R675" s="10" t="str">
        <f>VLOOKUP(Cleaned_datasetB[[#This Row],[Weather_Code]],Lookup_Tables!$E$9:$F$13,2,FALSE)</f>
        <v>Cloudy</v>
      </c>
      <c r="S675" s="10" t="str">
        <f>INDEX(Lookup_Tables!$I$10:$I$16,MATCH(Cleaned_datasetB[[#This Row],[Day_Code]],Lookup_Tables!$H$10:$H$16,0))</f>
        <v>Monday</v>
      </c>
      <c r="T675" s="10" t="str">
        <f>VLOOKUP(Cleaned_datasetB[[#This Row],[Month]], Lookup_Tables!$K$8:$L$19, 2, FALSE)</f>
        <v>January</v>
      </c>
      <c r="U675" s="10" t="str">
        <f>IF(AND(Cleaned_datasetB[[#This Row],[Day_Type]]="Weekday",Cleaned_datasetB[[#This Row],[Is_Holiday]]=FALSE),"Working Day","Non-Working Day")</f>
        <v>Working Day</v>
      </c>
    </row>
    <row r="676" spans="1:21">
      <c r="A676" s="10">
        <v>675</v>
      </c>
      <c r="B676" s="23">
        <v>40574</v>
      </c>
      <c r="C676" s="10">
        <v>1</v>
      </c>
      <c r="D676" s="10">
        <v>0</v>
      </c>
      <c r="E676" s="10">
        <v>1</v>
      </c>
      <c r="F676" s="10">
        <v>10</v>
      </c>
      <c r="G676" s="10" t="b">
        <v>0</v>
      </c>
      <c r="H676" s="10">
        <v>1</v>
      </c>
      <c r="I676" s="10" t="str">
        <f>IF(OR(Cleaned_datasetB[[#This Row],[Day_Code]]=0,Cleaned_datasetB[[#This Row],[Day_Code]]=6),"Weekend","Weekday")</f>
        <v>Weekday</v>
      </c>
      <c r="J676" s="10">
        <v>2</v>
      </c>
      <c r="K676" s="10">
        <v>0.16</v>
      </c>
      <c r="L676" s="51">
        <v>0.1515</v>
      </c>
      <c r="M676" s="10">
        <v>0.59</v>
      </c>
      <c r="N676" s="10">
        <v>0.19400000000000001</v>
      </c>
      <c r="O676" s="10">
        <v>1</v>
      </c>
      <c r="P676" s="10">
        <v>68</v>
      </c>
      <c r="Q676" s="10">
        <v>69</v>
      </c>
      <c r="R676" s="10" t="str">
        <f>VLOOKUP(Cleaned_datasetB[[#This Row],[Weather_Code]],Lookup_Tables!$E$9:$F$13,2,FALSE)</f>
        <v>Cloudy</v>
      </c>
      <c r="S676" s="10" t="str">
        <f>INDEX(Lookup_Tables!$I$10:$I$16,MATCH(Cleaned_datasetB[[#This Row],[Day_Code]],Lookup_Tables!$H$10:$H$16,0))</f>
        <v>Monday</v>
      </c>
      <c r="T676" s="10" t="str">
        <f>VLOOKUP(Cleaned_datasetB[[#This Row],[Month]], Lookup_Tables!$K$8:$L$19, 2, FALSE)</f>
        <v>January</v>
      </c>
      <c r="U676" s="10" t="str">
        <f>IF(AND(Cleaned_datasetB[[#This Row],[Day_Type]]="Weekday",Cleaned_datasetB[[#This Row],[Is_Holiday]]=FALSE),"Working Day","Non-Working Day")</f>
        <v>Working Day</v>
      </c>
    </row>
    <row r="677" spans="1:21">
      <c r="A677" s="10">
        <v>676</v>
      </c>
      <c r="B677" s="23">
        <v>40574</v>
      </c>
      <c r="C677" s="10">
        <v>1</v>
      </c>
      <c r="D677" s="10">
        <v>0</v>
      </c>
      <c r="E677" s="10">
        <v>1</v>
      </c>
      <c r="F677" s="10">
        <v>11</v>
      </c>
      <c r="G677" s="10" t="b">
        <v>0</v>
      </c>
      <c r="H677" s="10">
        <v>1</v>
      </c>
      <c r="I677" s="10" t="str">
        <f>IF(OR(Cleaned_datasetB[[#This Row],[Day_Code]]=0,Cleaned_datasetB[[#This Row],[Day_Code]]=6),"Weekend","Weekday")</f>
        <v>Weekday</v>
      </c>
      <c r="J677" s="10">
        <v>2</v>
      </c>
      <c r="K677" s="10">
        <v>0.16</v>
      </c>
      <c r="L677" s="51">
        <v>0.1515</v>
      </c>
      <c r="M677" s="10">
        <v>0.59</v>
      </c>
      <c r="N677" s="10">
        <v>0.19400000000000001</v>
      </c>
      <c r="O677" s="10">
        <v>2</v>
      </c>
      <c r="P677" s="10">
        <v>46</v>
      </c>
      <c r="Q677" s="10">
        <v>48</v>
      </c>
      <c r="R677" s="10" t="str">
        <f>VLOOKUP(Cleaned_datasetB[[#This Row],[Weather_Code]],Lookup_Tables!$E$9:$F$13,2,FALSE)</f>
        <v>Cloudy</v>
      </c>
      <c r="S677" s="10" t="str">
        <f>INDEX(Lookup_Tables!$I$10:$I$16,MATCH(Cleaned_datasetB[[#This Row],[Day_Code]],Lookup_Tables!$H$10:$H$16,0))</f>
        <v>Monday</v>
      </c>
      <c r="T677" s="10" t="str">
        <f>VLOOKUP(Cleaned_datasetB[[#This Row],[Month]], Lookup_Tables!$K$8:$L$19, 2, FALSE)</f>
        <v>January</v>
      </c>
      <c r="U677" s="10" t="str">
        <f>IF(AND(Cleaned_datasetB[[#This Row],[Day_Type]]="Weekday",Cleaned_datasetB[[#This Row],[Is_Holiday]]=FALSE),"Working Day","Non-Working Day")</f>
        <v>Working Day</v>
      </c>
    </row>
    <row r="678" spans="1:21">
      <c r="A678" s="10">
        <v>677</v>
      </c>
      <c r="B678" s="23">
        <v>40574</v>
      </c>
      <c r="C678" s="10">
        <v>1</v>
      </c>
      <c r="D678" s="10">
        <v>0</v>
      </c>
      <c r="E678" s="10">
        <v>1</v>
      </c>
      <c r="F678" s="10">
        <v>12</v>
      </c>
      <c r="G678" s="10" t="b">
        <v>0</v>
      </c>
      <c r="H678" s="10">
        <v>1</v>
      </c>
      <c r="I678" s="10" t="str">
        <f>IF(OR(Cleaned_datasetB[[#This Row],[Day_Code]]=0,Cleaned_datasetB[[#This Row],[Day_Code]]=6),"Weekend","Weekday")</f>
        <v>Weekday</v>
      </c>
      <c r="J678" s="10">
        <v>2</v>
      </c>
      <c r="K678" s="10">
        <v>0.18</v>
      </c>
      <c r="L678" s="51">
        <v>0.21210000000000001</v>
      </c>
      <c r="M678" s="10">
        <v>0.55000000000000004</v>
      </c>
      <c r="N678" s="10">
        <v>0.1045</v>
      </c>
      <c r="O678" s="10">
        <v>6</v>
      </c>
      <c r="P678" s="10">
        <v>62</v>
      </c>
      <c r="Q678" s="10">
        <v>68</v>
      </c>
      <c r="R678" s="10" t="str">
        <f>VLOOKUP(Cleaned_datasetB[[#This Row],[Weather_Code]],Lookup_Tables!$E$9:$F$13,2,FALSE)</f>
        <v>Cloudy</v>
      </c>
      <c r="S678" s="10" t="str">
        <f>INDEX(Lookup_Tables!$I$10:$I$16,MATCH(Cleaned_datasetB[[#This Row],[Day_Code]],Lookup_Tables!$H$10:$H$16,0))</f>
        <v>Monday</v>
      </c>
      <c r="T678" s="10" t="str">
        <f>VLOOKUP(Cleaned_datasetB[[#This Row],[Month]], Lookup_Tables!$K$8:$L$19, 2, FALSE)</f>
        <v>January</v>
      </c>
      <c r="U678" s="10" t="str">
        <f>IF(AND(Cleaned_datasetB[[#This Row],[Day_Type]]="Weekday",Cleaned_datasetB[[#This Row],[Is_Holiday]]=FALSE),"Working Day","Non-Working Day")</f>
        <v>Working Day</v>
      </c>
    </row>
    <row r="679" spans="1:21">
      <c r="A679" s="10">
        <v>678</v>
      </c>
      <c r="B679" s="23">
        <v>40574</v>
      </c>
      <c r="C679" s="10">
        <v>1</v>
      </c>
      <c r="D679" s="10">
        <v>0</v>
      </c>
      <c r="E679" s="10">
        <v>1</v>
      </c>
      <c r="F679" s="10">
        <v>13</v>
      </c>
      <c r="G679" s="10" t="b">
        <v>0</v>
      </c>
      <c r="H679" s="10">
        <v>1</v>
      </c>
      <c r="I679" s="10" t="str">
        <f>IF(OR(Cleaned_datasetB[[#This Row],[Day_Code]]=0,Cleaned_datasetB[[#This Row],[Day_Code]]=6),"Weekend","Weekday")</f>
        <v>Weekday</v>
      </c>
      <c r="J679" s="10">
        <v>2</v>
      </c>
      <c r="K679" s="10">
        <v>0.16</v>
      </c>
      <c r="L679" s="51">
        <v>0.2273</v>
      </c>
      <c r="M679" s="10">
        <v>0.59</v>
      </c>
      <c r="N679" s="10">
        <v>0</v>
      </c>
      <c r="O679" s="10">
        <v>2</v>
      </c>
      <c r="P679" s="10">
        <v>52</v>
      </c>
      <c r="Q679" s="10">
        <v>54</v>
      </c>
      <c r="R679" s="10" t="str">
        <f>VLOOKUP(Cleaned_datasetB[[#This Row],[Weather_Code]],Lookup_Tables!$E$9:$F$13,2,FALSE)</f>
        <v>Cloudy</v>
      </c>
      <c r="S679" s="10" t="str">
        <f>INDEX(Lookup_Tables!$I$10:$I$16,MATCH(Cleaned_datasetB[[#This Row],[Day_Code]],Lookup_Tables!$H$10:$H$16,0))</f>
        <v>Monday</v>
      </c>
      <c r="T679" s="10" t="str">
        <f>VLOOKUP(Cleaned_datasetB[[#This Row],[Month]], Lookup_Tables!$K$8:$L$19, 2, FALSE)</f>
        <v>January</v>
      </c>
      <c r="U679" s="10" t="str">
        <f>IF(AND(Cleaned_datasetB[[#This Row],[Day_Type]]="Weekday",Cleaned_datasetB[[#This Row],[Is_Holiday]]=FALSE),"Working Day","Non-Working Day")</f>
        <v>Working Day</v>
      </c>
    </row>
    <row r="680" spans="1:21">
      <c r="A680" s="10">
        <v>679</v>
      </c>
      <c r="B680" s="23">
        <v>40574</v>
      </c>
      <c r="C680" s="10">
        <v>1</v>
      </c>
      <c r="D680" s="10">
        <v>0</v>
      </c>
      <c r="E680" s="10">
        <v>1</v>
      </c>
      <c r="F680" s="10">
        <v>14</v>
      </c>
      <c r="G680" s="10" t="b">
        <v>0</v>
      </c>
      <c r="H680" s="10">
        <v>1</v>
      </c>
      <c r="I680" s="10" t="str">
        <f>IF(OR(Cleaned_datasetB[[#This Row],[Day_Code]]=0,Cleaned_datasetB[[#This Row],[Day_Code]]=6),"Weekend","Weekday")</f>
        <v>Weekday</v>
      </c>
      <c r="J680" s="10">
        <v>2</v>
      </c>
      <c r="K680" s="10">
        <v>0.18</v>
      </c>
      <c r="L680" s="51">
        <v>0.19700000000000001</v>
      </c>
      <c r="M680" s="10">
        <v>0.55000000000000004</v>
      </c>
      <c r="N680" s="10">
        <v>0.1343</v>
      </c>
      <c r="O680" s="10">
        <v>1</v>
      </c>
      <c r="P680" s="10">
        <v>85</v>
      </c>
      <c r="Q680" s="10">
        <v>86</v>
      </c>
      <c r="R680" s="10" t="str">
        <f>VLOOKUP(Cleaned_datasetB[[#This Row],[Weather_Code]],Lookup_Tables!$E$9:$F$13,2,FALSE)</f>
        <v>Cloudy</v>
      </c>
      <c r="S680" s="10" t="str">
        <f>INDEX(Lookup_Tables!$I$10:$I$16,MATCH(Cleaned_datasetB[[#This Row],[Day_Code]],Lookup_Tables!$H$10:$H$16,0))</f>
        <v>Monday</v>
      </c>
      <c r="T680" s="10" t="str">
        <f>VLOOKUP(Cleaned_datasetB[[#This Row],[Month]], Lookup_Tables!$K$8:$L$19, 2, FALSE)</f>
        <v>January</v>
      </c>
      <c r="U680" s="10" t="str">
        <f>IF(AND(Cleaned_datasetB[[#This Row],[Day_Type]]="Weekday",Cleaned_datasetB[[#This Row],[Is_Holiday]]=FALSE),"Working Day","Non-Working Day")</f>
        <v>Working Day</v>
      </c>
    </row>
    <row r="681" spans="1:21">
      <c r="A681" s="10">
        <v>680</v>
      </c>
      <c r="B681" s="23">
        <v>40574</v>
      </c>
      <c r="C681" s="10">
        <v>1</v>
      </c>
      <c r="D681" s="10">
        <v>0</v>
      </c>
      <c r="E681" s="10">
        <v>1</v>
      </c>
      <c r="F681" s="10">
        <v>15</v>
      </c>
      <c r="G681" s="10" t="b">
        <v>0</v>
      </c>
      <c r="H681" s="10">
        <v>1</v>
      </c>
      <c r="I681" s="10" t="str">
        <f>IF(OR(Cleaned_datasetB[[#This Row],[Day_Code]]=0,Cleaned_datasetB[[#This Row],[Day_Code]]=6),"Weekend","Weekday")</f>
        <v>Weekday</v>
      </c>
      <c r="J681" s="10">
        <v>2</v>
      </c>
      <c r="K681" s="10">
        <v>0.16</v>
      </c>
      <c r="L681" s="51">
        <v>0.18179999999999999</v>
      </c>
      <c r="M681" s="10">
        <v>0.59</v>
      </c>
      <c r="N681" s="10">
        <v>0.1343</v>
      </c>
      <c r="O681" s="10">
        <v>3</v>
      </c>
      <c r="P681" s="10">
        <v>41</v>
      </c>
      <c r="Q681" s="10">
        <v>44</v>
      </c>
      <c r="R681" s="10" t="str">
        <f>VLOOKUP(Cleaned_datasetB[[#This Row],[Weather_Code]],Lookup_Tables!$E$9:$F$13,2,FALSE)</f>
        <v>Cloudy</v>
      </c>
      <c r="S681" s="10" t="str">
        <f>INDEX(Lookup_Tables!$I$10:$I$16,MATCH(Cleaned_datasetB[[#This Row],[Day_Code]],Lookup_Tables!$H$10:$H$16,0))</f>
        <v>Monday</v>
      </c>
      <c r="T681" s="10" t="str">
        <f>VLOOKUP(Cleaned_datasetB[[#This Row],[Month]], Lookup_Tables!$K$8:$L$19, 2, FALSE)</f>
        <v>January</v>
      </c>
      <c r="U681" s="10" t="str">
        <f>IF(AND(Cleaned_datasetB[[#This Row],[Day_Type]]="Weekday",Cleaned_datasetB[[#This Row],[Is_Holiday]]=FALSE),"Working Day","Non-Working Day")</f>
        <v>Working Day</v>
      </c>
    </row>
    <row r="682" spans="1:21">
      <c r="A682" s="10">
        <v>681</v>
      </c>
      <c r="B682" s="23">
        <v>40574</v>
      </c>
      <c r="C682" s="10">
        <v>1</v>
      </c>
      <c r="D682" s="10">
        <v>0</v>
      </c>
      <c r="E682" s="10">
        <v>1</v>
      </c>
      <c r="F682" s="10">
        <v>16</v>
      </c>
      <c r="G682" s="10" t="b">
        <v>0</v>
      </c>
      <c r="H682" s="10">
        <v>1</v>
      </c>
      <c r="I682" s="10" t="str">
        <f>IF(OR(Cleaned_datasetB[[#This Row],[Day_Code]]=0,Cleaned_datasetB[[#This Row],[Day_Code]]=6),"Weekend","Weekday")</f>
        <v>Weekday</v>
      </c>
      <c r="J682" s="10">
        <v>2</v>
      </c>
      <c r="K682" s="10">
        <v>0.16</v>
      </c>
      <c r="L682" s="51">
        <v>0.18179999999999999</v>
      </c>
      <c r="M682" s="10">
        <v>0.56000000000000005</v>
      </c>
      <c r="N682" s="10">
        <v>0.19400000000000001</v>
      </c>
      <c r="O682" s="10">
        <v>3</v>
      </c>
      <c r="P682" s="10">
        <v>83</v>
      </c>
      <c r="Q682" s="10">
        <v>86</v>
      </c>
      <c r="R682" s="10" t="str">
        <f>VLOOKUP(Cleaned_datasetB[[#This Row],[Weather_Code]],Lookup_Tables!$E$9:$F$13,2,FALSE)</f>
        <v>Cloudy</v>
      </c>
      <c r="S682" s="10" t="str">
        <f>INDEX(Lookup_Tables!$I$10:$I$16,MATCH(Cleaned_datasetB[[#This Row],[Day_Code]],Lookup_Tables!$H$10:$H$16,0))</f>
        <v>Monday</v>
      </c>
      <c r="T682" s="10" t="str">
        <f>VLOOKUP(Cleaned_datasetB[[#This Row],[Month]], Lookup_Tables!$K$8:$L$19, 2, FALSE)</f>
        <v>January</v>
      </c>
      <c r="U682" s="10" t="str">
        <f>IF(AND(Cleaned_datasetB[[#This Row],[Day_Type]]="Weekday",Cleaned_datasetB[[#This Row],[Is_Holiday]]=FALSE),"Working Day","Non-Working Day")</f>
        <v>Working Day</v>
      </c>
    </row>
    <row r="683" spans="1:21">
      <c r="A683" s="10">
        <v>682</v>
      </c>
      <c r="B683" s="23">
        <v>40574</v>
      </c>
      <c r="C683" s="10">
        <v>1</v>
      </c>
      <c r="D683" s="10">
        <v>0</v>
      </c>
      <c r="E683" s="10">
        <v>1</v>
      </c>
      <c r="F683" s="10">
        <v>17</v>
      </c>
      <c r="G683" s="10" t="b">
        <v>0</v>
      </c>
      <c r="H683" s="10">
        <v>1</v>
      </c>
      <c r="I683" s="10" t="str">
        <f>IF(OR(Cleaned_datasetB[[#This Row],[Day_Code]]=0,Cleaned_datasetB[[#This Row],[Day_Code]]=6),"Weekend","Weekday")</f>
        <v>Weekday</v>
      </c>
      <c r="J683" s="10">
        <v>2</v>
      </c>
      <c r="K683" s="10">
        <v>0.16</v>
      </c>
      <c r="L683" s="51">
        <v>0.1515</v>
      </c>
      <c r="M683" s="10">
        <v>0.59</v>
      </c>
      <c r="N683" s="10">
        <v>0.19400000000000001</v>
      </c>
      <c r="O683" s="10">
        <v>6</v>
      </c>
      <c r="P683" s="10">
        <v>155</v>
      </c>
      <c r="Q683" s="10">
        <v>161</v>
      </c>
      <c r="R683" s="10" t="str">
        <f>VLOOKUP(Cleaned_datasetB[[#This Row],[Weather_Code]],Lookup_Tables!$E$9:$F$13,2,FALSE)</f>
        <v>Cloudy</v>
      </c>
      <c r="S683" s="10" t="str">
        <f>INDEX(Lookup_Tables!$I$10:$I$16,MATCH(Cleaned_datasetB[[#This Row],[Day_Code]],Lookup_Tables!$H$10:$H$16,0))</f>
        <v>Monday</v>
      </c>
      <c r="T683" s="10" t="str">
        <f>VLOOKUP(Cleaned_datasetB[[#This Row],[Month]], Lookup_Tables!$K$8:$L$19, 2, FALSE)</f>
        <v>January</v>
      </c>
      <c r="U683" s="10" t="str">
        <f>IF(AND(Cleaned_datasetB[[#This Row],[Day_Type]]="Weekday",Cleaned_datasetB[[#This Row],[Is_Holiday]]=FALSE),"Working Day","Non-Working Day")</f>
        <v>Working Day</v>
      </c>
    </row>
    <row r="684" spans="1:21">
      <c r="A684" s="10">
        <v>683</v>
      </c>
      <c r="B684" s="23">
        <v>40574</v>
      </c>
      <c r="C684" s="10">
        <v>1</v>
      </c>
      <c r="D684" s="10">
        <v>0</v>
      </c>
      <c r="E684" s="10">
        <v>1</v>
      </c>
      <c r="F684" s="10">
        <v>18</v>
      </c>
      <c r="G684" s="10" t="b">
        <v>0</v>
      </c>
      <c r="H684" s="10">
        <v>1</v>
      </c>
      <c r="I684" s="10" t="str">
        <f>IF(OR(Cleaned_datasetB[[#This Row],[Day_Code]]=0,Cleaned_datasetB[[#This Row],[Day_Code]]=6),"Weekend","Weekday")</f>
        <v>Weekday</v>
      </c>
      <c r="J684" s="10">
        <v>2</v>
      </c>
      <c r="K684" s="10">
        <v>0.16</v>
      </c>
      <c r="L684" s="51">
        <v>0.1515</v>
      </c>
      <c r="M684" s="10">
        <v>0.55000000000000004</v>
      </c>
      <c r="N684" s="10">
        <v>0.22389999999999999</v>
      </c>
      <c r="O684" s="10">
        <v>3</v>
      </c>
      <c r="P684" s="10">
        <v>153</v>
      </c>
      <c r="Q684" s="10">
        <v>156</v>
      </c>
      <c r="R684" s="10" t="str">
        <f>VLOOKUP(Cleaned_datasetB[[#This Row],[Weather_Code]],Lookup_Tables!$E$9:$F$13,2,FALSE)</f>
        <v>Cloudy</v>
      </c>
      <c r="S684" s="10" t="str">
        <f>INDEX(Lookup_Tables!$I$10:$I$16,MATCH(Cleaned_datasetB[[#This Row],[Day_Code]],Lookup_Tables!$H$10:$H$16,0))</f>
        <v>Monday</v>
      </c>
      <c r="T684" s="10" t="str">
        <f>VLOOKUP(Cleaned_datasetB[[#This Row],[Month]], Lookup_Tables!$K$8:$L$19, 2, FALSE)</f>
        <v>January</v>
      </c>
      <c r="U684" s="10" t="str">
        <f>IF(AND(Cleaned_datasetB[[#This Row],[Day_Type]]="Weekday",Cleaned_datasetB[[#This Row],[Is_Holiday]]=FALSE),"Working Day","Non-Working Day")</f>
        <v>Working Day</v>
      </c>
    </row>
    <row r="685" spans="1:21">
      <c r="A685" s="10">
        <v>684</v>
      </c>
      <c r="B685" s="23">
        <v>40574</v>
      </c>
      <c r="C685" s="10">
        <v>1</v>
      </c>
      <c r="D685" s="10">
        <v>0</v>
      </c>
      <c r="E685" s="10">
        <v>1</v>
      </c>
      <c r="F685" s="10">
        <v>19</v>
      </c>
      <c r="G685" s="10" t="b">
        <v>0</v>
      </c>
      <c r="H685" s="10">
        <v>1</v>
      </c>
      <c r="I685" s="10" t="str">
        <f>IF(OR(Cleaned_datasetB[[#This Row],[Day_Code]]=0,Cleaned_datasetB[[#This Row],[Day_Code]]=6),"Weekend","Weekday")</f>
        <v>Weekday</v>
      </c>
      <c r="J685" s="10">
        <v>1</v>
      </c>
      <c r="K685" s="10">
        <v>0.3</v>
      </c>
      <c r="L685" s="51">
        <v>0.31819999999999998</v>
      </c>
      <c r="M685" s="10">
        <v>0.61</v>
      </c>
      <c r="N685" s="10">
        <v>0.1045</v>
      </c>
      <c r="O685" s="10">
        <v>3</v>
      </c>
      <c r="P685" s="10">
        <v>108</v>
      </c>
      <c r="Q685" s="10">
        <v>111</v>
      </c>
      <c r="R685" s="10" t="str">
        <f>VLOOKUP(Cleaned_datasetB[[#This Row],[Weather_Code]],Lookup_Tables!$E$9:$F$13,2,FALSE)</f>
        <v>Clear</v>
      </c>
      <c r="S685" s="10" t="str">
        <f>INDEX(Lookup_Tables!$I$10:$I$16,MATCH(Cleaned_datasetB[[#This Row],[Day_Code]],Lookup_Tables!$H$10:$H$16,0))</f>
        <v>Monday</v>
      </c>
      <c r="T685" s="10" t="str">
        <f>VLOOKUP(Cleaned_datasetB[[#This Row],[Month]], Lookup_Tables!$K$8:$L$19, 2, FALSE)</f>
        <v>January</v>
      </c>
      <c r="U685" s="10" t="str">
        <f>IF(AND(Cleaned_datasetB[[#This Row],[Day_Type]]="Weekday",Cleaned_datasetB[[#This Row],[Is_Holiday]]=FALSE),"Working Day","Non-Working Day")</f>
        <v>Working Day</v>
      </c>
    </row>
    <row r="686" spans="1:21">
      <c r="A686" s="10">
        <v>685</v>
      </c>
      <c r="B686" s="23">
        <v>40574</v>
      </c>
      <c r="C686" s="10">
        <v>1</v>
      </c>
      <c r="D686" s="10">
        <v>0</v>
      </c>
      <c r="E686" s="10">
        <v>1</v>
      </c>
      <c r="F686" s="10">
        <v>20</v>
      </c>
      <c r="G686" s="10" t="b">
        <v>0</v>
      </c>
      <c r="H686" s="10">
        <v>1</v>
      </c>
      <c r="I686" s="10" t="str">
        <f>IF(OR(Cleaned_datasetB[[#This Row],[Day_Code]]=0,Cleaned_datasetB[[#This Row],[Day_Code]]=6),"Weekend","Weekday")</f>
        <v>Weekday</v>
      </c>
      <c r="J686" s="10">
        <v>3</v>
      </c>
      <c r="K686" s="10">
        <v>0.16</v>
      </c>
      <c r="L686" s="51">
        <v>0.16669999999999999</v>
      </c>
      <c r="M686" s="10">
        <v>0.59</v>
      </c>
      <c r="N686" s="10">
        <v>0.16420000000000001</v>
      </c>
      <c r="O686" s="10">
        <v>0</v>
      </c>
      <c r="P686" s="10">
        <v>78</v>
      </c>
      <c r="Q686" s="10">
        <v>78</v>
      </c>
      <c r="R686" s="10" t="str">
        <f>VLOOKUP(Cleaned_datasetB[[#This Row],[Weather_Code]],Lookup_Tables!$E$9:$F$13,2,FALSE)</f>
        <v>Light Rain</v>
      </c>
      <c r="S686" s="10" t="str">
        <f>INDEX(Lookup_Tables!$I$10:$I$16,MATCH(Cleaned_datasetB[[#This Row],[Day_Code]],Lookup_Tables!$H$10:$H$16,0))</f>
        <v>Monday</v>
      </c>
      <c r="T686" s="10" t="str">
        <f>VLOOKUP(Cleaned_datasetB[[#This Row],[Month]], Lookup_Tables!$K$8:$L$19, 2, FALSE)</f>
        <v>January</v>
      </c>
      <c r="U686" s="10" t="str">
        <f>IF(AND(Cleaned_datasetB[[#This Row],[Day_Type]]="Weekday",Cleaned_datasetB[[#This Row],[Is_Holiday]]=FALSE),"Working Day","Non-Working Day")</f>
        <v>Working Day</v>
      </c>
    </row>
    <row r="687" spans="1:21">
      <c r="A687" s="10">
        <v>686</v>
      </c>
      <c r="B687" s="23">
        <v>40574</v>
      </c>
      <c r="C687" s="10">
        <v>1</v>
      </c>
      <c r="D687" s="10">
        <v>0</v>
      </c>
      <c r="E687" s="10">
        <v>1</v>
      </c>
      <c r="F687" s="10">
        <v>21</v>
      </c>
      <c r="G687" s="10" t="b">
        <v>0</v>
      </c>
      <c r="H687" s="10">
        <v>1</v>
      </c>
      <c r="I687" s="10" t="str">
        <f>IF(OR(Cleaned_datasetB[[#This Row],[Day_Code]]=0,Cleaned_datasetB[[#This Row],[Day_Code]]=6),"Weekend","Weekday")</f>
        <v>Weekday</v>
      </c>
      <c r="J687" s="10">
        <v>3</v>
      </c>
      <c r="K687" s="10">
        <v>0.16</v>
      </c>
      <c r="L687" s="51">
        <v>0.19700000000000001</v>
      </c>
      <c r="M687" s="10">
        <v>0.59</v>
      </c>
      <c r="N687" s="10">
        <v>8.9599999999999999E-2</v>
      </c>
      <c r="O687" s="10">
        <v>3</v>
      </c>
      <c r="P687" s="10">
        <v>53</v>
      </c>
      <c r="Q687" s="10">
        <v>56</v>
      </c>
      <c r="R687" s="10" t="str">
        <f>VLOOKUP(Cleaned_datasetB[[#This Row],[Weather_Code]],Lookup_Tables!$E$9:$F$13,2,FALSE)</f>
        <v>Light Rain</v>
      </c>
      <c r="S687" s="10" t="str">
        <f>INDEX(Lookup_Tables!$I$10:$I$16,MATCH(Cleaned_datasetB[[#This Row],[Day_Code]],Lookup_Tables!$H$10:$H$16,0))</f>
        <v>Monday</v>
      </c>
      <c r="T687" s="10" t="str">
        <f>VLOOKUP(Cleaned_datasetB[[#This Row],[Month]], Lookup_Tables!$K$8:$L$19, 2, FALSE)</f>
        <v>January</v>
      </c>
      <c r="U687" s="10" t="str">
        <f>IF(AND(Cleaned_datasetB[[#This Row],[Day_Type]]="Weekday",Cleaned_datasetB[[#This Row],[Is_Holiday]]=FALSE),"Working Day","Non-Working Day")</f>
        <v>Working Day</v>
      </c>
    </row>
    <row r="688" spans="1:21">
      <c r="A688" s="10">
        <v>687</v>
      </c>
      <c r="B688" s="23">
        <v>40574</v>
      </c>
      <c r="C688" s="10">
        <v>1</v>
      </c>
      <c r="D688" s="10">
        <v>0</v>
      </c>
      <c r="E688" s="10">
        <v>1</v>
      </c>
      <c r="F688" s="10">
        <v>22</v>
      </c>
      <c r="G688" s="10" t="b">
        <v>0</v>
      </c>
      <c r="H688" s="10">
        <v>1</v>
      </c>
      <c r="I688" s="10" t="str">
        <f>IF(OR(Cleaned_datasetB[[#This Row],[Day_Code]]=0,Cleaned_datasetB[[#This Row],[Day_Code]]=6),"Weekend","Weekday")</f>
        <v>Weekday</v>
      </c>
      <c r="J688" s="10">
        <v>2</v>
      </c>
      <c r="K688" s="10">
        <v>0.16</v>
      </c>
      <c r="L688" s="51">
        <v>0.18179999999999999</v>
      </c>
      <c r="M688" s="10">
        <v>0.59</v>
      </c>
      <c r="N688" s="10">
        <v>0.1045</v>
      </c>
      <c r="O688" s="10">
        <v>0</v>
      </c>
      <c r="P688" s="10">
        <v>34</v>
      </c>
      <c r="Q688" s="10">
        <v>34</v>
      </c>
      <c r="R688" s="10" t="str">
        <f>VLOOKUP(Cleaned_datasetB[[#This Row],[Weather_Code]],Lookup_Tables!$E$9:$F$13,2,FALSE)</f>
        <v>Cloudy</v>
      </c>
      <c r="S688" s="10" t="str">
        <f>INDEX(Lookup_Tables!$I$10:$I$16,MATCH(Cleaned_datasetB[[#This Row],[Day_Code]],Lookup_Tables!$H$10:$H$16,0))</f>
        <v>Monday</v>
      </c>
      <c r="T688" s="10" t="str">
        <f>VLOOKUP(Cleaned_datasetB[[#This Row],[Month]], Lookup_Tables!$K$8:$L$19, 2, FALSE)</f>
        <v>January</v>
      </c>
      <c r="U688" s="10" t="str">
        <f>IF(AND(Cleaned_datasetB[[#This Row],[Day_Type]]="Weekday",Cleaned_datasetB[[#This Row],[Is_Holiday]]=FALSE),"Working Day","Non-Working Day")</f>
        <v>Working Day</v>
      </c>
    </row>
    <row r="689" spans="1:21">
      <c r="A689" s="10">
        <v>688</v>
      </c>
      <c r="B689" s="23">
        <v>40574</v>
      </c>
      <c r="C689" s="10">
        <v>1</v>
      </c>
      <c r="D689" s="10">
        <v>0</v>
      </c>
      <c r="E689" s="10">
        <v>1</v>
      </c>
      <c r="F689" s="10">
        <v>23</v>
      </c>
      <c r="G689" s="10" t="b">
        <v>0</v>
      </c>
      <c r="H689" s="10">
        <v>1</v>
      </c>
      <c r="I689" s="10" t="str">
        <f>IF(OR(Cleaned_datasetB[[#This Row],[Day_Code]]=0,Cleaned_datasetB[[#This Row],[Day_Code]]=6),"Weekend","Weekday")</f>
        <v>Weekday</v>
      </c>
      <c r="J689" s="10">
        <v>2</v>
      </c>
      <c r="K689" s="10">
        <v>0.16</v>
      </c>
      <c r="L689" s="51">
        <v>0.19700000000000001</v>
      </c>
      <c r="M689" s="10">
        <v>0.64</v>
      </c>
      <c r="N689" s="10">
        <v>8.9599999999999999E-2</v>
      </c>
      <c r="O689" s="10">
        <v>2</v>
      </c>
      <c r="P689" s="10">
        <v>15</v>
      </c>
      <c r="Q689" s="10">
        <v>17</v>
      </c>
      <c r="R689" s="10" t="str">
        <f>VLOOKUP(Cleaned_datasetB[[#This Row],[Weather_Code]],Lookup_Tables!$E$9:$F$13,2,FALSE)</f>
        <v>Cloudy</v>
      </c>
      <c r="S689" s="10" t="str">
        <f>INDEX(Lookup_Tables!$I$10:$I$16,MATCH(Cleaned_datasetB[[#This Row],[Day_Code]],Lookup_Tables!$H$10:$H$16,0))</f>
        <v>Monday</v>
      </c>
      <c r="T689" s="10" t="str">
        <f>VLOOKUP(Cleaned_datasetB[[#This Row],[Month]], Lookup_Tables!$K$8:$L$19, 2, FALSE)</f>
        <v>January</v>
      </c>
      <c r="U689" s="10" t="str">
        <f>IF(AND(Cleaned_datasetB[[#This Row],[Day_Type]]="Weekday",Cleaned_datasetB[[#This Row],[Is_Holiday]]=FALSE),"Working Day","Non-Working Day")</f>
        <v>Working Day</v>
      </c>
    </row>
    <row r="690" spans="1:21">
      <c r="A690" s="10">
        <v>689</v>
      </c>
      <c r="B690" s="23">
        <v>40575</v>
      </c>
      <c r="C690" s="10">
        <v>1</v>
      </c>
      <c r="D690" s="10">
        <v>0</v>
      </c>
      <c r="E690" s="10">
        <v>2</v>
      </c>
      <c r="F690" s="10">
        <v>0</v>
      </c>
      <c r="G690" s="10" t="b">
        <v>0</v>
      </c>
      <c r="H690" s="10">
        <v>2</v>
      </c>
      <c r="I690" s="10" t="str">
        <f>IF(OR(Cleaned_datasetB[[#This Row],[Day_Code]]=0,Cleaned_datasetB[[#This Row],[Day_Code]]=6),"Weekend","Weekday")</f>
        <v>Weekday</v>
      </c>
      <c r="J690" s="10">
        <v>2</v>
      </c>
      <c r="K690" s="10">
        <v>0.16</v>
      </c>
      <c r="L690" s="51">
        <v>0.18179999999999999</v>
      </c>
      <c r="M690" s="10">
        <v>0.64</v>
      </c>
      <c r="N690" s="10">
        <v>0.1045</v>
      </c>
      <c r="O690" s="10">
        <v>2</v>
      </c>
      <c r="P690" s="10">
        <v>6</v>
      </c>
      <c r="Q690" s="10">
        <v>8</v>
      </c>
      <c r="R690" s="10" t="str">
        <f>VLOOKUP(Cleaned_datasetB[[#This Row],[Weather_Code]],Lookup_Tables!$E$9:$F$13,2,FALSE)</f>
        <v>Cloudy</v>
      </c>
      <c r="S690" s="10" t="str">
        <f>INDEX(Lookup_Tables!$I$10:$I$16,MATCH(Cleaned_datasetB[[#This Row],[Day_Code]],Lookup_Tables!$H$10:$H$16,0))</f>
        <v>Tuesday</v>
      </c>
      <c r="T690" s="10" t="str">
        <f>VLOOKUP(Cleaned_datasetB[[#This Row],[Month]], Lookup_Tables!$K$8:$L$19, 2, FALSE)</f>
        <v>February</v>
      </c>
      <c r="U690" s="10" t="str">
        <f>IF(AND(Cleaned_datasetB[[#This Row],[Day_Type]]="Weekday",Cleaned_datasetB[[#This Row],[Is_Holiday]]=FALSE),"Working Day","Non-Working Day")</f>
        <v>Working Day</v>
      </c>
    </row>
    <row r="691" spans="1:21">
      <c r="A691" s="10">
        <v>690</v>
      </c>
      <c r="B691" s="23">
        <v>40575</v>
      </c>
      <c r="C691" s="10">
        <v>1</v>
      </c>
      <c r="D691" s="10">
        <v>0</v>
      </c>
      <c r="E691" s="10">
        <v>2</v>
      </c>
      <c r="F691" s="10">
        <v>1</v>
      </c>
      <c r="G691" s="10" t="b">
        <v>0</v>
      </c>
      <c r="H691" s="10">
        <v>2</v>
      </c>
      <c r="I691" s="10" t="str">
        <f>IF(OR(Cleaned_datasetB[[#This Row],[Day_Code]]=0,Cleaned_datasetB[[#This Row],[Day_Code]]=6),"Weekend","Weekday")</f>
        <v>Weekday</v>
      </c>
      <c r="J691" s="10">
        <v>2</v>
      </c>
      <c r="K691" s="10">
        <v>0.16</v>
      </c>
      <c r="L691" s="51">
        <v>0.18179999999999999</v>
      </c>
      <c r="M691" s="10">
        <v>0.69</v>
      </c>
      <c r="N691" s="10">
        <v>0.1045</v>
      </c>
      <c r="O691" s="10">
        <v>0</v>
      </c>
      <c r="P691" s="10">
        <v>3</v>
      </c>
      <c r="Q691" s="10">
        <v>3</v>
      </c>
      <c r="R691" s="10" t="str">
        <f>VLOOKUP(Cleaned_datasetB[[#This Row],[Weather_Code]],Lookup_Tables!$E$9:$F$13,2,FALSE)</f>
        <v>Cloudy</v>
      </c>
      <c r="S691" s="10" t="str">
        <f>INDEX(Lookup_Tables!$I$10:$I$16,MATCH(Cleaned_datasetB[[#This Row],[Day_Code]],Lookup_Tables!$H$10:$H$16,0))</f>
        <v>Tuesday</v>
      </c>
      <c r="T691" s="10" t="str">
        <f>VLOOKUP(Cleaned_datasetB[[#This Row],[Month]], Lookup_Tables!$K$8:$L$19, 2, FALSE)</f>
        <v>February</v>
      </c>
      <c r="U691" s="10" t="str">
        <f>IF(AND(Cleaned_datasetB[[#This Row],[Day_Type]]="Weekday",Cleaned_datasetB[[#This Row],[Is_Holiday]]=FALSE),"Working Day","Non-Working Day")</f>
        <v>Working Day</v>
      </c>
    </row>
    <row r="692" spans="1:21">
      <c r="A692" s="10">
        <v>691</v>
      </c>
      <c r="B692" s="23">
        <v>40575</v>
      </c>
      <c r="C692" s="10">
        <v>1</v>
      </c>
      <c r="D692" s="10">
        <v>0</v>
      </c>
      <c r="E692" s="10">
        <v>2</v>
      </c>
      <c r="F692" s="10">
        <v>2</v>
      </c>
      <c r="G692" s="10" t="b">
        <v>0</v>
      </c>
      <c r="H692" s="10">
        <v>2</v>
      </c>
      <c r="I692" s="10" t="str">
        <f>IF(OR(Cleaned_datasetB[[#This Row],[Day_Code]]=0,Cleaned_datasetB[[#This Row],[Day_Code]]=6),"Weekend","Weekday")</f>
        <v>Weekday</v>
      </c>
      <c r="J692" s="10">
        <v>2</v>
      </c>
      <c r="K692" s="10">
        <v>0.16</v>
      </c>
      <c r="L692" s="51">
        <v>0.2273</v>
      </c>
      <c r="M692" s="10">
        <v>0.69</v>
      </c>
      <c r="N692" s="10">
        <v>0</v>
      </c>
      <c r="O692" s="10">
        <v>0</v>
      </c>
      <c r="P692" s="10">
        <v>2</v>
      </c>
      <c r="Q692" s="10">
        <v>2</v>
      </c>
      <c r="R692" s="10" t="str">
        <f>VLOOKUP(Cleaned_datasetB[[#This Row],[Weather_Code]],Lookup_Tables!$E$9:$F$13,2,FALSE)</f>
        <v>Cloudy</v>
      </c>
      <c r="S692" s="10" t="str">
        <f>INDEX(Lookup_Tables!$I$10:$I$16,MATCH(Cleaned_datasetB[[#This Row],[Day_Code]],Lookup_Tables!$H$10:$H$16,0))</f>
        <v>Tuesday</v>
      </c>
      <c r="T692" s="10" t="str">
        <f>VLOOKUP(Cleaned_datasetB[[#This Row],[Month]], Lookup_Tables!$K$8:$L$19, 2, FALSE)</f>
        <v>February</v>
      </c>
      <c r="U692" s="10" t="str">
        <f>IF(AND(Cleaned_datasetB[[#This Row],[Day_Type]]="Weekday",Cleaned_datasetB[[#This Row],[Is_Holiday]]=FALSE),"Working Day","Non-Working Day")</f>
        <v>Working Day</v>
      </c>
    </row>
    <row r="693" spans="1:21">
      <c r="A693" s="10">
        <v>692</v>
      </c>
      <c r="B693" s="23">
        <v>40575</v>
      </c>
      <c r="C693" s="10">
        <v>1</v>
      </c>
      <c r="D693" s="10">
        <v>0</v>
      </c>
      <c r="E693" s="10">
        <v>2</v>
      </c>
      <c r="F693" s="10">
        <v>3</v>
      </c>
      <c r="G693" s="10" t="b">
        <v>0</v>
      </c>
      <c r="H693" s="10">
        <v>2</v>
      </c>
      <c r="I693" s="10" t="str">
        <f>IF(OR(Cleaned_datasetB[[#This Row],[Day_Code]]=0,Cleaned_datasetB[[#This Row],[Day_Code]]=6),"Weekend","Weekday")</f>
        <v>Weekday</v>
      </c>
      <c r="J693" s="10">
        <v>2</v>
      </c>
      <c r="K693" s="10">
        <v>0.16</v>
      </c>
      <c r="L693" s="51">
        <v>0.2273</v>
      </c>
      <c r="M693" s="10">
        <v>0.69</v>
      </c>
      <c r="N693" s="10">
        <v>0</v>
      </c>
      <c r="O693" s="10">
        <v>0</v>
      </c>
      <c r="P693" s="10">
        <v>2</v>
      </c>
      <c r="Q693" s="10">
        <v>2</v>
      </c>
      <c r="R693" s="10" t="str">
        <f>VLOOKUP(Cleaned_datasetB[[#This Row],[Weather_Code]],Lookup_Tables!$E$9:$F$13,2,FALSE)</f>
        <v>Cloudy</v>
      </c>
      <c r="S693" s="10" t="str">
        <f>INDEX(Lookup_Tables!$I$10:$I$16,MATCH(Cleaned_datasetB[[#This Row],[Day_Code]],Lookup_Tables!$H$10:$H$16,0))</f>
        <v>Tuesday</v>
      </c>
      <c r="T693" s="10" t="str">
        <f>VLOOKUP(Cleaned_datasetB[[#This Row],[Month]], Lookup_Tables!$K$8:$L$19, 2, FALSE)</f>
        <v>February</v>
      </c>
      <c r="U693" s="10" t="str">
        <f>IF(AND(Cleaned_datasetB[[#This Row],[Day_Type]]="Weekday",Cleaned_datasetB[[#This Row],[Is_Holiday]]=FALSE),"Working Day","Non-Working Day")</f>
        <v>Working Day</v>
      </c>
    </row>
    <row r="694" spans="1:21">
      <c r="A694" s="10">
        <v>693</v>
      </c>
      <c r="B694" s="23">
        <v>40575</v>
      </c>
      <c r="C694" s="10">
        <v>1</v>
      </c>
      <c r="D694" s="10">
        <v>0</v>
      </c>
      <c r="E694" s="10">
        <v>2</v>
      </c>
      <c r="F694" s="10">
        <v>5</v>
      </c>
      <c r="G694" s="10" t="b">
        <v>0</v>
      </c>
      <c r="H694" s="10">
        <v>2</v>
      </c>
      <c r="I694" s="10" t="str">
        <f>IF(OR(Cleaned_datasetB[[#This Row],[Day_Code]]=0,Cleaned_datasetB[[#This Row],[Day_Code]]=6),"Weekend","Weekday")</f>
        <v>Weekday</v>
      </c>
      <c r="J694" s="10">
        <v>3</v>
      </c>
      <c r="K694" s="10">
        <v>0.14000000000000001</v>
      </c>
      <c r="L694" s="51">
        <v>0.21210000000000001</v>
      </c>
      <c r="M694" s="10">
        <v>0.93</v>
      </c>
      <c r="N694" s="10">
        <v>0</v>
      </c>
      <c r="O694" s="10">
        <v>0</v>
      </c>
      <c r="P694" s="10">
        <v>3</v>
      </c>
      <c r="Q694" s="10">
        <v>3</v>
      </c>
      <c r="R694" s="10" t="str">
        <f>VLOOKUP(Cleaned_datasetB[[#This Row],[Weather_Code]],Lookup_Tables!$E$9:$F$13,2,FALSE)</f>
        <v>Light Rain</v>
      </c>
      <c r="S694" s="10" t="str">
        <f>INDEX(Lookup_Tables!$I$10:$I$16,MATCH(Cleaned_datasetB[[#This Row],[Day_Code]],Lookup_Tables!$H$10:$H$16,0))</f>
        <v>Tuesday</v>
      </c>
      <c r="T694" s="10" t="str">
        <f>VLOOKUP(Cleaned_datasetB[[#This Row],[Month]], Lookup_Tables!$K$8:$L$19, 2, FALSE)</f>
        <v>February</v>
      </c>
      <c r="U694" s="10" t="str">
        <f>IF(AND(Cleaned_datasetB[[#This Row],[Day_Type]]="Weekday",Cleaned_datasetB[[#This Row],[Is_Holiday]]=FALSE),"Working Day","Non-Working Day")</f>
        <v>Working Day</v>
      </c>
    </row>
    <row r="695" spans="1:21">
      <c r="A695" s="10">
        <v>694</v>
      </c>
      <c r="B695" s="23">
        <v>40575</v>
      </c>
      <c r="C695" s="10">
        <v>1</v>
      </c>
      <c r="D695" s="10">
        <v>0</v>
      </c>
      <c r="E695" s="10">
        <v>2</v>
      </c>
      <c r="F695" s="10">
        <v>6</v>
      </c>
      <c r="G695" s="10" t="b">
        <v>0</v>
      </c>
      <c r="H695" s="10">
        <v>2</v>
      </c>
      <c r="I695" s="10" t="str">
        <f>IF(OR(Cleaned_datasetB[[#This Row],[Day_Code]]=0,Cleaned_datasetB[[#This Row],[Day_Code]]=6),"Weekend","Weekday")</f>
        <v>Weekday</v>
      </c>
      <c r="J695" s="10">
        <v>3</v>
      </c>
      <c r="K695" s="10">
        <v>0.14000000000000001</v>
      </c>
      <c r="L695" s="51">
        <v>0.21210000000000001</v>
      </c>
      <c r="M695" s="10">
        <v>0.93</v>
      </c>
      <c r="N695" s="10">
        <v>0</v>
      </c>
      <c r="O695" s="10">
        <v>0</v>
      </c>
      <c r="P695" s="10">
        <v>22</v>
      </c>
      <c r="Q695" s="10">
        <v>22</v>
      </c>
      <c r="R695" s="10" t="str">
        <f>VLOOKUP(Cleaned_datasetB[[#This Row],[Weather_Code]],Lookup_Tables!$E$9:$F$13,2,FALSE)</f>
        <v>Light Rain</v>
      </c>
      <c r="S695" s="10" t="str">
        <f>INDEX(Lookup_Tables!$I$10:$I$16,MATCH(Cleaned_datasetB[[#This Row],[Day_Code]],Lookup_Tables!$H$10:$H$16,0))</f>
        <v>Tuesday</v>
      </c>
      <c r="T695" s="10" t="str">
        <f>VLOOKUP(Cleaned_datasetB[[#This Row],[Month]], Lookup_Tables!$K$8:$L$19, 2, FALSE)</f>
        <v>February</v>
      </c>
      <c r="U695" s="10" t="str">
        <f>IF(AND(Cleaned_datasetB[[#This Row],[Day_Type]]="Weekday",Cleaned_datasetB[[#This Row],[Is_Holiday]]=FALSE),"Working Day","Non-Working Day")</f>
        <v>Working Day</v>
      </c>
    </row>
    <row r="696" spans="1:21">
      <c r="A696" s="10">
        <v>695</v>
      </c>
      <c r="B696" s="23">
        <v>40575</v>
      </c>
      <c r="C696" s="10">
        <v>1</v>
      </c>
      <c r="D696" s="10">
        <v>0</v>
      </c>
      <c r="E696" s="10">
        <v>2</v>
      </c>
      <c r="F696" s="10">
        <v>7</v>
      </c>
      <c r="G696" s="10" t="b">
        <v>0</v>
      </c>
      <c r="H696" s="10">
        <v>2</v>
      </c>
      <c r="I696" s="10" t="str">
        <f>IF(OR(Cleaned_datasetB[[#This Row],[Day_Code]]=0,Cleaned_datasetB[[#This Row],[Day_Code]]=6),"Weekend","Weekday")</f>
        <v>Weekday</v>
      </c>
      <c r="J696" s="10">
        <v>3</v>
      </c>
      <c r="K696" s="10">
        <v>0.16</v>
      </c>
      <c r="L696" s="51">
        <v>0.2273</v>
      </c>
      <c r="M696" s="10">
        <v>0.93</v>
      </c>
      <c r="N696" s="10">
        <v>0</v>
      </c>
      <c r="O696" s="10">
        <v>0</v>
      </c>
      <c r="P696" s="10">
        <v>52</v>
      </c>
      <c r="Q696" s="10">
        <v>52</v>
      </c>
      <c r="R696" s="10" t="str">
        <f>VLOOKUP(Cleaned_datasetB[[#This Row],[Weather_Code]],Lookup_Tables!$E$9:$F$13,2,FALSE)</f>
        <v>Light Rain</v>
      </c>
      <c r="S696" s="10" t="str">
        <f>INDEX(Lookup_Tables!$I$10:$I$16,MATCH(Cleaned_datasetB[[#This Row],[Day_Code]],Lookup_Tables!$H$10:$H$16,0))</f>
        <v>Tuesday</v>
      </c>
      <c r="T696" s="10" t="str">
        <f>VLOOKUP(Cleaned_datasetB[[#This Row],[Month]], Lookup_Tables!$K$8:$L$19, 2, FALSE)</f>
        <v>February</v>
      </c>
      <c r="U696" s="10" t="str">
        <f>IF(AND(Cleaned_datasetB[[#This Row],[Day_Type]]="Weekday",Cleaned_datasetB[[#This Row],[Is_Holiday]]=FALSE),"Working Day","Non-Working Day")</f>
        <v>Working Day</v>
      </c>
    </row>
    <row r="697" spans="1:21">
      <c r="A697" s="10">
        <v>696</v>
      </c>
      <c r="B697" s="23">
        <v>40575</v>
      </c>
      <c r="C697" s="10">
        <v>1</v>
      </c>
      <c r="D697" s="10">
        <v>0</v>
      </c>
      <c r="E697" s="10">
        <v>2</v>
      </c>
      <c r="F697" s="10">
        <v>8</v>
      </c>
      <c r="G697" s="10" t="b">
        <v>0</v>
      </c>
      <c r="H697" s="10">
        <v>2</v>
      </c>
      <c r="I697" s="10" t="str">
        <f>IF(OR(Cleaned_datasetB[[#This Row],[Day_Code]]=0,Cleaned_datasetB[[#This Row],[Day_Code]]=6),"Weekend","Weekday")</f>
        <v>Weekday</v>
      </c>
      <c r="J697" s="10">
        <v>3</v>
      </c>
      <c r="K697" s="10">
        <v>0.16</v>
      </c>
      <c r="L697" s="51">
        <v>0.2273</v>
      </c>
      <c r="M697" s="10">
        <v>0.93</v>
      </c>
      <c r="N697" s="10">
        <v>0</v>
      </c>
      <c r="O697" s="10">
        <v>3</v>
      </c>
      <c r="P697" s="10">
        <v>132</v>
      </c>
      <c r="Q697" s="10">
        <v>135</v>
      </c>
      <c r="R697" s="10" t="str">
        <f>VLOOKUP(Cleaned_datasetB[[#This Row],[Weather_Code]],Lookup_Tables!$E$9:$F$13,2,FALSE)</f>
        <v>Light Rain</v>
      </c>
      <c r="S697" s="10" t="str">
        <f>INDEX(Lookup_Tables!$I$10:$I$16,MATCH(Cleaned_datasetB[[#This Row],[Day_Code]],Lookup_Tables!$H$10:$H$16,0))</f>
        <v>Tuesday</v>
      </c>
      <c r="T697" s="10" t="str">
        <f>VLOOKUP(Cleaned_datasetB[[#This Row],[Month]], Lookup_Tables!$K$8:$L$19, 2, FALSE)</f>
        <v>February</v>
      </c>
      <c r="U697" s="10" t="str">
        <f>IF(AND(Cleaned_datasetB[[#This Row],[Day_Type]]="Weekday",Cleaned_datasetB[[#This Row],[Is_Holiday]]=FALSE),"Working Day","Non-Working Day")</f>
        <v>Working Day</v>
      </c>
    </row>
    <row r="698" spans="1:21">
      <c r="A698" s="10">
        <v>697</v>
      </c>
      <c r="B698" s="23">
        <v>40575</v>
      </c>
      <c r="C698" s="10">
        <v>1</v>
      </c>
      <c r="D698" s="10">
        <v>0</v>
      </c>
      <c r="E698" s="10">
        <v>2</v>
      </c>
      <c r="F698" s="10">
        <v>9</v>
      </c>
      <c r="G698" s="10" t="b">
        <v>0</v>
      </c>
      <c r="H698" s="10">
        <v>2</v>
      </c>
      <c r="I698" s="10" t="str">
        <f>IF(OR(Cleaned_datasetB[[#This Row],[Day_Code]]=0,Cleaned_datasetB[[#This Row],[Day_Code]]=6),"Weekend","Weekday")</f>
        <v>Weekday</v>
      </c>
      <c r="J698" s="10">
        <v>2</v>
      </c>
      <c r="K698" s="10">
        <v>0.16</v>
      </c>
      <c r="L698" s="51">
        <v>0.2273</v>
      </c>
      <c r="M698" s="10">
        <v>0.93</v>
      </c>
      <c r="N698" s="10">
        <v>0</v>
      </c>
      <c r="O698" s="10">
        <v>2</v>
      </c>
      <c r="P698" s="10">
        <v>114</v>
      </c>
      <c r="Q698" s="10">
        <v>116</v>
      </c>
      <c r="R698" s="10" t="str">
        <f>VLOOKUP(Cleaned_datasetB[[#This Row],[Weather_Code]],Lookup_Tables!$E$9:$F$13,2,FALSE)</f>
        <v>Cloudy</v>
      </c>
      <c r="S698" s="10" t="str">
        <f>INDEX(Lookup_Tables!$I$10:$I$16,MATCH(Cleaned_datasetB[[#This Row],[Day_Code]],Lookup_Tables!$H$10:$H$16,0))</f>
        <v>Tuesday</v>
      </c>
      <c r="T698" s="10" t="str">
        <f>VLOOKUP(Cleaned_datasetB[[#This Row],[Month]], Lookup_Tables!$K$8:$L$19, 2, FALSE)</f>
        <v>February</v>
      </c>
      <c r="U698" s="10" t="str">
        <f>IF(AND(Cleaned_datasetB[[#This Row],[Day_Type]]="Weekday",Cleaned_datasetB[[#This Row],[Is_Holiday]]=FALSE),"Working Day","Non-Working Day")</f>
        <v>Working Day</v>
      </c>
    </row>
    <row r="699" spans="1:21">
      <c r="A699" s="10">
        <v>698</v>
      </c>
      <c r="B699" s="23">
        <v>40575</v>
      </c>
      <c r="C699" s="10">
        <v>1</v>
      </c>
      <c r="D699" s="10">
        <v>0</v>
      </c>
      <c r="E699" s="10">
        <v>2</v>
      </c>
      <c r="F699" s="10">
        <v>10</v>
      </c>
      <c r="G699" s="10" t="b">
        <v>0</v>
      </c>
      <c r="H699" s="10">
        <v>2</v>
      </c>
      <c r="I699" s="10" t="str">
        <f>IF(OR(Cleaned_datasetB[[#This Row],[Day_Code]]=0,Cleaned_datasetB[[#This Row],[Day_Code]]=6),"Weekend","Weekday")</f>
        <v>Weekday</v>
      </c>
      <c r="J699" s="10">
        <v>2</v>
      </c>
      <c r="K699" s="10">
        <v>0.16</v>
      </c>
      <c r="L699" s="51">
        <v>0.2273</v>
      </c>
      <c r="M699" s="10">
        <v>0.93</v>
      </c>
      <c r="N699" s="10">
        <v>0</v>
      </c>
      <c r="O699" s="10">
        <v>0</v>
      </c>
      <c r="P699" s="10">
        <v>47</v>
      </c>
      <c r="Q699" s="10">
        <v>47</v>
      </c>
      <c r="R699" s="10" t="str">
        <f>VLOOKUP(Cleaned_datasetB[[#This Row],[Weather_Code]],Lookup_Tables!$E$9:$F$13,2,FALSE)</f>
        <v>Cloudy</v>
      </c>
      <c r="S699" s="10" t="str">
        <f>INDEX(Lookup_Tables!$I$10:$I$16,MATCH(Cleaned_datasetB[[#This Row],[Day_Code]],Lookup_Tables!$H$10:$H$16,0))</f>
        <v>Tuesday</v>
      </c>
      <c r="T699" s="10" t="str">
        <f>VLOOKUP(Cleaned_datasetB[[#This Row],[Month]], Lookup_Tables!$K$8:$L$19, 2, FALSE)</f>
        <v>February</v>
      </c>
      <c r="U699" s="10" t="str">
        <f>IF(AND(Cleaned_datasetB[[#This Row],[Day_Type]]="Weekday",Cleaned_datasetB[[#This Row],[Is_Holiday]]=FALSE),"Working Day","Non-Working Day")</f>
        <v>Working Day</v>
      </c>
    </row>
    <row r="700" spans="1:21">
      <c r="A700" s="10">
        <v>699</v>
      </c>
      <c r="B700" s="23">
        <v>40575</v>
      </c>
      <c r="C700" s="10">
        <v>1</v>
      </c>
      <c r="D700" s="10">
        <v>0</v>
      </c>
      <c r="E700" s="10">
        <v>2</v>
      </c>
      <c r="F700" s="10">
        <v>11</v>
      </c>
      <c r="G700" s="10" t="b">
        <v>0</v>
      </c>
      <c r="H700" s="10">
        <v>2</v>
      </c>
      <c r="I700" s="10" t="str">
        <f>IF(OR(Cleaned_datasetB[[#This Row],[Day_Code]]=0,Cleaned_datasetB[[#This Row],[Day_Code]]=6),"Weekend","Weekday")</f>
        <v>Weekday</v>
      </c>
      <c r="J700" s="10">
        <v>2</v>
      </c>
      <c r="K700" s="10">
        <v>0.18</v>
      </c>
      <c r="L700" s="51">
        <v>0.2424</v>
      </c>
      <c r="M700" s="10">
        <v>0.86</v>
      </c>
      <c r="N700" s="10">
        <v>0</v>
      </c>
      <c r="O700" s="10">
        <v>2</v>
      </c>
      <c r="P700" s="10">
        <v>49</v>
      </c>
      <c r="Q700" s="10">
        <v>51</v>
      </c>
      <c r="R700" s="10" t="str">
        <f>VLOOKUP(Cleaned_datasetB[[#This Row],[Weather_Code]],Lookup_Tables!$E$9:$F$13,2,FALSE)</f>
        <v>Cloudy</v>
      </c>
      <c r="S700" s="10" t="str">
        <f>INDEX(Lookup_Tables!$I$10:$I$16,MATCH(Cleaned_datasetB[[#This Row],[Day_Code]],Lookup_Tables!$H$10:$H$16,0))</f>
        <v>Tuesday</v>
      </c>
      <c r="T700" s="10" t="str">
        <f>VLOOKUP(Cleaned_datasetB[[#This Row],[Month]], Lookup_Tables!$K$8:$L$19, 2, FALSE)</f>
        <v>February</v>
      </c>
      <c r="U700" s="10" t="str">
        <f>IF(AND(Cleaned_datasetB[[#This Row],[Day_Type]]="Weekday",Cleaned_datasetB[[#This Row],[Is_Holiday]]=FALSE),"Working Day","Non-Working Day")</f>
        <v>Working Day</v>
      </c>
    </row>
    <row r="701" spans="1:21">
      <c r="A701" s="10">
        <v>700</v>
      </c>
      <c r="B701" s="23">
        <v>40575</v>
      </c>
      <c r="C701" s="10">
        <v>1</v>
      </c>
      <c r="D701" s="10">
        <v>0</v>
      </c>
      <c r="E701" s="10">
        <v>2</v>
      </c>
      <c r="F701" s="10">
        <v>12</v>
      </c>
      <c r="G701" s="10" t="b">
        <v>0</v>
      </c>
      <c r="H701" s="10">
        <v>2</v>
      </c>
      <c r="I701" s="10" t="str">
        <f>IF(OR(Cleaned_datasetB[[#This Row],[Day_Code]]=0,Cleaned_datasetB[[#This Row],[Day_Code]]=6),"Weekend","Weekday")</f>
        <v>Weekday</v>
      </c>
      <c r="J701" s="10">
        <v>2</v>
      </c>
      <c r="K701" s="10">
        <v>0.2</v>
      </c>
      <c r="L701" s="51">
        <v>0.2576</v>
      </c>
      <c r="M701" s="10">
        <v>0.86</v>
      </c>
      <c r="N701" s="10">
        <v>0</v>
      </c>
      <c r="O701" s="10">
        <v>2</v>
      </c>
      <c r="P701" s="10">
        <v>53</v>
      </c>
      <c r="Q701" s="10">
        <v>55</v>
      </c>
      <c r="R701" s="10" t="str">
        <f>VLOOKUP(Cleaned_datasetB[[#This Row],[Weather_Code]],Lookup_Tables!$E$9:$F$13,2,FALSE)</f>
        <v>Cloudy</v>
      </c>
      <c r="S701" s="10" t="str">
        <f>INDEX(Lookup_Tables!$I$10:$I$16,MATCH(Cleaned_datasetB[[#This Row],[Day_Code]],Lookup_Tables!$H$10:$H$16,0))</f>
        <v>Tuesday</v>
      </c>
      <c r="T701" s="10" t="str">
        <f>VLOOKUP(Cleaned_datasetB[[#This Row],[Month]], Lookup_Tables!$K$8:$L$19, 2, FALSE)</f>
        <v>February</v>
      </c>
      <c r="U701" s="10" t="str">
        <f>IF(AND(Cleaned_datasetB[[#This Row],[Day_Type]]="Weekday",Cleaned_datasetB[[#This Row],[Is_Holiday]]=FALSE),"Working Day","Non-Working Day")</f>
        <v>Working Day</v>
      </c>
    </row>
    <row r="702" spans="1:21">
      <c r="A702" s="10">
        <v>701</v>
      </c>
      <c r="B702" s="23">
        <v>40575</v>
      </c>
      <c r="C702" s="10">
        <v>1</v>
      </c>
      <c r="D702" s="10">
        <v>0</v>
      </c>
      <c r="E702" s="10">
        <v>2</v>
      </c>
      <c r="F702" s="10">
        <v>13</v>
      </c>
      <c r="G702" s="10" t="b">
        <v>0</v>
      </c>
      <c r="H702" s="10">
        <v>2</v>
      </c>
      <c r="I702" s="10" t="str">
        <f>IF(OR(Cleaned_datasetB[[#This Row],[Day_Code]]=0,Cleaned_datasetB[[#This Row],[Day_Code]]=6),"Weekend","Weekday")</f>
        <v>Weekday</v>
      </c>
      <c r="J702" s="10">
        <v>2</v>
      </c>
      <c r="K702" s="10">
        <v>0.2</v>
      </c>
      <c r="L702" s="51">
        <v>0.2576</v>
      </c>
      <c r="M702" s="10">
        <v>0.86</v>
      </c>
      <c r="N702" s="10">
        <v>0</v>
      </c>
      <c r="O702" s="10">
        <v>3</v>
      </c>
      <c r="P702" s="10">
        <v>49</v>
      </c>
      <c r="Q702" s="10">
        <v>52</v>
      </c>
      <c r="R702" s="10" t="str">
        <f>VLOOKUP(Cleaned_datasetB[[#This Row],[Weather_Code]],Lookup_Tables!$E$9:$F$13,2,FALSE)</f>
        <v>Cloudy</v>
      </c>
      <c r="S702" s="10" t="str">
        <f>INDEX(Lookup_Tables!$I$10:$I$16,MATCH(Cleaned_datasetB[[#This Row],[Day_Code]],Lookup_Tables!$H$10:$H$16,0))</f>
        <v>Tuesday</v>
      </c>
      <c r="T702" s="10" t="str">
        <f>VLOOKUP(Cleaned_datasetB[[#This Row],[Month]], Lookup_Tables!$K$8:$L$19, 2, FALSE)</f>
        <v>February</v>
      </c>
      <c r="U702" s="10" t="str">
        <f>IF(AND(Cleaned_datasetB[[#This Row],[Day_Type]]="Weekday",Cleaned_datasetB[[#This Row],[Is_Holiday]]=FALSE),"Working Day","Non-Working Day")</f>
        <v>Working Day</v>
      </c>
    </row>
    <row r="703" spans="1:21">
      <c r="A703" s="10">
        <v>702</v>
      </c>
      <c r="B703" s="23">
        <v>40575</v>
      </c>
      <c r="C703" s="10">
        <v>1</v>
      </c>
      <c r="D703" s="10">
        <v>0</v>
      </c>
      <c r="E703" s="10">
        <v>2</v>
      </c>
      <c r="F703" s="10">
        <v>14</v>
      </c>
      <c r="G703" s="10" t="b">
        <v>0</v>
      </c>
      <c r="H703" s="10">
        <v>2</v>
      </c>
      <c r="I703" s="10" t="str">
        <f>IF(OR(Cleaned_datasetB[[#This Row],[Day_Code]]=0,Cleaned_datasetB[[#This Row],[Day_Code]]=6),"Weekend","Weekday")</f>
        <v>Weekday</v>
      </c>
      <c r="J703" s="10">
        <v>2</v>
      </c>
      <c r="K703" s="10">
        <v>0.22</v>
      </c>
      <c r="L703" s="51">
        <v>0.2576</v>
      </c>
      <c r="M703" s="10">
        <v>0.8</v>
      </c>
      <c r="N703" s="10">
        <v>8.9599999999999999E-2</v>
      </c>
      <c r="O703" s="10">
        <v>5</v>
      </c>
      <c r="P703" s="10">
        <v>49</v>
      </c>
      <c r="Q703" s="10">
        <v>54</v>
      </c>
      <c r="R703" s="10" t="str">
        <f>VLOOKUP(Cleaned_datasetB[[#This Row],[Weather_Code]],Lookup_Tables!$E$9:$F$13,2,FALSE)</f>
        <v>Cloudy</v>
      </c>
      <c r="S703" s="10" t="str">
        <f>INDEX(Lookup_Tables!$I$10:$I$16,MATCH(Cleaned_datasetB[[#This Row],[Day_Code]],Lookup_Tables!$H$10:$H$16,0))</f>
        <v>Tuesday</v>
      </c>
      <c r="T703" s="10" t="str">
        <f>VLOOKUP(Cleaned_datasetB[[#This Row],[Month]], Lookup_Tables!$K$8:$L$19, 2, FALSE)</f>
        <v>February</v>
      </c>
      <c r="U703" s="10" t="str">
        <f>IF(AND(Cleaned_datasetB[[#This Row],[Day_Type]]="Weekday",Cleaned_datasetB[[#This Row],[Is_Holiday]]=FALSE),"Working Day","Non-Working Day")</f>
        <v>Working Day</v>
      </c>
    </row>
    <row r="704" spans="1:21">
      <c r="A704" s="10">
        <v>703</v>
      </c>
      <c r="B704" s="23">
        <v>40575</v>
      </c>
      <c r="C704" s="10">
        <v>1</v>
      </c>
      <c r="D704" s="10">
        <v>0</v>
      </c>
      <c r="E704" s="10">
        <v>2</v>
      </c>
      <c r="F704" s="10">
        <v>15</v>
      </c>
      <c r="G704" s="10" t="b">
        <v>0</v>
      </c>
      <c r="H704" s="10">
        <v>2</v>
      </c>
      <c r="I704" s="10" t="str">
        <f>IF(OR(Cleaned_datasetB[[#This Row],[Day_Code]]=0,Cleaned_datasetB[[#This Row],[Day_Code]]=6),"Weekend","Weekday")</f>
        <v>Weekday</v>
      </c>
      <c r="J704" s="10">
        <v>2</v>
      </c>
      <c r="K704" s="10">
        <v>0.24</v>
      </c>
      <c r="L704" s="51">
        <v>0.28789999999999999</v>
      </c>
      <c r="M704" s="10">
        <v>0.75</v>
      </c>
      <c r="N704" s="10">
        <v>0</v>
      </c>
      <c r="O704" s="10">
        <v>7</v>
      </c>
      <c r="P704" s="10">
        <v>45</v>
      </c>
      <c r="Q704" s="10">
        <v>52</v>
      </c>
      <c r="R704" s="10" t="str">
        <f>VLOOKUP(Cleaned_datasetB[[#This Row],[Weather_Code]],Lookup_Tables!$E$9:$F$13,2,FALSE)</f>
        <v>Cloudy</v>
      </c>
      <c r="S704" s="10" t="str">
        <f>INDEX(Lookup_Tables!$I$10:$I$16,MATCH(Cleaned_datasetB[[#This Row],[Day_Code]],Lookup_Tables!$H$10:$H$16,0))</f>
        <v>Tuesday</v>
      </c>
      <c r="T704" s="10" t="str">
        <f>VLOOKUP(Cleaned_datasetB[[#This Row],[Month]], Lookup_Tables!$K$8:$L$19, 2, FALSE)</f>
        <v>February</v>
      </c>
      <c r="U704" s="10" t="str">
        <f>IF(AND(Cleaned_datasetB[[#This Row],[Day_Type]]="Weekday",Cleaned_datasetB[[#This Row],[Is_Holiday]]=FALSE),"Working Day","Non-Working Day")</f>
        <v>Working Day</v>
      </c>
    </row>
    <row r="705" spans="1:21">
      <c r="A705" s="10">
        <v>704</v>
      </c>
      <c r="B705" s="23">
        <v>40575</v>
      </c>
      <c r="C705" s="10">
        <v>1</v>
      </c>
      <c r="D705" s="10">
        <v>0</v>
      </c>
      <c r="E705" s="10">
        <v>2</v>
      </c>
      <c r="F705" s="10">
        <v>16</v>
      </c>
      <c r="G705" s="10" t="b">
        <v>0</v>
      </c>
      <c r="H705" s="10">
        <v>2</v>
      </c>
      <c r="I705" s="10" t="str">
        <f>IF(OR(Cleaned_datasetB[[#This Row],[Day_Code]]=0,Cleaned_datasetB[[#This Row],[Day_Code]]=6),"Weekend","Weekday")</f>
        <v>Weekday</v>
      </c>
      <c r="J705" s="10">
        <v>2</v>
      </c>
      <c r="K705" s="10">
        <v>0.24</v>
      </c>
      <c r="L705" s="51">
        <v>0.2424</v>
      </c>
      <c r="M705" s="10">
        <v>0.75</v>
      </c>
      <c r="N705" s="10">
        <v>0.1343</v>
      </c>
      <c r="O705" s="10">
        <v>3</v>
      </c>
      <c r="P705" s="10">
        <v>61</v>
      </c>
      <c r="Q705" s="10">
        <v>64</v>
      </c>
      <c r="R705" s="10" t="str">
        <f>VLOOKUP(Cleaned_datasetB[[#This Row],[Weather_Code]],Lookup_Tables!$E$9:$F$13,2,FALSE)</f>
        <v>Cloudy</v>
      </c>
      <c r="S705" s="10" t="str">
        <f>INDEX(Lookup_Tables!$I$10:$I$16,MATCH(Cleaned_datasetB[[#This Row],[Day_Code]],Lookup_Tables!$H$10:$H$16,0))</f>
        <v>Tuesday</v>
      </c>
      <c r="T705" s="10" t="str">
        <f>VLOOKUP(Cleaned_datasetB[[#This Row],[Month]], Lookup_Tables!$K$8:$L$19, 2, FALSE)</f>
        <v>February</v>
      </c>
      <c r="U705" s="10" t="str">
        <f>IF(AND(Cleaned_datasetB[[#This Row],[Day_Type]]="Weekday",Cleaned_datasetB[[#This Row],[Is_Holiday]]=FALSE),"Working Day","Non-Working Day")</f>
        <v>Working Day</v>
      </c>
    </row>
    <row r="706" spans="1:21">
      <c r="A706" s="10">
        <v>705</v>
      </c>
      <c r="B706" s="23">
        <v>40575</v>
      </c>
      <c r="C706" s="10">
        <v>1</v>
      </c>
      <c r="D706" s="10">
        <v>0</v>
      </c>
      <c r="E706" s="10">
        <v>2</v>
      </c>
      <c r="F706" s="10">
        <v>17</v>
      </c>
      <c r="G706" s="10" t="b">
        <v>0</v>
      </c>
      <c r="H706" s="10">
        <v>2</v>
      </c>
      <c r="I706" s="10" t="str">
        <f>IF(OR(Cleaned_datasetB[[#This Row],[Day_Code]]=0,Cleaned_datasetB[[#This Row],[Day_Code]]=6),"Weekend","Weekday")</f>
        <v>Weekday</v>
      </c>
      <c r="J706" s="10">
        <v>2</v>
      </c>
      <c r="K706" s="10">
        <v>0.24</v>
      </c>
      <c r="L706" s="51">
        <v>0.28789999999999999</v>
      </c>
      <c r="M706" s="10">
        <v>0.75</v>
      </c>
      <c r="N706" s="10">
        <v>0</v>
      </c>
      <c r="O706" s="10">
        <v>4</v>
      </c>
      <c r="P706" s="10">
        <v>172</v>
      </c>
      <c r="Q706" s="10">
        <v>176</v>
      </c>
      <c r="R706" s="10" t="str">
        <f>VLOOKUP(Cleaned_datasetB[[#This Row],[Weather_Code]],Lookup_Tables!$E$9:$F$13,2,FALSE)</f>
        <v>Cloudy</v>
      </c>
      <c r="S706" s="10" t="str">
        <f>INDEX(Lookup_Tables!$I$10:$I$16,MATCH(Cleaned_datasetB[[#This Row],[Day_Code]],Lookup_Tables!$H$10:$H$16,0))</f>
        <v>Tuesday</v>
      </c>
      <c r="T706" s="10" t="str">
        <f>VLOOKUP(Cleaned_datasetB[[#This Row],[Month]], Lookup_Tables!$K$8:$L$19, 2, FALSE)</f>
        <v>February</v>
      </c>
      <c r="U706" s="10" t="str">
        <f>IF(AND(Cleaned_datasetB[[#This Row],[Day_Type]]="Weekday",Cleaned_datasetB[[#This Row],[Is_Holiday]]=FALSE),"Working Day","Non-Working Day")</f>
        <v>Working Day</v>
      </c>
    </row>
    <row r="707" spans="1:21">
      <c r="A707" s="10">
        <v>706</v>
      </c>
      <c r="B707" s="23">
        <v>40575</v>
      </c>
      <c r="C707" s="10">
        <v>1</v>
      </c>
      <c r="D707" s="10">
        <v>0</v>
      </c>
      <c r="E707" s="10">
        <v>2</v>
      </c>
      <c r="F707" s="10">
        <v>18</v>
      </c>
      <c r="G707" s="10" t="b">
        <v>0</v>
      </c>
      <c r="H707" s="10">
        <v>2</v>
      </c>
      <c r="I707" s="10" t="str">
        <f>IF(OR(Cleaned_datasetB[[#This Row],[Day_Code]]=0,Cleaned_datasetB[[#This Row],[Day_Code]]=6),"Weekend","Weekday")</f>
        <v>Weekday</v>
      </c>
      <c r="J707" s="10">
        <v>2</v>
      </c>
      <c r="K707" s="10">
        <v>0.24</v>
      </c>
      <c r="L707" s="51">
        <v>0.2576</v>
      </c>
      <c r="M707" s="10">
        <v>0.81</v>
      </c>
      <c r="N707" s="10">
        <v>0.1045</v>
      </c>
      <c r="O707" s="10">
        <v>3</v>
      </c>
      <c r="P707" s="10">
        <v>165</v>
      </c>
      <c r="Q707" s="10">
        <v>168</v>
      </c>
      <c r="R707" s="10" t="str">
        <f>VLOOKUP(Cleaned_datasetB[[#This Row],[Weather_Code]],Lookup_Tables!$E$9:$F$13,2,FALSE)</f>
        <v>Cloudy</v>
      </c>
      <c r="S707" s="10" t="str">
        <f>INDEX(Lookup_Tables!$I$10:$I$16,MATCH(Cleaned_datasetB[[#This Row],[Day_Code]],Lookup_Tables!$H$10:$H$16,0))</f>
        <v>Tuesday</v>
      </c>
      <c r="T707" s="10" t="str">
        <f>VLOOKUP(Cleaned_datasetB[[#This Row],[Month]], Lookup_Tables!$K$8:$L$19, 2, FALSE)</f>
        <v>February</v>
      </c>
      <c r="U707" s="10" t="str">
        <f>IF(AND(Cleaned_datasetB[[#This Row],[Day_Type]]="Weekday",Cleaned_datasetB[[#This Row],[Is_Holiday]]=FALSE),"Working Day","Non-Working Day")</f>
        <v>Working Day</v>
      </c>
    </row>
    <row r="708" spans="1:21">
      <c r="A708" s="10">
        <v>707</v>
      </c>
      <c r="B708" s="23">
        <v>40575</v>
      </c>
      <c r="C708" s="10">
        <v>1</v>
      </c>
      <c r="D708" s="10">
        <v>0</v>
      </c>
      <c r="E708" s="10">
        <v>2</v>
      </c>
      <c r="F708" s="10">
        <v>19</v>
      </c>
      <c r="G708" s="10" t="b">
        <v>0</v>
      </c>
      <c r="H708" s="10">
        <v>2</v>
      </c>
      <c r="I708" s="10" t="str">
        <f>IF(OR(Cleaned_datasetB[[#This Row],[Day_Code]]=0,Cleaned_datasetB[[#This Row],[Day_Code]]=6),"Weekend","Weekday")</f>
        <v>Weekday</v>
      </c>
      <c r="J708" s="10">
        <v>2</v>
      </c>
      <c r="K708" s="10">
        <v>0.24</v>
      </c>
      <c r="L708" s="51">
        <v>0.2424</v>
      </c>
      <c r="M708" s="10">
        <v>0.81</v>
      </c>
      <c r="N708" s="10">
        <v>0.1343</v>
      </c>
      <c r="O708" s="10">
        <v>3</v>
      </c>
      <c r="P708" s="10">
        <v>105</v>
      </c>
      <c r="Q708" s="10">
        <v>108</v>
      </c>
      <c r="R708" s="10" t="str">
        <f>VLOOKUP(Cleaned_datasetB[[#This Row],[Weather_Code]],Lookup_Tables!$E$9:$F$13,2,FALSE)</f>
        <v>Cloudy</v>
      </c>
      <c r="S708" s="10" t="str">
        <f>INDEX(Lookup_Tables!$I$10:$I$16,MATCH(Cleaned_datasetB[[#This Row],[Day_Code]],Lookup_Tables!$H$10:$H$16,0))</f>
        <v>Tuesday</v>
      </c>
      <c r="T708" s="10" t="str">
        <f>VLOOKUP(Cleaned_datasetB[[#This Row],[Month]], Lookup_Tables!$K$8:$L$19, 2, FALSE)</f>
        <v>February</v>
      </c>
      <c r="U708" s="10" t="str">
        <f>IF(AND(Cleaned_datasetB[[#This Row],[Day_Type]]="Weekday",Cleaned_datasetB[[#This Row],[Is_Holiday]]=FALSE),"Working Day","Non-Working Day")</f>
        <v>Working Day</v>
      </c>
    </row>
    <row r="709" spans="1:21">
      <c r="A709" s="10">
        <v>708</v>
      </c>
      <c r="B709" s="23">
        <v>40575</v>
      </c>
      <c r="C709" s="10">
        <v>1</v>
      </c>
      <c r="D709" s="10">
        <v>0</v>
      </c>
      <c r="E709" s="10">
        <v>2</v>
      </c>
      <c r="F709" s="10">
        <v>20</v>
      </c>
      <c r="G709" s="10" t="b">
        <v>0</v>
      </c>
      <c r="H709" s="10">
        <v>2</v>
      </c>
      <c r="I709" s="10" t="str">
        <f>IF(OR(Cleaned_datasetB[[#This Row],[Day_Code]]=0,Cleaned_datasetB[[#This Row],[Day_Code]]=6),"Weekend","Weekday")</f>
        <v>Weekday</v>
      </c>
      <c r="J709" s="10">
        <v>2</v>
      </c>
      <c r="K709" s="10">
        <v>0.22</v>
      </c>
      <c r="L709" s="51">
        <v>0.2273</v>
      </c>
      <c r="M709" s="10">
        <v>0.87</v>
      </c>
      <c r="N709" s="10">
        <v>0.1343</v>
      </c>
      <c r="O709" s="10">
        <v>5</v>
      </c>
      <c r="P709" s="10">
        <v>69</v>
      </c>
      <c r="Q709" s="10">
        <v>74</v>
      </c>
      <c r="R709" s="10" t="str">
        <f>VLOOKUP(Cleaned_datasetB[[#This Row],[Weather_Code]],Lookup_Tables!$E$9:$F$13,2,FALSE)</f>
        <v>Cloudy</v>
      </c>
      <c r="S709" s="10" t="str">
        <f>INDEX(Lookup_Tables!$I$10:$I$16,MATCH(Cleaned_datasetB[[#This Row],[Day_Code]],Lookup_Tables!$H$10:$H$16,0))</f>
        <v>Tuesday</v>
      </c>
      <c r="T709" s="10" t="str">
        <f>VLOOKUP(Cleaned_datasetB[[#This Row],[Month]], Lookup_Tables!$K$8:$L$19, 2, FALSE)</f>
        <v>February</v>
      </c>
      <c r="U709" s="10" t="str">
        <f>IF(AND(Cleaned_datasetB[[#This Row],[Day_Type]]="Weekday",Cleaned_datasetB[[#This Row],[Is_Holiday]]=FALSE),"Working Day","Non-Working Day")</f>
        <v>Working Day</v>
      </c>
    </row>
    <row r="710" spans="1:21">
      <c r="A710" s="10">
        <v>709</v>
      </c>
      <c r="B710" s="23">
        <v>40575</v>
      </c>
      <c r="C710" s="10">
        <v>1</v>
      </c>
      <c r="D710" s="10">
        <v>0</v>
      </c>
      <c r="E710" s="10">
        <v>2</v>
      </c>
      <c r="F710" s="10">
        <v>21</v>
      </c>
      <c r="G710" s="10" t="b">
        <v>0</v>
      </c>
      <c r="H710" s="10">
        <v>2</v>
      </c>
      <c r="I710" s="10" t="str">
        <f>IF(OR(Cleaned_datasetB[[#This Row],[Day_Code]]=0,Cleaned_datasetB[[#This Row],[Day_Code]]=6),"Weekend","Weekday")</f>
        <v>Weekday</v>
      </c>
      <c r="J710" s="10">
        <v>2</v>
      </c>
      <c r="K710" s="10">
        <v>0.22</v>
      </c>
      <c r="L710" s="51">
        <v>0.2273</v>
      </c>
      <c r="M710" s="10">
        <v>0.87</v>
      </c>
      <c r="N710" s="10">
        <v>0.1343</v>
      </c>
      <c r="O710" s="10">
        <v>0</v>
      </c>
      <c r="P710" s="10">
        <v>64</v>
      </c>
      <c r="Q710" s="10">
        <v>64</v>
      </c>
      <c r="R710" s="10" t="str">
        <f>VLOOKUP(Cleaned_datasetB[[#This Row],[Weather_Code]],Lookup_Tables!$E$9:$F$13,2,FALSE)</f>
        <v>Cloudy</v>
      </c>
      <c r="S710" s="10" t="str">
        <f>INDEX(Lookup_Tables!$I$10:$I$16,MATCH(Cleaned_datasetB[[#This Row],[Day_Code]],Lookup_Tables!$H$10:$H$16,0))</f>
        <v>Tuesday</v>
      </c>
      <c r="T710" s="10" t="str">
        <f>VLOOKUP(Cleaned_datasetB[[#This Row],[Month]], Lookup_Tables!$K$8:$L$19, 2, FALSE)</f>
        <v>February</v>
      </c>
      <c r="U710" s="10" t="str">
        <f>IF(AND(Cleaned_datasetB[[#This Row],[Day_Type]]="Weekday",Cleaned_datasetB[[#This Row],[Is_Holiday]]=FALSE),"Working Day","Non-Working Day")</f>
        <v>Working Day</v>
      </c>
    </row>
    <row r="711" spans="1:21">
      <c r="A711" s="10">
        <v>710</v>
      </c>
      <c r="B711" s="23">
        <v>40575</v>
      </c>
      <c r="C711" s="10">
        <v>1</v>
      </c>
      <c r="D711" s="10">
        <v>0</v>
      </c>
      <c r="E711" s="10">
        <v>2</v>
      </c>
      <c r="F711" s="10">
        <v>22</v>
      </c>
      <c r="G711" s="10" t="b">
        <v>0</v>
      </c>
      <c r="H711" s="10">
        <v>2</v>
      </c>
      <c r="I711" s="10" t="str">
        <f>IF(OR(Cleaned_datasetB[[#This Row],[Day_Code]]=0,Cleaned_datasetB[[#This Row],[Day_Code]]=6),"Weekend","Weekday")</f>
        <v>Weekday</v>
      </c>
      <c r="J711" s="10">
        <v>2</v>
      </c>
      <c r="K711" s="10">
        <v>0.22</v>
      </c>
      <c r="L711" s="51">
        <v>0.2576</v>
      </c>
      <c r="M711" s="10">
        <v>0.87</v>
      </c>
      <c r="N711" s="10">
        <v>8.9599999999999999E-2</v>
      </c>
      <c r="O711" s="10">
        <v>2</v>
      </c>
      <c r="P711" s="10">
        <v>34</v>
      </c>
      <c r="Q711" s="10">
        <v>36</v>
      </c>
      <c r="R711" s="10" t="str">
        <f>VLOOKUP(Cleaned_datasetB[[#This Row],[Weather_Code]],Lookup_Tables!$E$9:$F$13,2,FALSE)</f>
        <v>Cloudy</v>
      </c>
      <c r="S711" s="10" t="str">
        <f>INDEX(Lookup_Tables!$I$10:$I$16,MATCH(Cleaned_datasetB[[#This Row],[Day_Code]],Lookup_Tables!$H$10:$H$16,0))</f>
        <v>Tuesday</v>
      </c>
      <c r="T711" s="10" t="str">
        <f>VLOOKUP(Cleaned_datasetB[[#This Row],[Month]], Lookup_Tables!$K$8:$L$19, 2, FALSE)</f>
        <v>February</v>
      </c>
      <c r="U711" s="10" t="str">
        <f>IF(AND(Cleaned_datasetB[[#This Row],[Day_Type]]="Weekday",Cleaned_datasetB[[#This Row],[Is_Holiday]]=FALSE),"Working Day","Non-Working Day")</f>
        <v>Working Day</v>
      </c>
    </row>
    <row r="712" spans="1:21">
      <c r="A712" s="10">
        <v>711</v>
      </c>
      <c r="B712" s="23">
        <v>40575</v>
      </c>
      <c r="C712" s="10">
        <v>1</v>
      </c>
      <c r="D712" s="10">
        <v>0</v>
      </c>
      <c r="E712" s="10">
        <v>2</v>
      </c>
      <c r="F712" s="10">
        <v>23</v>
      </c>
      <c r="G712" s="10" t="b">
        <v>0</v>
      </c>
      <c r="H712" s="10">
        <v>2</v>
      </c>
      <c r="I712" s="10" t="str">
        <f>IF(OR(Cleaned_datasetB[[#This Row],[Day_Code]]=0,Cleaned_datasetB[[#This Row],[Day_Code]]=6),"Weekend","Weekday")</f>
        <v>Weekday</v>
      </c>
      <c r="J712" s="10">
        <v>3</v>
      </c>
      <c r="K712" s="10">
        <v>0.2</v>
      </c>
      <c r="L712" s="51">
        <v>0.19700000000000001</v>
      </c>
      <c r="M712" s="10">
        <v>0.93</v>
      </c>
      <c r="N712" s="10">
        <v>0.19400000000000001</v>
      </c>
      <c r="O712" s="10">
        <v>1</v>
      </c>
      <c r="P712" s="10">
        <v>15</v>
      </c>
      <c r="Q712" s="10">
        <v>16</v>
      </c>
      <c r="R712" s="10" t="str">
        <f>VLOOKUP(Cleaned_datasetB[[#This Row],[Weather_Code]],Lookup_Tables!$E$9:$F$13,2,FALSE)</f>
        <v>Light Rain</v>
      </c>
      <c r="S712" s="10" t="str">
        <f>INDEX(Lookup_Tables!$I$10:$I$16,MATCH(Cleaned_datasetB[[#This Row],[Day_Code]],Lookup_Tables!$H$10:$H$16,0))</f>
        <v>Tuesday</v>
      </c>
      <c r="T712" s="10" t="str">
        <f>VLOOKUP(Cleaned_datasetB[[#This Row],[Month]], Lookup_Tables!$K$8:$L$19, 2, FALSE)</f>
        <v>February</v>
      </c>
      <c r="U712" s="10" t="str">
        <f>IF(AND(Cleaned_datasetB[[#This Row],[Day_Type]]="Weekday",Cleaned_datasetB[[#This Row],[Is_Holiday]]=FALSE),"Working Day","Non-Working Day")</f>
        <v>Working Day</v>
      </c>
    </row>
    <row r="713" spans="1:21">
      <c r="A713" s="10">
        <v>712</v>
      </c>
      <c r="B713" s="23">
        <v>40576</v>
      </c>
      <c r="C713" s="10">
        <v>1</v>
      </c>
      <c r="D713" s="10">
        <v>0</v>
      </c>
      <c r="E713" s="10">
        <v>2</v>
      </c>
      <c r="F713" s="10">
        <v>0</v>
      </c>
      <c r="G713" s="10" t="b">
        <v>0</v>
      </c>
      <c r="H713" s="10">
        <v>3</v>
      </c>
      <c r="I713" s="10" t="str">
        <f>IF(OR(Cleaned_datasetB[[#This Row],[Day_Code]]=0,Cleaned_datasetB[[#This Row],[Day_Code]]=6),"Weekend","Weekday")</f>
        <v>Weekday</v>
      </c>
      <c r="J713" s="10">
        <v>3</v>
      </c>
      <c r="K713" s="10">
        <v>0.22</v>
      </c>
      <c r="L713" s="51">
        <v>0.2424</v>
      </c>
      <c r="M713" s="10">
        <v>0.93</v>
      </c>
      <c r="N713" s="10">
        <v>0.1045</v>
      </c>
      <c r="O713" s="10">
        <v>0</v>
      </c>
      <c r="P713" s="10">
        <v>2</v>
      </c>
      <c r="Q713" s="10">
        <v>2</v>
      </c>
      <c r="R713" s="10" t="str">
        <f>VLOOKUP(Cleaned_datasetB[[#This Row],[Weather_Code]],Lookup_Tables!$E$9:$F$13,2,FALSE)</f>
        <v>Light Rain</v>
      </c>
      <c r="S713" s="10" t="str">
        <f>INDEX(Lookup_Tables!$I$10:$I$16,MATCH(Cleaned_datasetB[[#This Row],[Day_Code]],Lookup_Tables!$H$10:$H$16,0))</f>
        <v>Wednesday</v>
      </c>
      <c r="T713" s="10" t="str">
        <f>VLOOKUP(Cleaned_datasetB[[#This Row],[Month]], Lookup_Tables!$K$8:$L$19, 2, FALSE)</f>
        <v>February</v>
      </c>
      <c r="U713" s="10" t="str">
        <f>IF(AND(Cleaned_datasetB[[#This Row],[Day_Type]]="Weekday",Cleaned_datasetB[[#This Row],[Is_Holiday]]=FALSE),"Working Day","Non-Working Day")</f>
        <v>Working Day</v>
      </c>
    </row>
    <row r="714" spans="1:21">
      <c r="A714" s="10">
        <v>713</v>
      </c>
      <c r="B714" s="23">
        <v>40576</v>
      </c>
      <c r="C714" s="10">
        <v>1</v>
      </c>
      <c r="D714" s="10">
        <v>0</v>
      </c>
      <c r="E714" s="10">
        <v>2</v>
      </c>
      <c r="F714" s="10">
        <v>1</v>
      </c>
      <c r="G714" s="10" t="b">
        <v>0</v>
      </c>
      <c r="H714" s="10">
        <v>3</v>
      </c>
      <c r="I714" s="10" t="str">
        <f>IF(OR(Cleaned_datasetB[[#This Row],[Day_Code]]=0,Cleaned_datasetB[[#This Row],[Day_Code]]=6),"Weekend","Weekday")</f>
        <v>Weekday</v>
      </c>
      <c r="J714" s="10">
        <v>3</v>
      </c>
      <c r="K714" s="10">
        <v>0.22</v>
      </c>
      <c r="L714" s="51">
        <v>0.2273</v>
      </c>
      <c r="M714" s="10">
        <v>0.93</v>
      </c>
      <c r="N714" s="10">
        <v>0.19400000000000001</v>
      </c>
      <c r="O714" s="10">
        <v>0</v>
      </c>
      <c r="P714" s="10">
        <v>3</v>
      </c>
      <c r="Q714" s="10">
        <v>3</v>
      </c>
      <c r="R714" s="10" t="str">
        <f>VLOOKUP(Cleaned_datasetB[[#This Row],[Weather_Code]],Lookup_Tables!$E$9:$F$13,2,FALSE)</f>
        <v>Light Rain</v>
      </c>
      <c r="S714" s="10" t="str">
        <f>INDEX(Lookup_Tables!$I$10:$I$16,MATCH(Cleaned_datasetB[[#This Row],[Day_Code]],Lookup_Tables!$H$10:$H$16,0))</f>
        <v>Wednesday</v>
      </c>
      <c r="T714" s="10" t="str">
        <f>VLOOKUP(Cleaned_datasetB[[#This Row],[Month]], Lookup_Tables!$K$8:$L$19, 2, FALSE)</f>
        <v>February</v>
      </c>
      <c r="U714" s="10" t="str">
        <f>IF(AND(Cleaned_datasetB[[#This Row],[Day_Type]]="Weekday",Cleaned_datasetB[[#This Row],[Is_Holiday]]=FALSE),"Working Day","Non-Working Day")</f>
        <v>Working Day</v>
      </c>
    </row>
    <row r="715" spans="1:21">
      <c r="A715" s="10">
        <v>714</v>
      </c>
      <c r="B715" s="23">
        <v>40576</v>
      </c>
      <c r="C715" s="10">
        <v>1</v>
      </c>
      <c r="D715" s="10">
        <v>0</v>
      </c>
      <c r="E715" s="10">
        <v>2</v>
      </c>
      <c r="F715" s="10">
        <v>2</v>
      </c>
      <c r="G715" s="10" t="b">
        <v>0</v>
      </c>
      <c r="H715" s="10">
        <v>3</v>
      </c>
      <c r="I715" s="10" t="str">
        <f>IF(OR(Cleaned_datasetB[[#This Row],[Day_Code]]=0,Cleaned_datasetB[[#This Row],[Day_Code]]=6),"Weekend","Weekday")</f>
        <v>Weekday</v>
      </c>
      <c r="J715" s="10">
        <v>3</v>
      </c>
      <c r="K715" s="10">
        <v>0.22</v>
      </c>
      <c r="L715" s="51">
        <v>0.2273</v>
      </c>
      <c r="M715" s="10">
        <v>0.93</v>
      </c>
      <c r="N715" s="10">
        <v>0.1343</v>
      </c>
      <c r="O715" s="10">
        <v>4</v>
      </c>
      <c r="P715" s="10">
        <v>0</v>
      </c>
      <c r="Q715" s="10">
        <v>4</v>
      </c>
      <c r="R715" s="10" t="str">
        <f>VLOOKUP(Cleaned_datasetB[[#This Row],[Weather_Code]],Lookup_Tables!$E$9:$F$13,2,FALSE)</f>
        <v>Light Rain</v>
      </c>
      <c r="S715" s="10" t="str">
        <f>INDEX(Lookup_Tables!$I$10:$I$16,MATCH(Cleaned_datasetB[[#This Row],[Day_Code]],Lookup_Tables!$H$10:$H$16,0))</f>
        <v>Wednesday</v>
      </c>
      <c r="T715" s="10" t="str">
        <f>VLOOKUP(Cleaned_datasetB[[#This Row],[Month]], Lookup_Tables!$K$8:$L$19, 2, FALSE)</f>
        <v>February</v>
      </c>
      <c r="U715" s="10" t="str">
        <f>IF(AND(Cleaned_datasetB[[#This Row],[Day_Type]]="Weekday",Cleaned_datasetB[[#This Row],[Is_Holiday]]=FALSE),"Working Day","Non-Working Day")</f>
        <v>Working Day</v>
      </c>
    </row>
    <row r="716" spans="1:21">
      <c r="A716" s="10">
        <v>715</v>
      </c>
      <c r="B716" s="23">
        <v>40576</v>
      </c>
      <c r="C716" s="10">
        <v>1</v>
      </c>
      <c r="D716" s="10">
        <v>0</v>
      </c>
      <c r="E716" s="10">
        <v>2</v>
      </c>
      <c r="F716" s="10">
        <v>3</v>
      </c>
      <c r="G716" s="10" t="b">
        <v>0</v>
      </c>
      <c r="H716" s="10">
        <v>3</v>
      </c>
      <c r="I716" s="10" t="str">
        <f>IF(OR(Cleaned_datasetB[[#This Row],[Day_Code]]=0,Cleaned_datasetB[[#This Row],[Day_Code]]=6),"Weekend","Weekday")</f>
        <v>Weekday</v>
      </c>
      <c r="J716" s="10">
        <v>3</v>
      </c>
      <c r="K716" s="10">
        <v>0.22</v>
      </c>
      <c r="L716" s="51">
        <v>0.2273</v>
      </c>
      <c r="M716" s="10">
        <v>0.93</v>
      </c>
      <c r="N716" s="10">
        <v>0.1343</v>
      </c>
      <c r="O716" s="10">
        <v>0</v>
      </c>
      <c r="P716" s="10">
        <v>1</v>
      </c>
      <c r="Q716" s="10">
        <v>1</v>
      </c>
      <c r="R716" s="10" t="str">
        <f>VLOOKUP(Cleaned_datasetB[[#This Row],[Weather_Code]],Lookup_Tables!$E$9:$F$13,2,FALSE)</f>
        <v>Light Rain</v>
      </c>
      <c r="S716" s="10" t="str">
        <f>INDEX(Lookup_Tables!$I$10:$I$16,MATCH(Cleaned_datasetB[[#This Row],[Day_Code]],Lookup_Tables!$H$10:$H$16,0))</f>
        <v>Wednesday</v>
      </c>
      <c r="T716" s="10" t="str">
        <f>VLOOKUP(Cleaned_datasetB[[#This Row],[Month]], Lookup_Tables!$K$8:$L$19, 2, FALSE)</f>
        <v>February</v>
      </c>
      <c r="U716" s="10" t="str">
        <f>IF(AND(Cleaned_datasetB[[#This Row],[Day_Type]]="Weekday",Cleaned_datasetB[[#This Row],[Is_Holiday]]=FALSE),"Working Day","Non-Working Day")</f>
        <v>Working Day</v>
      </c>
    </row>
    <row r="717" spans="1:21">
      <c r="A717" s="10">
        <v>716</v>
      </c>
      <c r="B717" s="23">
        <v>40576</v>
      </c>
      <c r="C717" s="10">
        <v>1</v>
      </c>
      <c r="D717" s="10">
        <v>0</v>
      </c>
      <c r="E717" s="10">
        <v>2</v>
      </c>
      <c r="F717" s="10">
        <v>4</v>
      </c>
      <c r="G717" s="10" t="b">
        <v>0</v>
      </c>
      <c r="H717" s="10">
        <v>3</v>
      </c>
      <c r="I717" s="10" t="str">
        <f>IF(OR(Cleaned_datasetB[[#This Row],[Day_Code]]=0,Cleaned_datasetB[[#This Row],[Day_Code]]=6),"Weekend","Weekday")</f>
        <v>Weekday</v>
      </c>
      <c r="J717" s="10">
        <v>3</v>
      </c>
      <c r="K717" s="10">
        <v>0.22</v>
      </c>
      <c r="L717" s="51">
        <v>0.21210000000000001</v>
      </c>
      <c r="M717" s="10">
        <v>0.93</v>
      </c>
      <c r="N717" s="10">
        <v>0.28360000000000002</v>
      </c>
      <c r="O717" s="10">
        <v>0</v>
      </c>
      <c r="P717" s="10">
        <v>1</v>
      </c>
      <c r="Q717" s="10">
        <v>1</v>
      </c>
      <c r="R717" s="10" t="str">
        <f>VLOOKUP(Cleaned_datasetB[[#This Row],[Weather_Code]],Lookup_Tables!$E$9:$F$13,2,FALSE)</f>
        <v>Light Rain</v>
      </c>
      <c r="S717" s="10" t="str">
        <f>INDEX(Lookup_Tables!$I$10:$I$16,MATCH(Cleaned_datasetB[[#This Row],[Day_Code]],Lookup_Tables!$H$10:$H$16,0))</f>
        <v>Wednesday</v>
      </c>
      <c r="T717" s="10" t="str">
        <f>VLOOKUP(Cleaned_datasetB[[#This Row],[Month]], Lookup_Tables!$K$8:$L$19, 2, FALSE)</f>
        <v>February</v>
      </c>
      <c r="U717" s="10" t="str">
        <f>IF(AND(Cleaned_datasetB[[#This Row],[Day_Type]]="Weekday",Cleaned_datasetB[[#This Row],[Is_Holiday]]=FALSE),"Working Day","Non-Working Day")</f>
        <v>Working Day</v>
      </c>
    </row>
    <row r="718" spans="1:21">
      <c r="A718" s="10">
        <v>717</v>
      </c>
      <c r="B718" s="23">
        <v>40576</v>
      </c>
      <c r="C718" s="10">
        <v>1</v>
      </c>
      <c r="D718" s="10">
        <v>0</v>
      </c>
      <c r="E718" s="10">
        <v>2</v>
      </c>
      <c r="F718" s="10">
        <v>5</v>
      </c>
      <c r="G718" s="10" t="b">
        <v>0</v>
      </c>
      <c r="H718" s="10">
        <v>3</v>
      </c>
      <c r="I718" s="10" t="str">
        <f>IF(OR(Cleaned_datasetB[[#This Row],[Day_Code]]=0,Cleaned_datasetB[[#This Row],[Day_Code]]=6),"Weekend","Weekday")</f>
        <v>Weekday</v>
      </c>
      <c r="J718" s="10">
        <v>3</v>
      </c>
      <c r="K718" s="10">
        <v>0.22</v>
      </c>
      <c r="L718" s="51">
        <v>0.2424</v>
      </c>
      <c r="M718" s="10">
        <v>0.93</v>
      </c>
      <c r="N718" s="10">
        <v>0.1045</v>
      </c>
      <c r="O718" s="10">
        <v>0</v>
      </c>
      <c r="P718" s="10">
        <v>3</v>
      </c>
      <c r="Q718" s="10">
        <v>3</v>
      </c>
      <c r="R718" s="10" t="str">
        <f>VLOOKUP(Cleaned_datasetB[[#This Row],[Weather_Code]],Lookup_Tables!$E$9:$F$13,2,FALSE)</f>
        <v>Light Rain</v>
      </c>
      <c r="S718" s="10" t="str">
        <f>INDEX(Lookup_Tables!$I$10:$I$16,MATCH(Cleaned_datasetB[[#This Row],[Day_Code]],Lookup_Tables!$H$10:$H$16,0))</f>
        <v>Wednesday</v>
      </c>
      <c r="T718" s="10" t="str">
        <f>VLOOKUP(Cleaned_datasetB[[#This Row],[Month]], Lookup_Tables!$K$8:$L$19, 2, FALSE)</f>
        <v>February</v>
      </c>
      <c r="U718" s="10" t="str">
        <f>IF(AND(Cleaned_datasetB[[#This Row],[Day_Type]]="Weekday",Cleaned_datasetB[[#This Row],[Is_Holiday]]=FALSE),"Working Day","Non-Working Day")</f>
        <v>Working Day</v>
      </c>
    </row>
    <row r="719" spans="1:21">
      <c r="A719" s="10">
        <v>718</v>
      </c>
      <c r="B719" s="23">
        <v>40576</v>
      </c>
      <c r="C719" s="10">
        <v>1</v>
      </c>
      <c r="D719" s="10">
        <v>0</v>
      </c>
      <c r="E719" s="10">
        <v>2</v>
      </c>
      <c r="F719" s="10">
        <v>6</v>
      </c>
      <c r="G719" s="10" t="b">
        <v>0</v>
      </c>
      <c r="H719" s="10">
        <v>3</v>
      </c>
      <c r="I719" s="10" t="str">
        <f>IF(OR(Cleaned_datasetB[[#This Row],[Day_Code]]=0,Cleaned_datasetB[[#This Row],[Day_Code]]=6),"Weekend","Weekday")</f>
        <v>Weekday</v>
      </c>
      <c r="J719" s="10">
        <v>3</v>
      </c>
      <c r="K719" s="10">
        <v>0.22</v>
      </c>
      <c r="L719" s="51">
        <v>0.2424</v>
      </c>
      <c r="M719" s="10">
        <v>0.93</v>
      </c>
      <c r="N719" s="10">
        <v>0.1045</v>
      </c>
      <c r="O719" s="10">
        <v>1</v>
      </c>
      <c r="P719" s="10">
        <v>17</v>
      </c>
      <c r="Q719" s="10">
        <v>18</v>
      </c>
      <c r="R719" s="10" t="str">
        <f>VLOOKUP(Cleaned_datasetB[[#This Row],[Weather_Code]],Lookup_Tables!$E$9:$F$13,2,FALSE)</f>
        <v>Light Rain</v>
      </c>
      <c r="S719" s="10" t="str">
        <f>INDEX(Lookup_Tables!$I$10:$I$16,MATCH(Cleaned_datasetB[[#This Row],[Day_Code]],Lookup_Tables!$H$10:$H$16,0))</f>
        <v>Wednesday</v>
      </c>
      <c r="T719" s="10" t="str">
        <f>VLOOKUP(Cleaned_datasetB[[#This Row],[Month]], Lookup_Tables!$K$8:$L$19, 2, FALSE)</f>
        <v>February</v>
      </c>
      <c r="U719" s="10" t="str">
        <f>IF(AND(Cleaned_datasetB[[#This Row],[Day_Type]]="Weekday",Cleaned_datasetB[[#This Row],[Is_Holiday]]=FALSE),"Working Day","Non-Working Day")</f>
        <v>Working Day</v>
      </c>
    </row>
    <row r="720" spans="1:21">
      <c r="A720" s="10">
        <v>719</v>
      </c>
      <c r="B720" s="23">
        <v>40576</v>
      </c>
      <c r="C720" s="10">
        <v>1</v>
      </c>
      <c r="D720" s="10">
        <v>0</v>
      </c>
      <c r="E720" s="10">
        <v>2</v>
      </c>
      <c r="F720" s="10">
        <v>7</v>
      </c>
      <c r="G720" s="10" t="b">
        <v>0</v>
      </c>
      <c r="H720" s="10">
        <v>3</v>
      </c>
      <c r="I720" s="10" t="str">
        <f>IF(OR(Cleaned_datasetB[[#This Row],[Day_Code]]=0,Cleaned_datasetB[[#This Row],[Day_Code]]=6),"Weekend","Weekday")</f>
        <v>Weekday</v>
      </c>
      <c r="J720" s="10">
        <v>3</v>
      </c>
      <c r="K720" s="10">
        <v>0.22</v>
      </c>
      <c r="L720" s="51">
        <v>0.21210000000000001</v>
      </c>
      <c r="M720" s="10">
        <v>0.93</v>
      </c>
      <c r="N720" s="10">
        <v>0.22389999999999999</v>
      </c>
      <c r="O720" s="10">
        <v>1</v>
      </c>
      <c r="P720" s="10">
        <v>48</v>
      </c>
      <c r="Q720" s="10">
        <v>49</v>
      </c>
      <c r="R720" s="10" t="str">
        <f>VLOOKUP(Cleaned_datasetB[[#This Row],[Weather_Code]],Lookup_Tables!$E$9:$F$13,2,FALSE)</f>
        <v>Light Rain</v>
      </c>
      <c r="S720" s="10" t="str">
        <f>INDEX(Lookup_Tables!$I$10:$I$16,MATCH(Cleaned_datasetB[[#This Row],[Day_Code]],Lookup_Tables!$H$10:$H$16,0))</f>
        <v>Wednesday</v>
      </c>
      <c r="T720" s="10" t="str">
        <f>VLOOKUP(Cleaned_datasetB[[#This Row],[Month]], Lookup_Tables!$K$8:$L$19, 2, FALSE)</f>
        <v>February</v>
      </c>
      <c r="U720" s="10" t="str">
        <f>IF(AND(Cleaned_datasetB[[#This Row],[Day_Type]]="Weekday",Cleaned_datasetB[[#This Row],[Is_Holiday]]=FALSE),"Working Day","Non-Working Day")</f>
        <v>Working Day</v>
      </c>
    </row>
    <row r="721" spans="1:21">
      <c r="A721" s="10">
        <v>720</v>
      </c>
      <c r="B721" s="23">
        <v>40576</v>
      </c>
      <c r="C721" s="10">
        <v>1</v>
      </c>
      <c r="D721" s="10">
        <v>0</v>
      </c>
      <c r="E721" s="10">
        <v>2</v>
      </c>
      <c r="F721" s="10">
        <v>8</v>
      </c>
      <c r="G721" s="10" t="b">
        <v>0</v>
      </c>
      <c r="H721" s="10">
        <v>3</v>
      </c>
      <c r="I721" s="10" t="str">
        <f>IF(OR(Cleaned_datasetB[[#This Row],[Day_Code]]=0,Cleaned_datasetB[[#This Row],[Day_Code]]=6),"Weekend","Weekday")</f>
        <v>Weekday</v>
      </c>
      <c r="J721" s="10">
        <v>3</v>
      </c>
      <c r="K721" s="10">
        <v>0.22</v>
      </c>
      <c r="L721" s="51">
        <v>0.21210000000000001</v>
      </c>
      <c r="M721" s="10">
        <v>0.93</v>
      </c>
      <c r="N721" s="10">
        <v>0.22389999999999999</v>
      </c>
      <c r="O721" s="10">
        <v>1</v>
      </c>
      <c r="P721" s="10">
        <v>154</v>
      </c>
      <c r="Q721" s="10">
        <v>155</v>
      </c>
      <c r="R721" s="10" t="str">
        <f>VLOOKUP(Cleaned_datasetB[[#This Row],[Weather_Code]],Lookup_Tables!$E$9:$F$13,2,FALSE)</f>
        <v>Light Rain</v>
      </c>
      <c r="S721" s="10" t="str">
        <f>INDEX(Lookup_Tables!$I$10:$I$16,MATCH(Cleaned_datasetB[[#This Row],[Day_Code]],Lookup_Tables!$H$10:$H$16,0))</f>
        <v>Wednesday</v>
      </c>
      <c r="T721" s="10" t="str">
        <f>VLOOKUP(Cleaned_datasetB[[#This Row],[Month]], Lookup_Tables!$K$8:$L$19, 2, FALSE)</f>
        <v>February</v>
      </c>
      <c r="U721" s="10" t="str">
        <f>IF(AND(Cleaned_datasetB[[#This Row],[Day_Type]]="Weekday",Cleaned_datasetB[[#This Row],[Is_Holiday]]=FALSE),"Working Day","Non-Working Day")</f>
        <v>Working Day</v>
      </c>
    </row>
    <row r="722" spans="1:21">
      <c r="A722" s="10">
        <v>721</v>
      </c>
      <c r="B722" s="23">
        <v>40576</v>
      </c>
      <c r="C722" s="10">
        <v>1</v>
      </c>
      <c r="D722" s="10">
        <v>0</v>
      </c>
      <c r="E722" s="10">
        <v>2</v>
      </c>
      <c r="F722" s="10">
        <v>9</v>
      </c>
      <c r="G722" s="10" t="b">
        <v>0</v>
      </c>
      <c r="H722" s="10">
        <v>3</v>
      </c>
      <c r="I722" s="10" t="str">
        <f>IF(OR(Cleaned_datasetB[[#This Row],[Day_Code]]=0,Cleaned_datasetB[[#This Row],[Day_Code]]=6),"Weekend","Weekday")</f>
        <v>Weekday</v>
      </c>
      <c r="J722" s="10">
        <v>2</v>
      </c>
      <c r="K722" s="10">
        <v>0.24</v>
      </c>
      <c r="L722" s="51">
        <v>0.2576</v>
      </c>
      <c r="M722" s="10">
        <v>0.93</v>
      </c>
      <c r="N722" s="10">
        <v>8.9599999999999999E-2</v>
      </c>
      <c r="O722" s="10">
        <v>4</v>
      </c>
      <c r="P722" s="10">
        <v>119</v>
      </c>
      <c r="Q722" s="10">
        <v>123</v>
      </c>
      <c r="R722" s="10" t="str">
        <f>VLOOKUP(Cleaned_datasetB[[#This Row],[Weather_Code]],Lookup_Tables!$E$9:$F$13,2,FALSE)</f>
        <v>Cloudy</v>
      </c>
      <c r="S722" s="10" t="str">
        <f>INDEX(Lookup_Tables!$I$10:$I$16,MATCH(Cleaned_datasetB[[#This Row],[Day_Code]],Lookup_Tables!$H$10:$H$16,0))</f>
        <v>Wednesday</v>
      </c>
      <c r="T722" s="10" t="str">
        <f>VLOOKUP(Cleaned_datasetB[[#This Row],[Month]], Lookup_Tables!$K$8:$L$19, 2, FALSE)</f>
        <v>February</v>
      </c>
      <c r="U722" s="10" t="str">
        <f>IF(AND(Cleaned_datasetB[[#This Row],[Day_Type]]="Weekday",Cleaned_datasetB[[#This Row],[Is_Holiday]]=FALSE),"Working Day","Non-Working Day")</f>
        <v>Working Day</v>
      </c>
    </row>
    <row r="723" spans="1:21">
      <c r="A723" s="10">
        <v>722</v>
      </c>
      <c r="B723" s="23">
        <v>40576</v>
      </c>
      <c r="C723" s="10">
        <v>1</v>
      </c>
      <c r="D723" s="10">
        <v>0</v>
      </c>
      <c r="E723" s="10">
        <v>2</v>
      </c>
      <c r="F723" s="10">
        <v>10</v>
      </c>
      <c r="G723" s="10" t="b">
        <v>0</v>
      </c>
      <c r="H723" s="10">
        <v>3</v>
      </c>
      <c r="I723" s="10" t="str">
        <f>IF(OR(Cleaned_datasetB[[#This Row],[Day_Code]]=0,Cleaned_datasetB[[#This Row],[Day_Code]]=6),"Weekend","Weekday")</f>
        <v>Weekday</v>
      </c>
      <c r="J723" s="10">
        <v>2</v>
      </c>
      <c r="K723" s="10">
        <v>0.22</v>
      </c>
      <c r="L723" s="51">
        <v>0.2727</v>
      </c>
      <c r="M723" s="10">
        <v>1</v>
      </c>
      <c r="N723" s="10">
        <v>0</v>
      </c>
      <c r="O723" s="10">
        <v>2</v>
      </c>
      <c r="P723" s="10">
        <v>59</v>
      </c>
      <c r="Q723" s="10">
        <v>61</v>
      </c>
      <c r="R723" s="10" t="str">
        <f>VLOOKUP(Cleaned_datasetB[[#This Row],[Weather_Code]],Lookup_Tables!$E$9:$F$13,2,FALSE)</f>
        <v>Cloudy</v>
      </c>
      <c r="S723" s="10" t="str">
        <f>INDEX(Lookup_Tables!$I$10:$I$16,MATCH(Cleaned_datasetB[[#This Row],[Day_Code]],Lookup_Tables!$H$10:$H$16,0))</f>
        <v>Wednesday</v>
      </c>
      <c r="T723" s="10" t="str">
        <f>VLOOKUP(Cleaned_datasetB[[#This Row],[Month]], Lookup_Tables!$K$8:$L$19, 2, FALSE)</f>
        <v>February</v>
      </c>
      <c r="U723" s="10" t="str">
        <f>IF(AND(Cleaned_datasetB[[#This Row],[Day_Type]]="Weekday",Cleaned_datasetB[[#This Row],[Is_Holiday]]=FALSE),"Working Day","Non-Working Day")</f>
        <v>Working Day</v>
      </c>
    </row>
    <row r="724" spans="1:21">
      <c r="A724" s="10">
        <v>723</v>
      </c>
      <c r="B724" s="23">
        <v>40576</v>
      </c>
      <c r="C724" s="10">
        <v>1</v>
      </c>
      <c r="D724" s="10">
        <v>0</v>
      </c>
      <c r="E724" s="10">
        <v>2</v>
      </c>
      <c r="F724" s="10">
        <v>11</v>
      </c>
      <c r="G724" s="10" t="b">
        <v>0</v>
      </c>
      <c r="H724" s="10">
        <v>3</v>
      </c>
      <c r="I724" s="10" t="str">
        <f>IF(OR(Cleaned_datasetB[[#This Row],[Day_Code]]=0,Cleaned_datasetB[[#This Row],[Day_Code]]=6),"Weekend","Weekday")</f>
        <v>Weekday</v>
      </c>
      <c r="J724" s="10">
        <v>2</v>
      </c>
      <c r="K724" s="10">
        <v>0.24</v>
      </c>
      <c r="L724" s="51">
        <v>0.2273</v>
      </c>
      <c r="M724" s="10">
        <v>0.93</v>
      </c>
      <c r="N724" s="10">
        <v>0.19400000000000001</v>
      </c>
      <c r="O724" s="10">
        <v>5</v>
      </c>
      <c r="P724" s="10">
        <v>47</v>
      </c>
      <c r="Q724" s="10">
        <v>52</v>
      </c>
      <c r="R724" s="10" t="str">
        <f>VLOOKUP(Cleaned_datasetB[[#This Row],[Weather_Code]],Lookup_Tables!$E$9:$F$13,2,FALSE)</f>
        <v>Cloudy</v>
      </c>
      <c r="S724" s="10" t="str">
        <f>INDEX(Lookup_Tables!$I$10:$I$16,MATCH(Cleaned_datasetB[[#This Row],[Day_Code]],Lookup_Tables!$H$10:$H$16,0))</f>
        <v>Wednesday</v>
      </c>
      <c r="T724" s="10" t="str">
        <f>VLOOKUP(Cleaned_datasetB[[#This Row],[Month]], Lookup_Tables!$K$8:$L$19, 2, FALSE)</f>
        <v>February</v>
      </c>
      <c r="U724" s="10" t="str">
        <f>IF(AND(Cleaned_datasetB[[#This Row],[Day_Type]]="Weekday",Cleaned_datasetB[[#This Row],[Is_Holiday]]=FALSE),"Working Day","Non-Working Day")</f>
        <v>Working Day</v>
      </c>
    </row>
    <row r="725" spans="1:21">
      <c r="A725" s="10">
        <v>724</v>
      </c>
      <c r="B725" s="23">
        <v>40576</v>
      </c>
      <c r="C725" s="10">
        <v>1</v>
      </c>
      <c r="D725" s="10">
        <v>0</v>
      </c>
      <c r="E725" s="10">
        <v>2</v>
      </c>
      <c r="F725" s="10">
        <v>12</v>
      </c>
      <c r="G725" s="10" t="b">
        <v>0</v>
      </c>
      <c r="H725" s="10">
        <v>3</v>
      </c>
      <c r="I725" s="10" t="str">
        <f>IF(OR(Cleaned_datasetB[[#This Row],[Day_Code]]=0,Cleaned_datasetB[[#This Row],[Day_Code]]=6),"Weekend","Weekday")</f>
        <v>Weekday</v>
      </c>
      <c r="J725" s="10">
        <v>2</v>
      </c>
      <c r="K725" s="10">
        <v>0.24</v>
      </c>
      <c r="L725" s="51">
        <v>0.2273</v>
      </c>
      <c r="M725" s="10">
        <v>0.93</v>
      </c>
      <c r="N725" s="10">
        <v>0.22389999999999999</v>
      </c>
      <c r="O725" s="10">
        <v>3</v>
      </c>
      <c r="P725" s="10">
        <v>61</v>
      </c>
      <c r="Q725" s="10">
        <v>64</v>
      </c>
      <c r="R725" s="10" t="str">
        <f>VLOOKUP(Cleaned_datasetB[[#This Row],[Weather_Code]],Lookup_Tables!$E$9:$F$13,2,FALSE)</f>
        <v>Cloudy</v>
      </c>
      <c r="S725" s="10" t="str">
        <f>INDEX(Lookup_Tables!$I$10:$I$16,MATCH(Cleaned_datasetB[[#This Row],[Day_Code]],Lookup_Tables!$H$10:$H$16,0))</f>
        <v>Wednesday</v>
      </c>
      <c r="T725" s="10" t="str">
        <f>VLOOKUP(Cleaned_datasetB[[#This Row],[Month]], Lookup_Tables!$K$8:$L$19, 2, FALSE)</f>
        <v>February</v>
      </c>
      <c r="U725" s="10" t="str">
        <f>IF(AND(Cleaned_datasetB[[#This Row],[Day_Type]]="Weekday",Cleaned_datasetB[[#This Row],[Is_Holiday]]=FALSE),"Working Day","Non-Working Day")</f>
        <v>Working Day</v>
      </c>
    </row>
    <row r="726" spans="1:21">
      <c r="A726" s="10">
        <v>725</v>
      </c>
      <c r="B726" s="23">
        <v>40576</v>
      </c>
      <c r="C726" s="10">
        <v>1</v>
      </c>
      <c r="D726" s="10">
        <v>0</v>
      </c>
      <c r="E726" s="10">
        <v>2</v>
      </c>
      <c r="F726" s="10">
        <v>13</v>
      </c>
      <c r="G726" s="10" t="b">
        <v>0</v>
      </c>
      <c r="H726" s="10">
        <v>3</v>
      </c>
      <c r="I726" s="10" t="str">
        <f>IF(OR(Cleaned_datasetB[[#This Row],[Day_Code]]=0,Cleaned_datasetB[[#This Row],[Day_Code]]=6),"Weekend","Weekday")</f>
        <v>Weekday</v>
      </c>
      <c r="J726" s="10">
        <v>1</v>
      </c>
      <c r="K726" s="10">
        <v>0.34</v>
      </c>
      <c r="L726" s="51">
        <v>0.33329999999999999</v>
      </c>
      <c r="M726" s="10">
        <v>0.93</v>
      </c>
      <c r="N726" s="10">
        <v>0.16420000000000001</v>
      </c>
      <c r="O726" s="10">
        <v>1</v>
      </c>
      <c r="P726" s="10">
        <v>74</v>
      </c>
      <c r="Q726" s="10">
        <v>75</v>
      </c>
      <c r="R726" s="10" t="str">
        <f>VLOOKUP(Cleaned_datasetB[[#This Row],[Weather_Code]],Lookup_Tables!$E$9:$F$13,2,FALSE)</f>
        <v>Clear</v>
      </c>
      <c r="S726" s="10" t="str">
        <f>INDEX(Lookup_Tables!$I$10:$I$16,MATCH(Cleaned_datasetB[[#This Row],[Day_Code]],Lookup_Tables!$H$10:$H$16,0))</f>
        <v>Wednesday</v>
      </c>
      <c r="T726" s="10" t="str">
        <f>VLOOKUP(Cleaned_datasetB[[#This Row],[Month]], Lookup_Tables!$K$8:$L$19, 2, FALSE)</f>
        <v>February</v>
      </c>
      <c r="U726" s="10" t="str">
        <f>IF(AND(Cleaned_datasetB[[#This Row],[Day_Type]]="Weekday",Cleaned_datasetB[[#This Row],[Is_Holiday]]=FALSE),"Working Day","Non-Working Day")</f>
        <v>Working Day</v>
      </c>
    </row>
    <row r="727" spans="1:21">
      <c r="A727" s="10">
        <v>726</v>
      </c>
      <c r="B727" s="23">
        <v>40576</v>
      </c>
      <c r="C727" s="10">
        <v>1</v>
      </c>
      <c r="D727" s="10">
        <v>0</v>
      </c>
      <c r="E727" s="10">
        <v>2</v>
      </c>
      <c r="F727" s="10">
        <v>14</v>
      </c>
      <c r="G727" s="10" t="b">
        <v>0</v>
      </c>
      <c r="H727" s="10">
        <v>3</v>
      </c>
      <c r="I727" s="10" t="str">
        <f>IF(OR(Cleaned_datasetB[[#This Row],[Day_Code]]=0,Cleaned_datasetB[[#This Row],[Day_Code]]=6),"Weekend","Weekday")</f>
        <v>Weekday</v>
      </c>
      <c r="J727" s="10">
        <v>1</v>
      </c>
      <c r="K727" s="10">
        <v>0.38</v>
      </c>
      <c r="L727" s="51">
        <v>0.39389999999999997</v>
      </c>
      <c r="M727" s="10">
        <v>0.82</v>
      </c>
      <c r="N727" s="10">
        <v>0.3881</v>
      </c>
      <c r="O727" s="10">
        <v>2</v>
      </c>
      <c r="P727" s="10">
        <v>61</v>
      </c>
      <c r="Q727" s="10">
        <v>63</v>
      </c>
      <c r="R727" s="10" t="str">
        <f>VLOOKUP(Cleaned_datasetB[[#This Row],[Weather_Code]],Lookup_Tables!$E$9:$F$13,2,FALSE)</f>
        <v>Clear</v>
      </c>
      <c r="S727" s="10" t="str">
        <f>INDEX(Lookup_Tables!$I$10:$I$16,MATCH(Cleaned_datasetB[[#This Row],[Day_Code]],Lookup_Tables!$H$10:$H$16,0))</f>
        <v>Wednesday</v>
      </c>
      <c r="T727" s="10" t="str">
        <f>VLOOKUP(Cleaned_datasetB[[#This Row],[Month]], Lookup_Tables!$K$8:$L$19, 2, FALSE)</f>
        <v>February</v>
      </c>
      <c r="U727" s="10" t="str">
        <f>IF(AND(Cleaned_datasetB[[#This Row],[Day_Type]]="Weekday",Cleaned_datasetB[[#This Row],[Is_Holiday]]=FALSE),"Working Day","Non-Working Day")</f>
        <v>Working Day</v>
      </c>
    </row>
    <row r="728" spans="1:21">
      <c r="A728" s="10">
        <v>727</v>
      </c>
      <c r="B728" s="23">
        <v>40576</v>
      </c>
      <c r="C728" s="10">
        <v>1</v>
      </c>
      <c r="D728" s="10">
        <v>0</v>
      </c>
      <c r="E728" s="10">
        <v>2</v>
      </c>
      <c r="F728" s="10">
        <v>15</v>
      </c>
      <c r="G728" s="10" t="b">
        <v>0</v>
      </c>
      <c r="H728" s="10">
        <v>3</v>
      </c>
      <c r="I728" s="10" t="str">
        <f>IF(OR(Cleaned_datasetB[[#This Row],[Day_Code]]=0,Cleaned_datasetB[[#This Row],[Day_Code]]=6),"Weekend","Weekday")</f>
        <v>Weekday</v>
      </c>
      <c r="J728" s="10">
        <v>1</v>
      </c>
      <c r="K728" s="10">
        <v>0.38</v>
      </c>
      <c r="L728" s="51">
        <v>0.39389999999999997</v>
      </c>
      <c r="M728" s="10">
        <v>0.76</v>
      </c>
      <c r="N728" s="10">
        <v>0.32840000000000003</v>
      </c>
      <c r="O728" s="10">
        <v>10</v>
      </c>
      <c r="P728" s="10">
        <v>66</v>
      </c>
      <c r="Q728" s="10">
        <v>76</v>
      </c>
      <c r="R728" s="10" t="str">
        <f>VLOOKUP(Cleaned_datasetB[[#This Row],[Weather_Code]],Lookup_Tables!$E$9:$F$13,2,FALSE)</f>
        <v>Clear</v>
      </c>
      <c r="S728" s="10" t="str">
        <f>INDEX(Lookup_Tables!$I$10:$I$16,MATCH(Cleaned_datasetB[[#This Row],[Day_Code]],Lookup_Tables!$H$10:$H$16,0))</f>
        <v>Wednesday</v>
      </c>
      <c r="T728" s="10" t="str">
        <f>VLOOKUP(Cleaned_datasetB[[#This Row],[Month]], Lookup_Tables!$K$8:$L$19, 2, FALSE)</f>
        <v>February</v>
      </c>
      <c r="U728" s="10" t="str">
        <f>IF(AND(Cleaned_datasetB[[#This Row],[Day_Type]]="Weekday",Cleaned_datasetB[[#This Row],[Is_Holiday]]=FALSE),"Working Day","Non-Working Day")</f>
        <v>Working Day</v>
      </c>
    </row>
    <row r="729" spans="1:21">
      <c r="A729" s="10">
        <v>728</v>
      </c>
      <c r="B729" s="23">
        <v>40576</v>
      </c>
      <c r="C729" s="10">
        <v>1</v>
      </c>
      <c r="D729" s="10">
        <v>0</v>
      </c>
      <c r="E729" s="10">
        <v>2</v>
      </c>
      <c r="F729" s="10">
        <v>16</v>
      </c>
      <c r="G729" s="10" t="b">
        <v>0</v>
      </c>
      <c r="H729" s="10">
        <v>3</v>
      </c>
      <c r="I729" s="10" t="str">
        <f>IF(OR(Cleaned_datasetB[[#This Row],[Day_Code]]=0,Cleaned_datasetB[[#This Row],[Day_Code]]=6),"Weekend","Weekday")</f>
        <v>Weekday</v>
      </c>
      <c r="J729" s="10">
        <v>1</v>
      </c>
      <c r="K729" s="10">
        <v>0.36</v>
      </c>
      <c r="L729" s="51">
        <v>0.33329999999999999</v>
      </c>
      <c r="M729" s="10">
        <v>0.71</v>
      </c>
      <c r="N729" s="10">
        <v>0.29849999999999999</v>
      </c>
      <c r="O729" s="10">
        <v>8</v>
      </c>
      <c r="P729" s="10">
        <v>95</v>
      </c>
      <c r="Q729" s="10">
        <v>103</v>
      </c>
      <c r="R729" s="10" t="str">
        <f>VLOOKUP(Cleaned_datasetB[[#This Row],[Weather_Code]],Lookup_Tables!$E$9:$F$13,2,FALSE)</f>
        <v>Clear</v>
      </c>
      <c r="S729" s="10" t="str">
        <f>INDEX(Lookup_Tables!$I$10:$I$16,MATCH(Cleaned_datasetB[[#This Row],[Day_Code]],Lookup_Tables!$H$10:$H$16,0))</f>
        <v>Wednesday</v>
      </c>
      <c r="T729" s="10" t="str">
        <f>VLOOKUP(Cleaned_datasetB[[#This Row],[Month]], Lookup_Tables!$K$8:$L$19, 2, FALSE)</f>
        <v>February</v>
      </c>
      <c r="U729" s="10" t="str">
        <f>IF(AND(Cleaned_datasetB[[#This Row],[Day_Type]]="Weekday",Cleaned_datasetB[[#This Row],[Is_Holiday]]=FALSE),"Working Day","Non-Working Day")</f>
        <v>Working Day</v>
      </c>
    </row>
    <row r="730" spans="1:21">
      <c r="A730" s="10">
        <v>729</v>
      </c>
      <c r="B730" s="23">
        <v>40576</v>
      </c>
      <c r="C730" s="10">
        <v>1</v>
      </c>
      <c r="D730" s="10">
        <v>0</v>
      </c>
      <c r="E730" s="10">
        <v>2</v>
      </c>
      <c r="F730" s="10">
        <v>17</v>
      </c>
      <c r="G730" s="10" t="b">
        <v>0</v>
      </c>
      <c r="H730" s="10">
        <v>3</v>
      </c>
      <c r="I730" s="10" t="str">
        <f>IF(OR(Cleaned_datasetB[[#This Row],[Day_Code]]=0,Cleaned_datasetB[[#This Row],[Day_Code]]=6),"Weekend","Weekday")</f>
        <v>Weekday</v>
      </c>
      <c r="J730" s="10">
        <v>1</v>
      </c>
      <c r="K730" s="10">
        <v>0.36</v>
      </c>
      <c r="L730" s="51">
        <v>0.31819999999999998</v>
      </c>
      <c r="M730" s="10">
        <v>0.53</v>
      </c>
      <c r="N730" s="10">
        <v>0.52239999999999998</v>
      </c>
      <c r="O730" s="10">
        <v>7</v>
      </c>
      <c r="P730" s="10">
        <v>183</v>
      </c>
      <c r="Q730" s="10">
        <v>190</v>
      </c>
      <c r="R730" s="10" t="str">
        <f>VLOOKUP(Cleaned_datasetB[[#This Row],[Weather_Code]],Lookup_Tables!$E$9:$F$13,2,FALSE)</f>
        <v>Clear</v>
      </c>
      <c r="S730" s="10" t="str">
        <f>INDEX(Lookup_Tables!$I$10:$I$16,MATCH(Cleaned_datasetB[[#This Row],[Day_Code]],Lookup_Tables!$H$10:$H$16,0))</f>
        <v>Wednesday</v>
      </c>
      <c r="T730" s="10" t="str">
        <f>VLOOKUP(Cleaned_datasetB[[#This Row],[Month]], Lookup_Tables!$K$8:$L$19, 2, FALSE)</f>
        <v>February</v>
      </c>
      <c r="U730" s="10" t="str">
        <f>IF(AND(Cleaned_datasetB[[#This Row],[Day_Type]]="Weekday",Cleaned_datasetB[[#This Row],[Is_Holiday]]=FALSE),"Working Day","Non-Working Day")</f>
        <v>Working Day</v>
      </c>
    </row>
    <row r="731" spans="1:21">
      <c r="A731" s="10">
        <v>730</v>
      </c>
      <c r="B731" s="23">
        <v>40576</v>
      </c>
      <c r="C731" s="10">
        <v>1</v>
      </c>
      <c r="D731" s="10">
        <v>0</v>
      </c>
      <c r="E731" s="10">
        <v>2</v>
      </c>
      <c r="F731" s="10">
        <v>18</v>
      </c>
      <c r="G731" s="10" t="b">
        <v>0</v>
      </c>
      <c r="H731" s="10">
        <v>3</v>
      </c>
      <c r="I731" s="10" t="str">
        <f>IF(OR(Cleaned_datasetB[[#This Row],[Day_Code]]=0,Cleaned_datasetB[[#This Row],[Day_Code]]=6),"Weekend","Weekday")</f>
        <v>Weekday</v>
      </c>
      <c r="J731" s="10">
        <v>1</v>
      </c>
      <c r="K731" s="10">
        <v>0.34</v>
      </c>
      <c r="L731" s="51">
        <v>0.28789999999999999</v>
      </c>
      <c r="M731" s="10">
        <v>0.42</v>
      </c>
      <c r="N731" s="10">
        <v>0.55220000000000002</v>
      </c>
      <c r="O731" s="10">
        <v>7</v>
      </c>
      <c r="P731" s="10">
        <v>175</v>
      </c>
      <c r="Q731" s="10">
        <v>182</v>
      </c>
      <c r="R731" s="10" t="str">
        <f>VLOOKUP(Cleaned_datasetB[[#This Row],[Weather_Code]],Lookup_Tables!$E$9:$F$13,2,FALSE)</f>
        <v>Clear</v>
      </c>
      <c r="S731" s="10" t="str">
        <f>INDEX(Lookup_Tables!$I$10:$I$16,MATCH(Cleaned_datasetB[[#This Row],[Day_Code]],Lookup_Tables!$H$10:$H$16,0))</f>
        <v>Wednesday</v>
      </c>
      <c r="T731" s="10" t="str">
        <f>VLOOKUP(Cleaned_datasetB[[#This Row],[Month]], Lookup_Tables!$K$8:$L$19, 2, FALSE)</f>
        <v>February</v>
      </c>
      <c r="U731" s="10" t="str">
        <f>IF(AND(Cleaned_datasetB[[#This Row],[Day_Type]]="Weekday",Cleaned_datasetB[[#This Row],[Is_Holiday]]=FALSE),"Working Day","Non-Working Day")</f>
        <v>Working Day</v>
      </c>
    </row>
    <row r="732" spans="1:21">
      <c r="A732" s="10">
        <v>731</v>
      </c>
      <c r="B732" s="23">
        <v>40576</v>
      </c>
      <c r="C732" s="10">
        <v>1</v>
      </c>
      <c r="D732" s="10">
        <v>0</v>
      </c>
      <c r="E732" s="10">
        <v>2</v>
      </c>
      <c r="F732" s="10">
        <v>19</v>
      </c>
      <c r="G732" s="10" t="b">
        <v>0</v>
      </c>
      <c r="H732" s="10">
        <v>3</v>
      </c>
      <c r="I732" s="10" t="str">
        <f>IF(OR(Cleaned_datasetB[[#This Row],[Day_Code]]=0,Cleaned_datasetB[[#This Row],[Day_Code]]=6),"Weekend","Weekday")</f>
        <v>Weekday</v>
      </c>
      <c r="J732" s="10">
        <v>1</v>
      </c>
      <c r="K732" s="10">
        <v>0.28000000000000003</v>
      </c>
      <c r="L732" s="51">
        <v>0.2424</v>
      </c>
      <c r="M732" s="10">
        <v>0.45</v>
      </c>
      <c r="N732" s="10">
        <v>0.49249999999999999</v>
      </c>
      <c r="O732" s="10">
        <v>3</v>
      </c>
      <c r="P732" s="10">
        <v>88</v>
      </c>
      <c r="Q732" s="10">
        <v>91</v>
      </c>
      <c r="R732" s="10" t="str">
        <f>VLOOKUP(Cleaned_datasetB[[#This Row],[Weather_Code]],Lookup_Tables!$E$9:$F$13,2,FALSE)</f>
        <v>Clear</v>
      </c>
      <c r="S732" s="10" t="str">
        <f>INDEX(Lookup_Tables!$I$10:$I$16,MATCH(Cleaned_datasetB[[#This Row],[Day_Code]],Lookup_Tables!$H$10:$H$16,0))</f>
        <v>Wednesday</v>
      </c>
      <c r="T732" s="10" t="str">
        <f>VLOOKUP(Cleaned_datasetB[[#This Row],[Month]], Lookup_Tables!$K$8:$L$19, 2, FALSE)</f>
        <v>February</v>
      </c>
      <c r="U732" s="10" t="str">
        <f>IF(AND(Cleaned_datasetB[[#This Row],[Day_Type]]="Weekday",Cleaned_datasetB[[#This Row],[Is_Holiday]]=FALSE),"Working Day","Non-Working Day")</f>
        <v>Working Day</v>
      </c>
    </row>
    <row r="733" spans="1:21">
      <c r="A733" s="10">
        <v>732</v>
      </c>
      <c r="B733" s="23">
        <v>40576</v>
      </c>
      <c r="C733" s="10">
        <v>1</v>
      </c>
      <c r="D733" s="10">
        <v>0</v>
      </c>
      <c r="E733" s="10">
        <v>2</v>
      </c>
      <c r="F733" s="10">
        <v>20</v>
      </c>
      <c r="G733" s="10" t="b">
        <v>0</v>
      </c>
      <c r="H733" s="10">
        <v>3</v>
      </c>
      <c r="I733" s="10" t="str">
        <f>IF(OR(Cleaned_datasetB[[#This Row],[Day_Code]]=0,Cleaned_datasetB[[#This Row],[Day_Code]]=6),"Weekend","Weekday")</f>
        <v>Weekday</v>
      </c>
      <c r="J733" s="10">
        <v>1</v>
      </c>
      <c r="K733" s="10">
        <v>0.24</v>
      </c>
      <c r="L733" s="51">
        <v>0.19700000000000001</v>
      </c>
      <c r="M733" s="10">
        <v>0.48</v>
      </c>
      <c r="N733" s="10">
        <v>0.55220000000000002</v>
      </c>
      <c r="O733" s="10">
        <v>4</v>
      </c>
      <c r="P733" s="10">
        <v>71</v>
      </c>
      <c r="Q733" s="10">
        <v>75</v>
      </c>
      <c r="R733" s="10" t="str">
        <f>VLOOKUP(Cleaned_datasetB[[#This Row],[Weather_Code]],Lookup_Tables!$E$9:$F$13,2,FALSE)</f>
        <v>Clear</v>
      </c>
      <c r="S733" s="10" t="str">
        <f>INDEX(Lookup_Tables!$I$10:$I$16,MATCH(Cleaned_datasetB[[#This Row],[Day_Code]],Lookup_Tables!$H$10:$H$16,0))</f>
        <v>Wednesday</v>
      </c>
      <c r="T733" s="10" t="str">
        <f>VLOOKUP(Cleaned_datasetB[[#This Row],[Month]], Lookup_Tables!$K$8:$L$19, 2, FALSE)</f>
        <v>February</v>
      </c>
      <c r="U733" s="10" t="str">
        <f>IF(AND(Cleaned_datasetB[[#This Row],[Day_Type]]="Weekday",Cleaned_datasetB[[#This Row],[Is_Holiday]]=FALSE),"Working Day","Non-Working Day")</f>
        <v>Working Day</v>
      </c>
    </row>
    <row r="734" spans="1:21">
      <c r="A734" s="10">
        <v>733</v>
      </c>
      <c r="B734" s="23">
        <v>40576</v>
      </c>
      <c r="C734" s="10">
        <v>1</v>
      </c>
      <c r="D734" s="10">
        <v>0</v>
      </c>
      <c r="E734" s="10">
        <v>2</v>
      </c>
      <c r="F734" s="10">
        <v>21</v>
      </c>
      <c r="G734" s="10" t="b">
        <v>0</v>
      </c>
      <c r="H734" s="10">
        <v>3</v>
      </c>
      <c r="I734" s="10" t="str">
        <f>IF(OR(Cleaned_datasetB[[#This Row],[Day_Code]]=0,Cleaned_datasetB[[#This Row],[Day_Code]]=6),"Weekend","Weekday")</f>
        <v>Weekday</v>
      </c>
      <c r="J734" s="10">
        <v>1</v>
      </c>
      <c r="K734" s="10">
        <v>0.22</v>
      </c>
      <c r="L734" s="51">
        <v>0.19700000000000001</v>
      </c>
      <c r="M734" s="10">
        <v>0.47</v>
      </c>
      <c r="N734" s="10">
        <v>0.32840000000000003</v>
      </c>
      <c r="O734" s="10">
        <v>1</v>
      </c>
      <c r="P734" s="10">
        <v>62</v>
      </c>
      <c r="Q734" s="10">
        <v>63</v>
      </c>
      <c r="R734" s="10" t="str">
        <f>VLOOKUP(Cleaned_datasetB[[#This Row],[Weather_Code]],Lookup_Tables!$E$9:$F$13,2,FALSE)</f>
        <v>Clear</v>
      </c>
      <c r="S734" s="10" t="str">
        <f>INDEX(Lookup_Tables!$I$10:$I$16,MATCH(Cleaned_datasetB[[#This Row],[Day_Code]],Lookup_Tables!$H$10:$H$16,0))</f>
        <v>Wednesday</v>
      </c>
      <c r="T734" s="10" t="str">
        <f>VLOOKUP(Cleaned_datasetB[[#This Row],[Month]], Lookup_Tables!$K$8:$L$19, 2, FALSE)</f>
        <v>February</v>
      </c>
      <c r="U734" s="10" t="str">
        <f>IF(AND(Cleaned_datasetB[[#This Row],[Day_Type]]="Weekday",Cleaned_datasetB[[#This Row],[Is_Holiday]]=FALSE),"Working Day","Non-Working Day")</f>
        <v>Working Day</v>
      </c>
    </row>
    <row r="735" spans="1:21">
      <c r="A735" s="10">
        <v>734</v>
      </c>
      <c r="B735" s="23">
        <v>40576</v>
      </c>
      <c r="C735" s="10">
        <v>1</v>
      </c>
      <c r="D735" s="10">
        <v>0</v>
      </c>
      <c r="E735" s="10">
        <v>2</v>
      </c>
      <c r="F735" s="10">
        <v>22</v>
      </c>
      <c r="G735" s="10" t="b">
        <v>0</v>
      </c>
      <c r="H735" s="10">
        <v>3</v>
      </c>
      <c r="I735" s="10" t="str">
        <f>IF(OR(Cleaned_datasetB[[#This Row],[Day_Code]]=0,Cleaned_datasetB[[#This Row],[Day_Code]]=6),"Weekend","Weekday")</f>
        <v>Weekday</v>
      </c>
      <c r="J735" s="10">
        <v>1</v>
      </c>
      <c r="K735" s="10">
        <v>0.22</v>
      </c>
      <c r="L735" s="51">
        <v>0.21210000000000001</v>
      </c>
      <c r="M735" s="10">
        <v>0.44</v>
      </c>
      <c r="N735" s="10">
        <v>0.25369999999999998</v>
      </c>
      <c r="O735" s="10">
        <v>5</v>
      </c>
      <c r="P735" s="10">
        <v>35</v>
      </c>
      <c r="Q735" s="10">
        <v>40</v>
      </c>
      <c r="R735" s="10" t="str">
        <f>VLOOKUP(Cleaned_datasetB[[#This Row],[Weather_Code]],Lookup_Tables!$E$9:$F$13,2,FALSE)</f>
        <v>Clear</v>
      </c>
      <c r="S735" s="10" t="str">
        <f>INDEX(Lookup_Tables!$I$10:$I$16,MATCH(Cleaned_datasetB[[#This Row],[Day_Code]],Lookup_Tables!$H$10:$H$16,0))</f>
        <v>Wednesday</v>
      </c>
      <c r="T735" s="10" t="str">
        <f>VLOOKUP(Cleaned_datasetB[[#This Row],[Month]], Lookup_Tables!$K$8:$L$19, 2, FALSE)</f>
        <v>February</v>
      </c>
      <c r="U735" s="10" t="str">
        <f>IF(AND(Cleaned_datasetB[[#This Row],[Day_Type]]="Weekday",Cleaned_datasetB[[#This Row],[Is_Holiday]]=FALSE),"Working Day","Non-Working Day")</f>
        <v>Working Day</v>
      </c>
    </row>
    <row r="736" spans="1:21">
      <c r="A736" s="10">
        <v>735</v>
      </c>
      <c r="B736" s="23">
        <v>40576</v>
      </c>
      <c r="C736" s="10">
        <v>1</v>
      </c>
      <c r="D736" s="10">
        <v>0</v>
      </c>
      <c r="E736" s="10">
        <v>2</v>
      </c>
      <c r="F736" s="10">
        <v>23</v>
      </c>
      <c r="G736" s="10" t="b">
        <v>0</v>
      </c>
      <c r="H736" s="10">
        <v>3</v>
      </c>
      <c r="I736" s="10" t="str">
        <f>IF(OR(Cleaned_datasetB[[#This Row],[Day_Code]]=0,Cleaned_datasetB[[#This Row],[Day_Code]]=6),"Weekend","Weekday")</f>
        <v>Weekday</v>
      </c>
      <c r="J736" s="10">
        <v>1</v>
      </c>
      <c r="K736" s="10">
        <v>0.2</v>
      </c>
      <c r="L736" s="51">
        <v>0.16669999999999999</v>
      </c>
      <c r="M736" s="10">
        <v>0.44</v>
      </c>
      <c r="N736" s="10">
        <v>0.44779999999999998</v>
      </c>
      <c r="O736" s="10">
        <v>3</v>
      </c>
      <c r="P736" s="10">
        <v>29</v>
      </c>
      <c r="Q736" s="10">
        <v>32</v>
      </c>
      <c r="R736" s="10" t="str">
        <f>VLOOKUP(Cleaned_datasetB[[#This Row],[Weather_Code]],Lookup_Tables!$E$9:$F$13,2,FALSE)</f>
        <v>Clear</v>
      </c>
      <c r="S736" s="10" t="str">
        <f>INDEX(Lookup_Tables!$I$10:$I$16,MATCH(Cleaned_datasetB[[#This Row],[Day_Code]],Lookup_Tables!$H$10:$H$16,0))</f>
        <v>Wednesday</v>
      </c>
      <c r="T736" s="10" t="str">
        <f>VLOOKUP(Cleaned_datasetB[[#This Row],[Month]], Lookup_Tables!$K$8:$L$19, 2, FALSE)</f>
        <v>February</v>
      </c>
      <c r="U736" s="10" t="str">
        <f>IF(AND(Cleaned_datasetB[[#This Row],[Day_Type]]="Weekday",Cleaned_datasetB[[#This Row],[Is_Holiday]]=FALSE),"Working Day","Non-Working Day")</f>
        <v>Working Day</v>
      </c>
    </row>
    <row r="737" spans="1:21">
      <c r="A737" s="10">
        <v>736</v>
      </c>
      <c r="B737" s="23">
        <v>40577</v>
      </c>
      <c r="C737" s="10">
        <v>1</v>
      </c>
      <c r="D737" s="10">
        <v>0</v>
      </c>
      <c r="E737" s="10">
        <v>2</v>
      </c>
      <c r="F737" s="10">
        <v>0</v>
      </c>
      <c r="G737" s="10" t="b">
        <v>0</v>
      </c>
      <c r="H737" s="10">
        <v>4</v>
      </c>
      <c r="I737" s="10" t="str">
        <f>IF(OR(Cleaned_datasetB[[#This Row],[Day_Code]]=0,Cleaned_datasetB[[#This Row],[Day_Code]]=6),"Weekend","Weekday")</f>
        <v>Weekday</v>
      </c>
      <c r="J737" s="10">
        <v>1</v>
      </c>
      <c r="K737" s="10">
        <v>0.2</v>
      </c>
      <c r="L737" s="51">
        <v>0.16669999999999999</v>
      </c>
      <c r="M737" s="10">
        <v>0.4</v>
      </c>
      <c r="N737" s="10">
        <v>0.44779999999999998</v>
      </c>
      <c r="O737" s="10">
        <v>1</v>
      </c>
      <c r="P737" s="10">
        <v>11</v>
      </c>
      <c r="Q737" s="10">
        <v>12</v>
      </c>
      <c r="R737" s="10" t="str">
        <f>VLOOKUP(Cleaned_datasetB[[#This Row],[Weather_Code]],Lookup_Tables!$E$9:$F$13,2,FALSE)</f>
        <v>Clear</v>
      </c>
      <c r="S737" s="10" t="str">
        <f>INDEX(Lookup_Tables!$I$10:$I$16,MATCH(Cleaned_datasetB[[#This Row],[Day_Code]],Lookup_Tables!$H$10:$H$16,0))</f>
        <v>Thursday</v>
      </c>
      <c r="T737" s="10" t="str">
        <f>VLOOKUP(Cleaned_datasetB[[#This Row],[Month]], Lookup_Tables!$K$8:$L$19, 2, FALSE)</f>
        <v>February</v>
      </c>
      <c r="U737" s="10" t="str">
        <f>IF(AND(Cleaned_datasetB[[#This Row],[Day_Type]]="Weekday",Cleaned_datasetB[[#This Row],[Is_Holiday]]=FALSE),"Working Day","Non-Working Day")</f>
        <v>Working Day</v>
      </c>
    </row>
    <row r="738" spans="1:21">
      <c r="A738" s="10">
        <v>737</v>
      </c>
      <c r="B738" s="23">
        <v>40577</v>
      </c>
      <c r="C738" s="10">
        <v>1</v>
      </c>
      <c r="D738" s="10">
        <v>0</v>
      </c>
      <c r="E738" s="10">
        <v>2</v>
      </c>
      <c r="F738" s="10">
        <v>1</v>
      </c>
      <c r="G738" s="10" t="b">
        <v>0</v>
      </c>
      <c r="H738" s="10">
        <v>4</v>
      </c>
      <c r="I738" s="10" t="str">
        <f>IF(OR(Cleaned_datasetB[[#This Row],[Day_Code]]=0,Cleaned_datasetB[[#This Row],[Day_Code]]=6),"Weekend","Weekday")</f>
        <v>Weekday</v>
      </c>
      <c r="J738" s="10">
        <v>1</v>
      </c>
      <c r="K738" s="10">
        <v>0.2</v>
      </c>
      <c r="L738" s="51">
        <v>0.1515</v>
      </c>
      <c r="M738" s="10">
        <v>0.44</v>
      </c>
      <c r="N738" s="10">
        <v>0.52239999999999998</v>
      </c>
      <c r="O738" s="10">
        <v>0</v>
      </c>
      <c r="P738" s="10">
        <v>5</v>
      </c>
      <c r="Q738" s="10">
        <v>5</v>
      </c>
      <c r="R738" s="10" t="str">
        <f>VLOOKUP(Cleaned_datasetB[[#This Row],[Weather_Code]],Lookup_Tables!$E$9:$F$13,2,FALSE)</f>
        <v>Clear</v>
      </c>
      <c r="S738" s="10" t="str">
        <f>INDEX(Lookup_Tables!$I$10:$I$16,MATCH(Cleaned_datasetB[[#This Row],[Day_Code]],Lookup_Tables!$H$10:$H$16,0))</f>
        <v>Thursday</v>
      </c>
      <c r="T738" s="10" t="str">
        <f>VLOOKUP(Cleaned_datasetB[[#This Row],[Month]], Lookup_Tables!$K$8:$L$19, 2, FALSE)</f>
        <v>February</v>
      </c>
      <c r="U738" s="10" t="str">
        <f>IF(AND(Cleaned_datasetB[[#This Row],[Day_Type]]="Weekday",Cleaned_datasetB[[#This Row],[Is_Holiday]]=FALSE),"Working Day","Non-Working Day")</f>
        <v>Working Day</v>
      </c>
    </row>
    <row r="739" spans="1:21">
      <c r="A739" s="10">
        <v>738</v>
      </c>
      <c r="B739" s="23">
        <v>40577</v>
      </c>
      <c r="C739" s="10">
        <v>1</v>
      </c>
      <c r="D739" s="10">
        <v>0</v>
      </c>
      <c r="E739" s="10">
        <v>2</v>
      </c>
      <c r="F739" s="10">
        <v>2</v>
      </c>
      <c r="G739" s="10" t="b">
        <v>0</v>
      </c>
      <c r="H739" s="10">
        <v>4</v>
      </c>
      <c r="I739" s="10" t="str">
        <f>IF(OR(Cleaned_datasetB[[#This Row],[Day_Code]]=0,Cleaned_datasetB[[#This Row],[Day_Code]]=6),"Weekend","Weekday")</f>
        <v>Weekday</v>
      </c>
      <c r="J739" s="10">
        <v>1</v>
      </c>
      <c r="K739" s="10">
        <v>0.18</v>
      </c>
      <c r="L739" s="51">
        <v>0.16669999999999999</v>
      </c>
      <c r="M739" s="10">
        <v>0.43</v>
      </c>
      <c r="N739" s="10">
        <v>0.25369999999999998</v>
      </c>
      <c r="O739" s="10">
        <v>0</v>
      </c>
      <c r="P739" s="10">
        <v>2</v>
      </c>
      <c r="Q739" s="10">
        <v>2</v>
      </c>
      <c r="R739" s="10" t="str">
        <f>VLOOKUP(Cleaned_datasetB[[#This Row],[Weather_Code]],Lookup_Tables!$E$9:$F$13,2,FALSE)</f>
        <v>Clear</v>
      </c>
      <c r="S739" s="10" t="str">
        <f>INDEX(Lookup_Tables!$I$10:$I$16,MATCH(Cleaned_datasetB[[#This Row],[Day_Code]],Lookup_Tables!$H$10:$H$16,0))</f>
        <v>Thursday</v>
      </c>
      <c r="T739" s="10" t="str">
        <f>VLOOKUP(Cleaned_datasetB[[#This Row],[Month]], Lookup_Tables!$K$8:$L$19, 2, FALSE)</f>
        <v>February</v>
      </c>
      <c r="U739" s="10" t="str">
        <f>IF(AND(Cleaned_datasetB[[#This Row],[Day_Type]]="Weekday",Cleaned_datasetB[[#This Row],[Is_Holiday]]=FALSE),"Working Day","Non-Working Day")</f>
        <v>Working Day</v>
      </c>
    </row>
    <row r="740" spans="1:21">
      <c r="A740" s="10">
        <v>739</v>
      </c>
      <c r="B740" s="23">
        <v>40577</v>
      </c>
      <c r="C740" s="10">
        <v>1</v>
      </c>
      <c r="D740" s="10">
        <v>0</v>
      </c>
      <c r="E740" s="10">
        <v>2</v>
      </c>
      <c r="F740" s="10">
        <v>3</v>
      </c>
      <c r="G740" s="10" t="b">
        <v>0</v>
      </c>
      <c r="H740" s="10">
        <v>4</v>
      </c>
      <c r="I740" s="10" t="str">
        <f>IF(OR(Cleaned_datasetB[[#This Row],[Day_Code]]=0,Cleaned_datasetB[[#This Row],[Day_Code]]=6),"Weekend","Weekday")</f>
        <v>Weekday</v>
      </c>
      <c r="J740" s="10">
        <v>1</v>
      </c>
      <c r="K740" s="10">
        <v>0.18</v>
      </c>
      <c r="L740" s="51">
        <v>0.16669999999999999</v>
      </c>
      <c r="M740" s="10">
        <v>0.43</v>
      </c>
      <c r="N740" s="10">
        <v>0.25369999999999998</v>
      </c>
      <c r="O740" s="10">
        <v>0</v>
      </c>
      <c r="P740" s="10">
        <v>1</v>
      </c>
      <c r="Q740" s="10">
        <v>1</v>
      </c>
      <c r="R740" s="10" t="str">
        <f>VLOOKUP(Cleaned_datasetB[[#This Row],[Weather_Code]],Lookup_Tables!$E$9:$F$13,2,FALSE)</f>
        <v>Clear</v>
      </c>
      <c r="S740" s="10" t="str">
        <f>INDEX(Lookup_Tables!$I$10:$I$16,MATCH(Cleaned_datasetB[[#This Row],[Day_Code]],Lookup_Tables!$H$10:$H$16,0))</f>
        <v>Thursday</v>
      </c>
      <c r="T740" s="10" t="str">
        <f>VLOOKUP(Cleaned_datasetB[[#This Row],[Month]], Lookup_Tables!$K$8:$L$19, 2, FALSE)</f>
        <v>February</v>
      </c>
      <c r="U740" s="10" t="str">
        <f>IF(AND(Cleaned_datasetB[[#This Row],[Day_Type]]="Weekday",Cleaned_datasetB[[#This Row],[Is_Holiday]]=FALSE),"Working Day","Non-Working Day")</f>
        <v>Working Day</v>
      </c>
    </row>
    <row r="741" spans="1:21">
      <c r="A741" s="10">
        <v>740</v>
      </c>
      <c r="B741" s="23">
        <v>40577</v>
      </c>
      <c r="C741" s="10">
        <v>1</v>
      </c>
      <c r="D741" s="10">
        <v>0</v>
      </c>
      <c r="E741" s="10">
        <v>2</v>
      </c>
      <c r="F741" s="10">
        <v>5</v>
      </c>
      <c r="G741" s="10" t="b">
        <v>0</v>
      </c>
      <c r="H741" s="10">
        <v>4</v>
      </c>
      <c r="I741" s="10" t="str">
        <f>IF(OR(Cleaned_datasetB[[#This Row],[Day_Code]]=0,Cleaned_datasetB[[#This Row],[Day_Code]]=6),"Weekend","Weekday")</f>
        <v>Weekday</v>
      </c>
      <c r="J741" s="10">
        <v>1</v>
      </c>
      <c r="K741" s="10">
        <v>0.16</v>
      </c>
      <c r="L741" s="51">
        <v>0.13639999999999999</v>
      </c>
      <c r="M741" s="10">
        <v>0.5</v>
      </c>
      <c r="N741" s="10">
        <v>0.29849999999999999</v>
      </c>
      <c r="O741" s="10">
        <v>0</v>
      </c>
      <c r="P741" s="10">
        <v>2</v>
      </c>
      <c r="Q741" s="10">
        <v>2</v>
      </c>
      <c r="R741" s="10" t="str">
        <f>VLOOKUP(Cleaned_datasetB[[#This Row],[Weather_Code]],Lookup_Tables!$E$9:$F$13,2,FALSE)</f>
        <v>Clear</v>
      </c>
      <c r="S741" s="10" t="str">
        <f>INDEX(Lookup_Tables!$I$10:$I$16,MATCH(Cleaned_datasetB[[#This Row],[Day_Code]],Lookup_Tables!$H$10:$H$16,0))</f>
        <v>Thursday</v>
      </c>
      <c r="T741" s="10" t="str">
        <f>VLOOKUP(Cleaned_datasetB[[#This Row],[Month]], Lookup_Tables!$K$8:$L$19, 2, FALSE)</f>
        <v>February</v>
      </c>
      <c r="U741" s="10" t="str">
        <f>IF(AND(Cleaned_datasetB[[#This Row],[Day_Type]]="Weekday",Cleaned_datasetB[[#This Row],[Is_Holiday]]=FALSE),"Working Day","Non-Working Day")</f>
        <v>Working Day</v>
      </c>
    </row>
    <row r="742" spans="1:21">
      <c r="A742" s="10">
        <v>741</v>
      </c>
      <c r="B742" s="23">
        <v>40577</v>
      </c>
      <c r="C742" s="10">
        <v>1</v>
      </c>
      <c r="D742" s="10">
        <v>0</v>
      </c>
      <c r="E742" s="10">
        <v>2</v>
      </c>
      <c r="F742" s="10">
        <v>6</v>
      </c>
      <c r="G742" s="10" t="b">
        <v>0</v>
      </c>
      <c r="H742" s="10">
        <v>4</v>
      </c>
      <c r="I742" s="10" t="str">
        <f>IF(OR(Cleaned_datasetB[[#This Row],[Day_Code]]=0,Cleaned_datasetB[[#This Row],[Day_Code]]=6),"Weekend","Weekday")</f>
        <v>Weekday</v>
      </c>
      <c r="J742" s="10">
        <v>1</v>
      </c>
      <c r="K742" s="10">
        <v>0.16</v>
      </c>
      <c r="L742" s="51">
        <v>0.13639999999999999</v>
      </c>
      <c r="M742" s="10">
        <v>0.43</v>
      </c>
      <c r="N742" s="10">
        <v>0.35820000000000002</v>
      </c>
      <c r="O742" s="10">
        <v>0</v>
      </c>
      <c r="P742" s="10">
        <v>39</v>
      </c>
      <c r="Q742" s="10">
        <v>39</v>
      </c>
      <c r="R742" s="10" t="str">
        <f>VLOOKUP(Cleaned_datasetB[[#This Row],[Weather_Code]],Lookup_Tables!$E$9:$F$13,2,FALSE)</f>
        <v>Clear</v>
      </c>
      <c r="S742" s="10" t="str">
        <f>INDEX(Lookup_Tables!$I$10:$I$16,MATCH(Cleaned_datasetB[[#This Row],[Day_Code]],Lookup_Tables!$H$10:$H$16,0))</f>
        <v>Thursday</v>
      </c>
      <c r="T742" s="10" t="str">
        <f>VLOOKUP(Cleaned_datasetB[[#This Row],[Month]], Lookup_Tables!$K$8:$L$19, 2, FALSE)</f>
        <v>February</v>
      </c>
      <c r="U742" s="10" t="str">
        <f>IF(AND(Cleaned_datasetB[[#This Row],[Day_Type]]="Weekday",Cleaned_datasetB[[#This Row],[Is_Holiday]]=FALSE),"Working Day","Non-Working Day")</f>
        <v>Working Day</v>
      </c>
    </row>
    <row r="743" spans="1:21">
      <c r="A743" s="10">
        <v>742</v>
      </c>
      <c r="B743" s="23">
        <v>40577</v>
      </c>
      <c r="C743" s="10">
        <v>1</v>
      </c>
      <c r="D743" s="10">
        <v>0</v>
      </c>
      <c r="E743" s="10">
        <v>2</v>
      </c>
      <c r="F743" s="10">
        <v>7</v>
      </c>
      <c r="G743" s="10" t="b">
        <v>0</v>
      </c>
      <c r="H743" s="10">
        <v>4</v>
      </c>
      <c r="I743" s="10" t="str">
        <f>IF(OR(Cleaned_datasetB[[#This Row],[Day_Code]]=0,Cleaned_datasetB[[#This Row],[Day_Code]]=6),"Weekend","Weekday")</f>
        <v>Weekday</v>
      </c>
      <c r="J743" s="10">
        <v>1</v>
      </c>
      <c r="K743" s="10">
        <v>0.14000000000000001</v>
      </c>
      <c r="L743" s="51">
        <v>0.1212</v>
      </c>
      <c r="M743" s="10">
        <v>0.5</v>
      </c>
      <c r="N743" s="10">
        <v>0.32840000000000003</v>
      </c>
      <c r="O743" s="10">
        <v>1</v>
      </c>
      <c r="P743" s="10">
        <v>86</v>
      </c>
      <c r="Q743" s="10">
        <v>87</v>
      </c>
      <c r="R743" s="10" t="str">
        <f>VLOOKUP(Cleaned_datasetB[[#This Row],[Weather_Code]],Lookup_Tables!$E$9:$F$13,2,FALSE)</f>
        <v>Clear</v>
      </c>
      <c r="S743" s="10" t="str">
        <f>INDEX(Lookup_Tables!$I$10:$I$16,MATCH(Cleaned_datasetB[[#This Row],[Day_Code]],Lookup_Tables!$H$10:$H$16,0))</f>
        <v>Thursday</v>
      </c>
      <c r="T743" s="10" t="str">
        <f>VLOOKUP(Cleaned_datasetB[[#This Row],[Month]], Lookup_Tables!$K$8:$L$19, 2, FALSE)</f>
        <v>February</v>
      </c>
      <c r="U743" s="10" t="str">
        <f>IF(AND(Cleaned_datasetB[[#This Row],[Day_Type]]="Weekday",Cleaned_datasetB[[#This Row],[Is_Holiday]]=FALSE),"Working Day","Non-Working Day")</f>
        <v>Working Day</v>
      </c>
    </row>
    <row r="744" spans="1:21">
      <c r="A744" s="10">
        <v>743</v>
      </c>
      <c r="B744" s="23">
        <v>40577</v>
      </c>
      <c r="C744" s="10">
        <v>1</v>
      </c>
      <c r="D744" s="10">
        <v>0</v>
      </c>
      <c r="E744" s="10">
        <v>2</v>
      </c>
      <c r="F744" s="10">
        <v>8</v>
      </c>
      <c r="G744" s="10" t="b">
        <v>0</v>
      </c>
      <c r="H744" s="10">
        <v>4</v>
      </c>
      <c r="I744" s="10" t="str">
        <f>IF(OR(Cleaned_datasetB[[#This Row],[Day_Code]]=0,Cleaned_datasetB[[#This Row],[Day_Code]]=6),"Weekend","Weekday")</f>
        <v>Weekday</v>
      </c>
      <c r="J744" s="10">
        <v>1</v>
      </c>
      <c r="K744" s="10">
        <v>0.14000000000000001</v>
      </c>
      <c r="L744" s="51">
        <v>0.1212</v>
      </c>
      <c r="M744" s="10">
        <v>0.5</v>
      </c>
      <c r="N744" s="10">
        <v>0.35820000000000002</v>
      </c>
      <c r="O744" s="10">
        <v>4</v>
      </c>
      <c r="P744" s="10">
        <v>184</v>
      </c>
      <c r="Q744" s="10">
        <v>188</v>
      </c>
      <c r="R744" s="10" t="str">
        <f>VLOOKUP(Cleaned_datasetB[[#This Row],[Weather_Code]],Lookup_Tables!$E$9:$F$13,2,FALSE)</f>
        <v>Clear</v>
      </c>
      <c r="S744" s="10" t="str">
        <f>INDEX(Lookup_Tables!$I$10:$I$16,MATCH(Cleaned_datasetB[[#This Row],[Day_Code]],Lookup_Tables!$H$10:$H$16,0))</f>
        <v>Thursday</v>
      </c>
      <c r="T744" s="10" t="str">
        <f>VLOOKUP(Cleaned_datasetB[[#This Row],[Month]], Lookup_Tables!$K$8:$L$19, 2, FALSE)</f>
        <v>February</v>
      </c>
      <c r="U744" s="10" t="str">
        <f>IF(AND(Cleaned_datasetB[[#This Row],[Day_Type]]="Weekday",Cleaned_datasetB[[#This Row],[Is_Holiday]]=FALSE),"Working Day","Non-Working Day")</f>
        <v>Working Day</v>
      </c>
    </row>
    <row r="745" spans="1:21">
      <c r="A745" s="10">
        <v>744</v>
      </c>
      <c r="B745" s="23">
        <v>40577</v>
      </c>
      <c r="C745" s="10">
        <v>1</v>
      </c>
      <c r="D745" s="10">
        <v>0</v>
      </c>
      <c r="E745" s="10">
        <v>2</v>
      </c>
      <c r="F745" s="10">
        <v>9</v>
      </c>
      <c r="G745" s="10" t="b">
        <v>0</v>
      </c>
      <c r="H745" s="10">
        <v>4</v>
      </c>
      <c r="I745" s="10" t="str">
        <f>IF(OR(Cleaned_datasetB[[#This Row],[Day_Code]]=0,Cleaned_datasetB[[#This Row],[Day_Code]]=6),"Weekend","Weekday")</f>
        <v>Weekday</v>
      </c>
      <c r="J745" s="10">
        <v>1</v>
      </c>
      <c r="K745" s="10">
        <v>0.16</v>
      </c>
      <c r="L745" s="51">
        <v>0.13639999999999999</v>
      </c>
      <c r="M745" s="10">
        <v>0.47</v>
      </c>
      <c r="N745" s="10">
        <v>0.29849999999999999</v>
      </c>
      <c r="O745" s="10">
        <v>6</v>
      </c>
      <c r="P745" s="10">
        <v>127</v>
      </c>
      <c r="Q745" s="10">
        <v>133</v>
      </c>
      <c r="R745" s="10" t="str">
        <f>VLOOKUP(Cleaned_datasetB[[#This Row],[Weather_Code]],Lookup_Tables!$E$9:$F$13,2,FALSE)</f>
        <v>Clear</v>
      </c>
      <c r="S745" s="10" t="str">
        <f>INDEX(Lookup_Tables!$I$10:$I$16,MATCH(Cleaned_datasetB[[#This Row],[Day_Code]],Lookup_Tables!$H$10:$H$16,0))</f>
        <v>Thursday</v>
      </c>
      <c r="T745" s="10" t="str">
        <f>VLOOKUP(Cleaned_datasetB[[#This Row],[Month]], Lookup_Tables!$K$8:$L$19, 2, FALSE)</f>
        <v>February</v>
      </c>
      <c r="U745" s="10" t="str">
        <f>IF(AND(Cleaned_datasetB[[#This Row],[Day_Type]]="Weekday",Cleaned_datasetB[[#This Row],[Is_Holiday]]=FALSE),"Working Day","Non-Working Day")</f>
        <v>Working Day</v>
      </c>
    </row>
    <row r="746" spans="1:21">
      <c r="A746" s="10">
        <v>745</v>
      </c>
      <c r="B746" s="23">
        <v>40577</v>
      </c>
      <c r="C746" s="10">
        <v>1</v>
      </c>
      <c r="D746" s="10">
        <v>0</v>
      </c>
      <c r="E746" s="10">
        <v>2</v>
      </c>
      <c r="F746" s="10">
        <v>10</v>
      </c>
      <c r="G746" s="10" t="b">
        <v>0</v>
      </c>
      <c r="H746" s="10">
        <v>4</v>
      </c>
      <c r="I746" s="10" t="str">
        <f>IF(OR(Cleaned_datasetB[[#This Row],[Day_Code]]=0,Cleaned_datasetB[[#This Row],[Day_Code]]=6),"Weekend","Weekday")</f>
        <v>Weekday</v>
      </c>
      <c r="J746" s="10">
        <v>1</v>
      </c>
      <c r="K746" s="10">
        <v>0.18</v>
      </c>
      <c r="L746" s="51">
        <v>0.1515</v>
      </c>
      <c r="M746" s="10">
        <v>0.43</v>
      </c>
      <c r="N746" s="10">
        <v>0.32840000000000003</v>
      </c>
      <c r="O746" s="10">
        <v>2</v>
      </c>
      <c r="P746" s="10">
        <v>50</v>
      </c>
      <c r="Q746" s="10">
        <v>52</v>
      </c>
      <c r="R746" s="10" t="str">
        <f>VLOOKUP(Cleaned_datasetB[[#This Row],[Weather_Code]],Lookup_Tables!$E$9:$F$13,2,FALSE)</f>
        <v>Clear</v>
      </c>
      <c r="S746" s="10" t="str">
        <f>INDEX(Lookup_Tables!$I$10:$I$16,MATCH(Cleaned_datasetB[[#This Row],[Day_Code]],Lookup_Tables!$H$10:$H$16,0))</f>
        <v>Thursday</v>
      </c>
      <c r="T746" s="10" t="str">
        <f>VLOOKUP(Cleaned_datasetB[[#This Row],[Month]], Lookup_Tables!$K$8:$L$19, 2, FALSE)</f>
        <v>February</v>
      </c>
      <c r="U746" s="10" t="str">
        <f>IF(AND(Cleaned_datasetB[[#This Row],[Day_Type]]="Weekday",Cleaned_datasetB[[#This Row],[Is_Holiday]]=FALSE),"Working Day","Non-Working Day")</f>
        <v>Working Day</v>
      </c>
    </row>
    <row r="747" spans="1:21">
      <c r="A747" s="10">
        <v>746</v>
      </c>
      <c r="B747" s="23">
        <v>40577</v>
      </c>
      <c r="C747" s="10">
        <v>1</v>
      </c>
      <c r="D747" s="10">
        <v>0</v>
      </c>
      <c r="E747" s="10">
        <v>2</v>
      </c>
      <c r="F747" s="10">
        <v>11</v>
      </c>
      <c r="G747" s="10" t="b">
        <v>0</v>
      </c>
      <c r="H747" s="10">
        <v>4</v>
      </c>
      <c r="I747" s="10" t="str">
        <f>IF(OR(Cleaned_datasetB[[#This Row],[Day_Code]]=0,Cleaned_datasetB[[#This Row],[Day_Code]]=6),"Weekend","Weekday")</f>
        <v>Weekday</v>
      </c>
      <c r="J747" s="10">
        <v>1</v>
      </c>
      <c r="K747" s="10">
        <v>0.18</v>
      </c>
      <c r="L747" s="51">
        <v>0.13639999999999999</v>
      </c>
      <c r="M747" s="10">
        <v>0.43</v>
      </c>
      <c r="N747" s="10">
        <v>0.44779999999999998</v>
      </c>
      <c r="O747" s="10">
        <v>9</v>
      </c>
      <c r="P747" s="10">
        <v>55</v>
      </c>
      <c r="Q747" s="10">
        <v>64</v>
      </c>
      <c r="R747" s="10" t="str">
        <f>VLOOKUP(Cleaned_datasetB[[#This Row],[Weather_Code]],Lookup_Tables!$E$9:$F$13,2,FALSE)</f>
        <v>Clear</v>
      </c>
      <c r="S747" s="10" t="str">
        <f>INDEX(Lookup_Tables!$I$10:$I$16,MATCH(Cleaned_datasetB[[#This Row],[Day_Code]],Lookup_Tables!$H$10:$H$16,0))</f>
        <v>Thursday</v>
      </c>
      <c r="T747" s="10" t="str">
        <f>VLOOKUP(Cleaned_datasetB[[#This Row],[Month]], Lookup_Tables!$K$8:$L$19, 2, FALSE)</f>
        <v>February</v>
      </c>
      <c r="U747" s="10" t="str">
        <f>IF(AND(Cleaned_datasetB[[#This Row],[Day_Type]]="Weekday",Cleaned_datasetB[[#This Row],[Is_Holiday]]=FALSE),"Working Day","Non-Working Day")</f>
        <v>Working Day</v>
      </c>
    </row>
    <row r="748" spans="1:21">
      <c r="A748" s="10">
        <v>747</v>
      </c>
      <c r="B748" s="23">
        <v>40577</v>
      </c>
      <c r="C748" s="10">
        <v>1</v>
      </c>
      <c r="D748" s="10">
        <v>0</v>
      </c>
      <c r="E748" s="10">
        <v>2</v>
      </c>
      <c r="F748" s="10">
        <v>12</v>
      </c>
      <c r="G748" s="10" t="b">
        <v>0</v>
      </c>
      <c r="H748" s="10">
        <v>4</v>
      </c>
      <c r="I748" s="10" t="str">
        <f>IF(OR(Cleaned_datasetB[[#This Row],[Day_Code]]=0,Cleaned_datasetB[[#This Row],[Day_Code]]=6),"Weekend","Weekday")</f>
        <v>Weekday</v>
      </c>
      <c r="J748" s="10">
        <v>1</v>
      </c>
      <c r="K748" s="10">
        <v>0.2</v>
      </c>
      <c r="L748" s="51">
        <v>0.18179999999999999</v>
      </c>
      <c r="M748" s="10">
        <v>0.4</v>
      </c>
      <c r="N748" s="10">
        <v>0.35820000000000002</v>
      </c>
      <c r="O748" s="10">
        <v>2</v>
      </c>
      <c r="P748" s="10">
        <v>67</v>
      </c>
      <c r="Q748" s="10">
        <v>69</v>
      </c>
      <c r="R748" s="10" t="str">
        <f>VLOOKUP(Cleaned_datasetB[[#This Row],[Weather_Code]],Lookup_Tables!$E$9:$F$13,2,FALSE)</f>
        <v>Clear</v>
      </c>
      <c r="S748" s="10" t="str">
        <f>INDEX(Lookup_Tables!$I$10:$I$16,MATCH(Cleaned_datasetB[[#This Row],[Day_Code]],Lookup_Tables!$H$10:$H$16,0))</f>
        <v>Thursday</v>
      </c>
      <c r="T748" s="10" t="str">
        <f>VLOOKUP(Cleaned_datasetB[[#This Row],[Month]], Lookup_Tables!$K$8:$L$19, 2, FALSE)</f>
        <v>February</v>
      </c>
      <c r="U748" s="10" t="str">
        <f>IF(AND(Cleaned_datasetB[[#This Row],[Day_Type]]="Weekday",Cleaned_datasetB[[#This Row],[Is_Holiday]]=FALSE),"Working Day","Non-Working Day")</f>
        <v>Working Day</v>
      </c>
    </row>
    <row r="749" spans="1:21">
      <c r="A749" s="10">
        <v>748</v>
      </c>
      <c r="B749" s="23">
        <v>40577</v>
      </c>
      <c r="C749" s="10">
        <v>1</v>
      </c>
      <c r="D749" s="10">
        <v>0</v>
      </c>
      <c r="E749" s="10">
        <v>2</v>
      </c>
      <c r="F749" s="10">
        <v>13</v>
      </c>
      <c r="G749" s="10" t="b">
        <v>0</v>
      </c>
      <c r="H749" s="10">
        <v>4</v>
      </c>
      <c r="I749" s="10" t="str">
        <f>IF(OR(Cleaned_datasetB[[#This Row],[Day_Code]]=0,Cleaned_datasetB[[#This Row],[Day_Code]]=6),"Weekend","Weekday")</f>
        <v>Weekday</v>
      </c>
      <c r="J749" s="10">
        <v>1</v>
      </c>
      <c r="K749" s="10">
        <v>0.2</v>
      </c>
      <c r="L749" s="51">
        <v>0.16669999999999999</v>
      </c>
      <c r="M749" s="10">
        <v>0.4</v>
      </c>
      <c r="N749" s="10">
        <v>0.41789999999999999</v>
      </c>
      <c r="O749" s="10">
        <v>4</v>
      </c>
      <c r="P749" s="10">
        <v>47</v>
      </c>
      <c r="Q749" s="10">
        <v>51</v>
      </c>
      <c r="R749" s="10" t="str">
        <f>VLOOKUP(Cleaned_datasetB[[#This Row],[Weather_Code]],Lookup_Tables!$E$9:$F$13,2,FALSE)</f>
        <v>Clear</v>
      </c>
      <c r="S749" s="10" t="str">
        <f>INDEX(Lookup_Tables!$I$10:$I$16,MATCH(Cleaned_datasetB[[#This Row],[Day_Code]],Lookup_Tables!$H$10:$H$16,0))</f>
        <v>Thursday</v>
      </c>
      <c r="T749" s="10" t="str">
        <f>VLOOKUP(Cleaned_datasetB[[#This Row],[Month]], Lookup_Tables!$K$8:$L$19, 2, FALSE)</f>
        <v>February</v>
      </c>
      <c r="U749" s="10" t="str">
        <f>IF(AND(Cleaned_datasetB[[#This Row],[Day_Type]]="Weekday",Cleaned_datasetB[[#This Row],[Is_Holiday]]=FALSE),"Working Day","Non-Working Day")</f>
        <v>Working Day</v>
      </c>
    </row>
    <row r="750" spans="1:21">
      <c r="A750" s="10">
        <v>749</v>
      </c>
      <c r="B750" s="23">
        <v>40577</v>
      </c>
      <c r="C750" s="10">
        <v>1</v>
      </c>
      <c r="D750" s="10">
        <v>0</v>
      </c>
      <c r="E750" s="10">
        <v>2</v>
      </c>
      <c r="F750" s="10">
        <v>14</v>
      </c>
      <c r="G750" s="10" t="b">
        <v>0</v>
      </c>
      <c r="H750" s="10">
        <v>4</v>
      </c>
      <c r="I750" s="10" t="str">
        <f>IF(OR(Cleaned_datasetB[[#This Row],[Day_Code]]=0,Cleaned_datasetB[[#This Row],[Day_Code]]=6),"Weekend","Weekday")</f>
        <v>Weekday</v>
      </c>
      <c r="J750" s="10">
        <v>1</v>
      </c>
      <c r="K750" s="10">
        <v>0.22</v>
      </c>
      <c r="L750" s="51">
        <v>0.19700000000000001</v>
      </c>
      <c r="M750" s="10">
        <v>0.37</v>
      </c>
      <c r="N750" s="10">
        <v>0.3881</v>
      </c>
      <c r="O750" s="10">
        <v>4</v>
      </c>
      <c r="P750" s="10">
        <v>43</v>
      </c>
      <c r="Q750" s="10">
        <v>47</v>
      </c>
      <c r="R750" s="10" t="str">
        <f>VLOOKUP(Cleaned_datasetB[[#This Row],[Weather_Code]],Lookup_Tables!$E$9:$F$13,2,FALSE)</f>
        <v>Clear</v>
      </c>
      <c r="S750" s="10" t="str">
        <f>INDEX(Lookup_Tables!$I$10:$I$16,MATCH(Cleaned_datasetB[[#This Row],[Day_Code]],Lookup_Tables!$H$10:$H$16,0))</f>
        <v>Thursday</v>
      </c>
      <c r="T750" s="10" t="str">
        <f>VLOOKUP(Cleaned_datasetB[[#This Row],[Month]], Lookup_Tables!$K$8:$L$19, 2, FALSE)</f>
        <v>February</v>
      </c>
      <c r="U750" s="10" t="str">
        <f>IF(AND(Cleaned_datasetB[[#This Row],[Day_Type]]="Weekday",Cleaned_datasetB[[#This Row],[Is_Holiday]]=FALSE),"Working Day","Non-Working Day")</f>
        <v>Working Day</v>
      </c>
    </row>
    <row r="751" spans="1:21">
      <c r="A751" s="10">
        <v>750</v>
      </c>
      <c r="B751" s="23">
        <v>40577</v>
      </c>
      <c r="C751" s="10">
        <v>1</v>
      </c>
      <c r="D751" s="10">
        <v>0</v>
      </c>
      <c r="E751" s="10">
        <v>2</v>
      </c>
      <c r="F751" s="10">
        <v>15</v>
      </c>
      <c r="G751" s="10" t="b">
        <v>0</v>
      </c>
      <c r="H751" s="10">
        <v>4</v>
      </c>
      <c r="I751" s="10" t="str">
        <f>IF(OR(Cleaned_datasetB[[#This Row],[Day_Code]]=0,Cleaned_datasetB[[#This Row],[Day_Code]]=6),"Weekend","Weekday")</f>
        <v>Weekday</v>
      </c>
      <c r="J751" s="10">
        <v>1</v>
      </c>
      <c r="K751" s="10">
        <v>0.22</v>
      </c>
      <c r="L751" s="51">
        <v>0.19700000000000001</v>
      </c>
      <c r="M751" s="10">
        <v>0.37</v>
      </c>
      <c r="N751" s="10">
        <v>0.32840000000000003</v>
      </c>
      <c r="O751" s="10">
        <v>4</v>
      </c>
      <c r="P751" s="10">
        <v>56</v>
      </c>
      <c r="Q751" s="10">
        <v>60</v>
      </c>
      <c r="R751" s="10" t="str">
        <f>VLOOKUP(Cleaned_datasetB[[#This Row],[Weather_Code]],Lookup_Tables!$E$9:$F$13,2,FALSE)</f>
        <v>Clear</v>
      </c>
      <c r="S751" s="10" t="str">
        <f>INDEX(Lookup_Tables!$I$10:$I$16,MATCH(Cleaned_datasetB[[#This Row],[Day_Code]],Lookup_Tables!$H$10:$H$16,0))</f>
        <v>Thursday</v>
      </c>
      <c r="T751" s="10" t="str">
        <f>VLOOKUP(Cleaned_datasetB[[#This Row],[Month]], Lookup_Tables!$K$8:$L$19, 2, FALSE)</f>
        <v>February</v>
      </c>
      <c r="U751" s="10" t="str">
        <f>IF(AND(Cleaned_datasetB[[#This Row],[Day_Type]]="Weekday",Cleaned_datasetB[[#This Row],[Is_Holiday]]=FALSE),"Working Day","Non-Working Day")</f>
        <v>Working Day</v>
      </c>
    </row>
    <row r="752" spans="1:21">
      <c r="A752" s="10">
        <v>751</v>
      </c>
      <c r="B752" s="23">
        <v>40577</v>
      </c>
      <c r="C752" s="10">
        <v>1</v>
      </c>
      <c r="D752" s="10">
        <v>0</v>
      </c>
      <c r="E752" s="10">
        <v>2</v>
      </c>
      <c r="F752" s="10">
        <v>16</v>
      </c>
      <c r="G752" s="10" t="b">
        <v>0</v>
      </c>
      <c r="H752" s="10">
        <v>4</v>
      </c>
      <c r="I752" s="10" t="str">
        <f>IF(OR(Cleaned_datasetB[[#This Row],[Day_Code]]=0,Cleaned_datasetB[[#This Row],[Day_Code]]=6),"Weekend","Weekday")</f>
        <v>Weekday</v>
      </c>
      <c r="J752" s="10">
        <v>1</v>
      </c>
      <c r="K752" s="10">
        <v>0.22</v>
      </c>
      <c r="L752" s="51">
        <v>0.21210000000000001</v>
      </c>
      <c r="M752" s="10">
        <v>0.37</v>
      </c>
      <c r="N752" s="10">
        <v>0.25369999999999998</v>
      </c>
      <c r="O752" s="10">
        <v>5</v>
      </c>
      <c r="P752" s="10">
        <v>73</v>
      </c>
      <c r="Q752" s="10">
        <v>78</v>
      </c>
      <c r="R752" s="10" t="str">
        <f>VLOOKUP(Cleaned_datasetB[[#This Row],[Weather_Code]],Lookup_Tables!$E$9:$F$13,2,FALSE)</f>
        <v>Clear</v>
      </c>
      <c r="S752" s="10" t="str">
        <f>INDEX(Lookup_Tables!$I$10:$I$16,MATCH(Cleaned_datasetB[[#This Row],[Day_Code]],Lookup_Tables!$H$10:$H$16,0))</f>
        <v>Thursday</v>
      </c>
      <c r="T752" s="10" t="str">
        <f>VLOOKUP(Cleaned_datasetB[[#This Row],[Month]], Lookup_Tables!$K$8:$L$19, 2, FALSE)</f>
        <v>February</v>
      </c>
      <c r="U752" s="10" t="str">
        <f>IF(AND(Cleaned_datasetB[[#This Row],[Day_Type]]="Weekday",Cleaned_datasetB[[#This Row],[Is_Holiday]]=FALSE),"Working Day","Non-Working Day")</f>
        <v>Working Day</v>
      </c>
    </row>
    <row r="753" spans="1:21">
      <c r="A753" s="10">
        <v>752</v>
      </c>
      <c r="B753" s="23">
        <v>40577</v>
      </c>
      <c r="C753" s="10">
        <v>1</v>
      </c>
      <c r="D753" s="10">
        <v>0</v>
      </c>
      <c r="E753" s="10">
        <v>2</v>
      </c>
      <c r="F753" s="10">
        <v>17</v>
      </c>
      <c r="G753" s="10" t="b">
        <v>0</v>
      </c>
      <c r="H753" s="10">
        <v>4</v>
      </c>
      <c r="I753" s="10" t="str">
        <f>IF(OR(Cleaned_datasetB[[#This Row],[Day_Code]]=0,Cleaned_datasetB[[#This Row],[Day_Code]]=6),"Weekend","Weekday")</f>
        <v>Weekday</v>
      </c>
      <c r="J753" s="10">
        <v>1</v>
      </c>
      <c r="K753" s="10">
        <v>0.2</v>
      </c>
      <c r="L753" s="51">
        <v>0.19700000000000001</v>
      </c>
      <c r="M753" s="10">
        <v>0.4</v>
      </c>
      <c r="N753" s="10">
        <v>0.19400000000000001</v>
      </c>
      <c r="O753" s="10">
        <v>5</v>
      </c>
      <c r="P753" s="10">
        <v>170</v>
      </c>
      <c r="Q753" s="10">
        <v>175</v>
      </c>
      <c r="R753" s="10" t="str">
        <f>VLOOKUP(Cleaned_datasetB[[#This Row],[Weather_Code]],Lookup_Tables!$E$9:$F$13,2,FALSE)</f>
        <v>Clear</v>
      </c>
      <c r="S753" s="10" t="str">
        <f>INDEX(Lookup_Tables!$I$10:$I$16,MATCH(Cleaned_datasetB[[#This Row],[Day_Code]],Lookup_Tables!$H$10:$H$16,0))</f>
        <v>Thursday</v>
      </c>
      <c r="T753" s="10" t="str">
        <f>VLOOKUP(Cleaned_datasetB[[#This Row],[Month]], Lookup_Tables!$K$8:$L$19, 2, FALSE)</f>
        <v>February</v>
      </c>
      <c r="U753" s="10" t="str">
        <f>IF(AND(Cleaned_datasetB[[#This Row],[Day_Type]]="Weekday",Cleaned_datasetB[[#This Row],[Is_Holiday]]=FALSE),"Working Day","Non-Working Day")</f>
        <v>Working Day</v>
      </c>
    </row>
    <row r="754" spans="1:21">
      <c r="A754" s="10">
        <v>753</v>
      </c>
      <c r="B754" s="23">
        <v>40577</v>
      </c>
      <c r="C754" s="10">
        <v>1</v>
      </c>
      <c r="D754" s="10">
        <v>0</v>
      </c>
      <c r="E754" s="10">
        <v>2</v>
      </c>
      <c r="F754" s="10">
        <v>18</v>
      </c>
      <c r="G754" s="10" t="b">
        <v>0</v>
      </c>
      <c r="H754" s="10">
        <v>4</v>
      </c>
      <c r="I754" s="10" t="str">
        <f>IF(OR(Cleaned_datasetB[[#This Row],[Day_Code]]=0,Cleaned_datasetB[[#This Row],[Day_Code]]=6),"Weekend","Weekday")</f>
        <v>Weekday</v>
      </c>
      <c r="J754" s="10">
        <v>1</v>
      </c>
      <c r="K754" s="10">
        <v>0.2</v>
      </c>
      <c r="L754" s="51">
        <v>0.21210000000000001</v>
      </c>
      <c r="M754" s="10">
        <v>0.4</v>
      </c>
      <c r="N754" s="10">
        <v>0.16420000000000001</v>
      </c>
      <c r="O754" s="10">
        <v>2</v>
      </c>
      <c r="P754" s="10">
        <v>145</v>
      </c>
      <c r="Q754" s="10">
        <v>147</v>
      </c>
      <c r="R754" s="10" t="str">
        <f>VLOOKUP(Cleaned_datasetB[[#This Row],[Weather_Code]],Lookup_Tables!$E$9:$F$13,2,FALSE)</f>
        <v>Clear</v>
      </c>
      <c r="S754" s="10" t="str">
        <f>INDEX(Lookup_Tables!$I$10:$I$16,MATCH(Cleaned_datasetB[[#This Row],[Day_Code]],Lookup_Tables!$H$10:$H$16,0))</f>
        <v>Thursday</v>
      </c>
      <c r="T754" s="10" t="str">
        <f>VLOOKUP(Cleaned_datasetB[[#This Row],[Month]], Lookup_Tables!$K$8:$L$19, 2, FALSE)</f>
        <v>February</v>
      </c>
      <c r="U754" s="10" t="str">
        <f>IF(AND(Cleaned_datasetB[[#This Row],[Day_Type]]="Weekday",Cleaned_datasetB[[#This Row],[Is_Holiday]]=FALSE),"Working Day","Non-Working Day")</f>
        <v>Working Day</v>
      </c>
    </row>
    <row r="755" spans="1:21">
      <c r="A755" s="10">
        <v>754</v>
      </c>
      <c r="B755" s="23">
        <v>40577</v>
      </c>
      <c r="C755" s="10">
        <v>1</v>
      </c>
      <c r="D755" s="10">
        <v>0</v>
      </c>
      <c r="E755" s="10">
        <v>2</v>
      </c>
      <c r="F755" s="10">
        <v>19</v>
      </c>
      <c r="G755" s="10" t="b">
        <v>0</v>
      </c>
      <c r="H755" s="10">
        <v>4</v>
      </c>
      <c r="I755" s="10" t="str">
        <f>IF(OR(Cleaned_datasetB[[#This Row],[Day_Code]]=0,Cleaned_datasetB[[#This Row],[Day_Code]]=6),"Weekend","Weekday")</f>
        <v>Weekday</v>
      </c>
      <c r="J755" s="10">
        <v>1</v>
      </c>
      <c r="K755" s="10">
        <v>0.2</v>
      </c>
      <c r="L755" s="51">
        <v>0.2576</v>
      </c>
      <c r="M755" s="10">
        <v>0.4</v>
      </c>
      <c r="N755" s="10">
        <v>0</v>
      </c>
      <c r="O755" s="10">
        <v>4</v>
      </c>
      <c r="P755" s="10">
        <v>92</v>
      </c>
      <c r="Q755" s="10">
        <v>96</v>
      </c>
      <c r="R755" s="10" t="str">
        <f>VLOOKUP(Cleaned_datasetB[[#This Row],[Weather_Code]],Lookup_Tables!$E$9:$F$13,2,FALSE)</f>
        <v>Clear</v>
      </c>
      <c r="S755" s="10" t="str">
        <f>INDEX(Lookup_Tables!$I$10:$I$16,MATCH(Cleaned_datasetB[[#This Row],[Day_Code]],Lookup_Tables!$H$10:$H$16,0))</f>
        <v>Thursday</v>
      </c>
      <c r="T755" s="10" t="str">
        <f>VLOOKUP(Cleaned_datasetB[[#This Row],[Month]], Lookup_Tables!$K$8:$L$19, 2, FALSE)</f>
        <v>February</v>
      </c>
      <c r="U755" s="10" t="str">
        <f>IF(AND(Cleaned_datasetB[[#This Row],[Day_Type]]="Weekday",Cleaned_datasetB[[#This Row],[Is_Holiday]]=FALSE),"Working Day","Non-Working Day")</f>
        <v>Working Day</v>
      </c>
    </row>
    <row r="756" spans="1:21">
      <c r="A756" s="10">
        <v>755</v>
      </c>
      <c r="B756" s="23">
        <v>40577</v>
      </c>
      <c r="C756" s="10">
        <v>1</v>
      </c>
      <c r="D756" s="10">
        <v>0</v>
      </c>
      <c r="E756" s="10">
        <v>2</v>
      </c>
      <c r="F756" s="10">
        <v>20</v>
      </c>
      <c r="G756" s="10" t="b">
        <v>0</v>
      </c>
      <c r="H756" s="10">
        <v>4</v>
      </c>
      <c r="I756" s="10" t="str">
        <f>IF(OR(Cleaned_datasetB[[#This Row],[Day_Code]]=0,Cleaned_datasetB[[#This Row],[Day_Code]]=6),"Weekend","Weekday")</f>
        <v>Weekday</v>
      </c>
      <c r="J756" s="10">
        <v>1</v>
      </c>
      <c r="K756" s="10">
        <v>0.2</v>
      </c>
      <c r="L756" s="51">
        <v>0.2273</v>
      </c>
      <c r="M756" s="10">
        <v>0.47</v>
      </c>
      <c r="N756" s="10">
        <v>8.9599999999999999E-2</v>
      </c>
      <c r="O756" s="10">
        <v>1</v>
      </c>
      <c r="P756" s="10">
        <v>108</v>
      </c>
      <c r="Q756" s="10">
        <v>109</v>
      </c>
      <c r="R756" s="10" t="str">
        <f>VLOOKUP(Cleaned_datasetB[[#This Row],[Weather_Code]],Lookup_Tables!$E$9:$F$13,2,FALSE)</f>
        <v>Clear</v>
      </c>
      <c r="S756" s="10" t="str">
        <f>INDEX(Lookup_Tables!$I$10:$I$16,MATCH(Cleaned_datasetB[[#This Row],[Day_Code]],Lookup_Tables!$H$10:$H$16,0))</f>
        <v>Thursday</v>
      </c>
      <c r="T756" s="10" t="str">
        <f>VLOOKUP(Cleaned_datasetB[[#This Row],[Month]], Lookup_Tables!$K$8:$L$19, 2, FALSE)</f>
        <v>February</v>
      </c>
      <c r="U756" s="10" t="str">
        <f>IF(AND(Cleaned_datasetB[[#This Row],[Day_Type]]="Weekday",Cleaned_datasetB[[#This Row],[Is_Holiday]]=FALSE),"Working Day","Non-Working Day")</f>
        <v>Working Day</v>
      </c>
    </row>
    <row r="757" spans="1:21">
      <c r="A757" s="10">
        <v>756</v>
      </c>
      <c r="B757" s="23">
        <v>40577</v>
      </c>
      <c r="C757" s="10">
        <v>1</v>
      </c>
      <c r="D757" s="10">
        <v>0</v>
      </c>
      <c r="E757" s="10">
        <v>2</v>
      </c>
      <c r="F757" s="10">
        <v>21</v>
      </c>
      <c r="G757" s="10" t="b">
        <v>0</v>
      </c>
      <c r="H757" s="10">
        <v>4</v>
      </c>
      <c r="I757" s="10" t="str">
        <f>IF(OR(Cleaned_datasetB[[#This Row],[Day_Code]]=0,Cleaned_datasetB[[#This Row],[Day_Code]]=6),"Weekend","Weekday")</f>
        <v>Weekday</v>
      </c>
      <c r="J757" s="10">
        <v>1</v>
      </c>
      <c r="K757" s="10">
        <v>0.18</v>
      </c>
      <c r="L757" s="51">
        <v>0.21210000000000001</v>
      </c>
      <c r="M757" s="10">
        <v>0.55000000000000004</v>
      </c>
      <c r="N757" s="10">
        <v>0.1045</v>
      </c>
      <c r="O757" s="10">
        <v>1</v>
      </c>
      <c r="P757" s="10">
        <v>53</v>
      </c>
      <c r="Q757" s="10">
        <v>54</v>
      </c>
      <c r="R757" s="10" t="str">
        <f>VLOOKUP(Cleaned_datasetB[[#This Row],[Weather_Code]],Lookup_Tables!$E$9:$F$13,2,FALSE)</f>
        <v>Clear</v>
      </c>
      <c r="S757" s="10" t="str">
        <f>INDEX(Lookup_Tables!$I$10:$I$16,MATCH(Cleaned_datasetB[[#This Row],[Day_Code]],Lookup_Tables!$H$10:$H$16,0))</f>
        <v>Thursday</v>
      </c>
      <c r="T757" s="10" t="str">
        <f>VLOOKUP(Cleaned_datasetB[[#This Row],[Month]], Lookup_Tables!$K$8:$L$19, 2, FALSE)</f>
        <v>February</v>
      </c>
      <c r="U757" s="10" t="str">
        <f>IF(AND(Cleaned_datasetB[[#This Row],[Day_Type]]="Weekday",Cleaned_datasetB[[#This Row],[Is_Holiday]]=FALSE),"Working Day","Non-Working Day")</f>
        <v>Working Day</v>
      </c>
    </row>
    <row r="758" spans="1:21">
      <c r="A758" s="10">
        <v>757</v>
      </c>
      <c r="B758" s="23">
        <v>40577</v>
      </c>
      <c r="C758" s="10">
        <v>1</v>
      </c>
      <c r="D758" s="10">
        <v>0</v>
      </c>
      <c r="E758" s="10">
        <v>2</v>
      </c>
      <c r="F758" s="10">
        <v>22</v>
      </c>
      <c r="G758" s="10" t="b">
        <v>0</v>
      </c>
      <c r="H758" s="10">
        <v>4</v>
      </c>
      <c r="I758" s="10" t="str">
        <f>IF(OR(Cleaned_datasetB[[#This Row],[Day_Code]]=0,Cleaned_datasetB[[#This Row],[Day_Code]]=6),"Weekend","Weekday")</f>
        <v>Weekday</v>
      </c>
      <c r="J758" s="10">
        <v>1</v>
      </c>
      <c r="K758" s="10">
        <v>0.18</v>
      </c>
      <c r="L758" s="51">
        <v>0.21210000000000001</v>
      </c>
      <c r="M758" s="10">
        <v>0.51</v>
      </c>
      <c r="N758" s="10">
        <v>8.9599999999999999E-2</v>
      </c>
      <c r="O758" s="10">
        <v>2</v>
      </c>
      <c r="P758" s="10">
        <v>39</v>
      </c>
      <c r="Q758" s="10">
        <v>41</v>
      </c>
      <c r="R758" s="10" t="str">
        <f>VLOOKUP(Cleaned_datasetB[[#This Row],[Weather_Code]],Lookup_Tables!$E$9:$F$13,2,FALSE)</f>
        <v>Clear</v>
      </c>
      <c r="S758" s="10" t="str">
        <f>INDEX(Lookup_Tables!$I$10:$I$16,MATCH(Cleaned_datasetB[[#This Row],[Day_Code]],Lookup_Tables!$H$10:$H$16,0))</f>
        <v>Thursday</v>
      </c>
      <c r="T758" s="10" t="str">
        <f>VLOOKUP(Cleaned_datasetB[[#This Row],[Month]], Lookup_Tables!$K$8:$L$19, 2, FALSE)</f>
        <v>February</v>
      </c>
      <c r="U758" s="10" t="str">
        <f>IF(AND(Cleaned_datasetB[[#This Row],[Day_Type]]="Weekday",Cleaned_datasetB[[#This Row],[Is_Holiday]]=FALSE),"Working Day","Non-Working Day")</f>
        <v>Working Day</v>
      </c>
    </row>
    <row r="759" spans="1:21">
      <c r="A759" s="10">
        <v>758</v>
      </c>
      <c r="B759" s="23">
        <v>40577</v>
      </c>
      <c r="C759" s="10">
        <v>1</v>
      </c>
      <c r="D759" s="10">
        <v>0</v>
      </c>
      <c r="E759" s="10">
        <v>2</v>
      </c>
      <c r="F759" s="10">
        <v>23</v>
      </c>
      <c r="G759" s="10" t="b">
        <v>0</v>
      </c>
      <c r="H759" s="10">
        <v>4</v>
      </c>
      <c r="I759" s="10" t="str">
        <f>IF(OR(Cleaned_datasetB[[#This Row],[Day_Code]]=0,Cleaned_datasetB[[#This Row],[Day_Code]]=6),"Weekend","Weekday")</f>
        <v>Weekday</v>
      </c>
      <c r="J759" s="10">
        <v>1</v>
      </c>
      <c r="K759" s="10">
        <v>0.2</v>
      </c>
      <c r="L759" s="51">
        <v>0.2273</v>
      </c>
      <c r="M759" s="10">
        <v>0.47</v>
      </c>
      <c r="N759" s="10">
        <v>0.1045</v>
      </c>
      <c r="O759" s="10">
        <v>4</v>
      </c>
      <c r="P759" s="10">
        <v>34</v>
      </c>
      <c r="Q759" s="10">
        <v>38</v>
      </c>
      <c r="R759" s="10" t="str">
        <f>VLOOKUP(Cleaned_datasetB[[#This Row],[Weather_Code]],Lookup_Tables!$E$9:$F$13,2,FALSE)</f>
        <v>Clear</v>
      </c>
      <c r="S759" s="10" t="str">
        <f>INDEX(Lookup_Tables!$I$10:$I$16,MATCH(Cleaned_datasetB[[#This Row],[Day_Code]],Lookup_Tables!$H$10:$H$16,0))</f>
        <v>Thursday</v>
      </c>
      <c r="T759" s="10" t="str">
        <f>VLOOKUP(Cleaned_datasetB[[#This Row],[Month]], Lookup_Tables!$K$8:$L$19, 2, FALSE)</f>
        <v>February</v>
      </c>
      <c r="U759" s="10" t="str">
        <f>IF(AND(Cleaned_datasetB[[#This Row],[Day_Type]]="Weekday",Cleaned_datasetB[[#This Row],[Is_Holiday]]=FALSE),"Working Day","Non-Working Day")</f>
        <v>Working Day</v>
      </c>
    </row>
    <row r="760" spans="1:21">
      <c r="A760" s="10">
        <v>759</v>
      </c>
      <c r="B760" s="23">
        <v>40578</v>
      </c>
      <c r="C760" s="10">
        <v>1</v>
      </c>
      <c r="D760" s="10">
        <v>0</v>
      </c>
      <c r="E760" s="10">
        <v>2</v>
      </c>
      <c r="F760" s="10">
        <v>0</v>
      </c>
      <c r="G760" s="10" t="b">
        <v>0</v>
      </c>
      <c r="H760" s="10">
        <v>5</v>
      </c>
      <c r="I760" s="10" t="str">
        <f>IF(OR(Cleaned_datasetB[[#This Row],[Day_Code]]=0,Cleaned_datasetB[[#This Row],[Day_Code]]=6),"Weekend","Weekday")</f>
        <v>Weekday</v>
      </c>
      <c r="J760" s="10">
        <v>2</v>
      </c>
      <c r="K760" s="10">
        <v>0.2</v>
      </c>
      <c r="L760" s="51">
        <v>0.2576</v>
      </c>
      <c r="M760" s="10">
        <v>0.44</v>
      </c>
      <c r="N760" s="10">
        <v>0</v>
      </c>
      <c r="O760" s="10">
        <v>3</v>
      </c>
      <c r="P760" s="10">
        <v>10</v>
      </c>
      <c r="Q760" s="10">
        <v>13</v>
      </c>
      <c r="R760" s="10" t="str">
        <f>VLOOKUP(Cleaned_datasetB[[#This Row],[Weather_Code]],Lookup_Tables!$E$9:$F$13,2,FALSE)</f>
        <v>Cloudy</v>
      </c>
      <c r="S760" s="10" t="str">
        <f>INDEX(Lookup_Tables!$I$10:$I$16,MATCH(Cleaned_datasetB[[#This Row],[Day_Code]],Lookup_Tables!$H$10:$H$16,0))</f>
        <v>Friday</v>
      </c>
      <c r="T760" s="10" t="str">
        <f>VLOOKUP(Cleaned_datasetB[[#This Row],[Month]], Lookup_Tables!$K$8:$L$19, 2, FALSE)</f>
        <v>February</v>
      </c>
      <c r="U760" s="10" t="str">
        <f>IF(AND(Cleaned_datasetB[[#This Row],[Day_Type]]="Weekday",Cleaned_datasetB[[#This Row],[Is_Holiday]]=FALSE),"Working Day","Non-Working Day")</f>
        <v>Working Day</v>
      </c>
    </row>
    <row r="761" spans="1:21">
      <c r="A761" s="10">
        <v>760</v>
      </c>
      <c r="B761" s="23">
        <v>40578</v>
      </c>
      <c r="C761" s="10">
        <v>1</v>
      </c>
      <c r="D761" s="10">
        <v>0</v>
      </c>
      <c r="E761" s="10">
        <v>2</v>
      </c>
      <c r="F761" s="10">
        <v>1</v>
      </c>
      <c r="G761" s="10" t="b">
        <v>0</v>
      </c>
      <c r="H761" s="10">
        <v>5</v>
      </c>
      <c r="I761" s="10" t="str">
        <f>IF(OR(Cleaned_datasetB[[#This Row],[Day_Code]]=0,Cleaned_datasetB[[#This Row],[Day_Code]]=6),"Weekend","Weekday")</f>
        <v>Weekday</v>
      </c>
      <c r="J761" s="10">
        <v>2</v>
      </c>
      <c r="K761" s="10">
        <v>0.16</v>
      </c>
      <c r="L761" s="51">
        <v>0.2273</v>
      </c>
      <c r="M761" s="10">
        <v>0.59</v>
      </c>
      <c r="N761" s="10">
        <v>0</v>
      </c>
      <c r="O761" s="10">
        <v>0</v>
      </c>
      <c r="P761" s="10">
        <v>7</v>
      </c>
      <c r="Q761" s="10">
        <v>7</v>
      </c>
      <c r="R761" s="10" t="str">
        <f>VLOOKUP(Cleaned_datasetB[[#This Row],[Weather_Code]],Lookup_Tables!$E$9:$F$13,2,FALSE)</f>
        <v>Cloudy</v>
      </c>
      <c r="S761" s="10" t="str">
        <f>INDEX(Lookup_Tables!$I$10:$I$16,MATCH(Cleaned_datasetB[[#This Row],[Day_Code]],Lookup_Tables!$H$10:$H$16,0))</f>
        <v>Friday</v>
      </c>
      <c r="T761" s="10" t="str">
        <f>VLOOKUP(Cleaned_datasetB[[#This Row],[Month]], Lookup_Tables!$K$8:$L$19, 2, FALSE)</f>
        <v>February</v>
      </c>
      <c r="U761" s="10" t="str">
        <f>IF(AND(Cleaned_datasetB[[#This Row],[Day_Type]]="Weekday",Cleaned_datasetB[[#This Row],[Is_Holiday]]=FALSE),"Working Day","Non-Working Day")</f>
        <v>Working Day</v>
      </c>
    </row>
    <row r="762" spans="1:21">
      <c r="A762" s="10">
        <v>761</v>
      </c>
      <c r="B762" s="23">
        <v>40578</v>
      </c>
      <c r="C762" s="10">
        <v>1</v>
      </c>
      <c r="D762" s="10">
        <v>0</v>
      </c>
      <c r="E762" s="10">
        <v>2</v>
      </c>
      <c r="F762" s="10">
        <v>2</v>
      </c>
      <c r="G762" s="10" t="b">
        <v>0</v>
      </c>
      <c r="H762" s="10">
        <v>5</v>
      </c>
      <c r="I762" s="10" t="str">
        <f>IF(OR(Cleaned_datasetB[[#This Row],[Day_Code]]=0,Cleaned_datasetB[[#This Row],[Day_Code]]=6),"Weekend","Weekday")</f>
        <v>Weekday</v>
      </c>
      <c r="J762" s="10">
        <v>2</v>
      </c>
      <c r="K762" s="10">
        <v>0.14000000000000001</v>
      </c>
      <c r="L762" s="51">
        <v>0.16669999999999999</v>
      </c>
      <c r="M762" s="10">
        <v>0.63</v>
      </c>
      <c r="N762" s="10">
        <v>0.1045</v>
      </c>
      <c r="O762" s="10">
        <v>0</v>
      </c>
      <c r="P762" s="10">
        <v>1</v>
      </c>
      <c r="Q762" s="10">
        <v>1</v>
      </c>
      <c r="R762" s="10" t="str">
        <f>VLOOKUP(Cleaned_datasetB[[#This Row],[Weather_Code]],Lookup_Tables!$E$9:$F$13,2,FALSE)</f>
        <v>Cloudy</v>
      </c>
      <c r="S762" s="10" t="str">
        <f>INDEX(Lookup_Tables!$I$10:$I$16,MATCH(Cleaned_datasetB[[#This Row],[Day_Code]],Lookup_Tables!$H$10:$H$16,0))</f>
        <v>Friday</v>
      </c>
      <c r="T762" s="10" t="str">
        <f>VLOOKUP(Cleaned_datasetB[[#This Row],[Month]], Lookup_Tables!$K$8:$L$19, 2, FALSE)</f>
        <v>February</v>
      </c>
      <c r="U762" s="10" t="str">
        <f>IF(AND(Cleaned_datasetB[[#This Row],[Day_Type]]="Weekday",Cleaned_datasetB[[#This Row],[Is_Holiday]]=FALSE),"Working Day","Non-Working Day")</f>
        <v>Working Day</v>
      </c>
    </row>
    <row r="763" spans="1:21">
      <c r="A763" s="10">
        <v>762</v>
      </c>
      <c r="B763" s="23">
        <v>40578</v>
      </c>
      <c r="C763" s="10">
        <v>1</v>
      </c>
      <c r="D763" s="10">
        <v>0</v>
      </c>
      <c r="E763" s="10">
        <v>2</v>
      </c>
      <c r="F763" s="10">
        <v>3</v>
      </c>
      <c r="G763" s="10" t="b">
        <v>0</v>
      </c>
      <c r="H763" s="10">
        <v>5</v>
      </c>
      <c r="I763" s="10" t="str">
        <f>IF(OR(Cleaned_datasetB[[#This Row],[Day_Code]]=0,Cleaned_datasetB[[#This Row],[Day_Code]]=6),"Weekend","Weekday")</f>
        <v>Weekday</v>
      </c>
      <c r="J763" s="10">
        <v>2</v>
      </c>
      <c r="K763" s="10">
        <v>0.14000000000000001</v>
      </c>
      <c r="L763" s="51">
        <v>0.16669999999999999</v>
      </c>
      <c r="M763" s="10">
        <v>0.63</v>
      </c>
      <c r="N763" s="10">
        <v>0.1045</v>
      </c>
      <c r="O763" s="10">
        <v>0</v>
      </c>
      <c r="P763" s="10">
        <v>1</v>
      </c>
      <c r="Q763" s="10">
        <v>1</v>
      </c>
      <c r="R763" s="10" t="str">
        <f>VLOOKUP(Cleaned_datasetB[[#This Row],[Weather_Code]],Lookup_Tables!$E$9:$F$13,2,FALSE)</f>
        <v>Cloudy</v>
      </c>
      <c r="S763" s="10" t="str">
        <f>INDEX(Lookup_Tables!$I$10:$I$16,MATCH(Cleaned_datasetB[[#This Row],[Day_Code]],Lookup_Tables!$H$10:$H$16,0))</f>
        <v>Friday</v>
      </c>
      <c r="T763" s="10" t="str">
        <f>VLOOKUP(Cleaned_datasetB[[#This Row],[Month]], Lookup_Tables!$K$8:$L$19, 2, FALSE)</f>
        <v>February</v>
      </c>
      <c r="U763" s="10" t="str">
        <f>IF(AND(Cleaned_datasetB[[#This Row],[Day_Type]]="Weekday",Cleaned_datasetB[[#This Row],[Is_Holiday]]=FALSE),"Working Day","Non-Working Day")</f>
        <v>Working Day</v>
      </c>
    </row>
    <row r="764" spans="1:21">
      <c r="A764" s="10">
        <v>763</v>
      </c>
      <c r="B764" s="23">
        <v>40578</v>
      </c>
      <c r="C764" s="10">
        <v>1</v>
      </c>
      <c r="D764" s="10">
        <v>0</v>
      </c>
      <c r="E764" s="10">
        <v>2</v>
      </c>
      <c r="F764" s="10">
        <v>5</v>
      </c>
      <c r="G764" s="10" t="b">
        <v>0</v>
      </c>
      <c r="H764" s="10">
        <v>5</v>
      </c>
      <c r="I764" s="10" t="str">
        <f>IF(OR(Cleaned_datasetB[[#This Row],[Day_Code]]=0,Cleaned_datasetB[[#This Row],[Day_Code]]=6),"Weekend","Weekday")</f>
        <v>Weekday</v>
      </c>
      <c r="J764" s="10">
        <v>2</v>
      </c>
      <c r="K764" s="10">
        <v>0.14000000000000001</v>
      </c>
      <c r="L764" s="51">
        <v>0.1515</v>
      </c>
      <c r="M764" s="10">
        <v>0.63</v>
      </c>
      <c r="N764" s="10">
        <v>0.1343</v>
      </c>
      <c r="O764" s="10">
        <v>0</v>
      </c>
      <c r="P764" s="10">
        <v>7</v>
      </c>
      <c r="Q764" s="10">
        <v>7</v>
      </c>
      <c r="R764" s="10" t="str">
        <f>VLOOKUP(Cleaned_datasetB[[#This Row],[Weather_Code]],Lookup_Tables!$E$9:$F$13,2,FALSE)</f>
        <v>Cloudy</v>
      </c>
      <c r="S764" s="10" t="str">
        <f>INDEX(Lookup_Tables!$I$10:$I$16,MATCH(Cleaned_datasetB[[#This Row],[Day_Code]],Lookup_Tables!$H$10:$H$16,0))</f>
        <v>Friday</v>
      </c>
      <c r="T764" s="10" t="str">
        <f>VLOOKUP(Cleaned_datasetB[[#This Row],[Month]], Lookup_Tables!$K$8:$L$19, 2, FALSE)</f>
        <v>February</v>
      </c>
      <c r="U764" s="10" t="str">
        <f>IF(AND(Cleaned_datasetB[[#This Row],[Day_Type]]="Weekday",Cleaned_datasetB[[#This Row],[Is_Holiday]]=FALSE),"Working Day","Non-Working Day")</f>
        <v>Working Day</v>
      </c>
    </row>
    <row r="765" spans="1:21">
      <c r="A765" s="10">
        <v>764</v>
      </c>
      <c r="B765" s="23">
        <v>40578</v>
      </c>
      <c r="C765" s="10">
        <v>1</v>
      </c>
      <c r="D765" s="10">
        <v>0</v>
      </c>
      <c r="E765" s="10">
        <v>2</v>
      </c>
      <c r="F765" s="10">
        <v>6</v>
      </c>
      <c r="G765" s="10" t="b">
        <v>0</v>
      </c>
      <c r="H765" s="10">
        <v>5</v>
      </c>
      <c r="I765" s="10" t="str">
        <f>IF(OR(Cleaned_datasetB[[#This Row],[Day_Code]]=0,Cleaned_datasetB[[#This Row],[Day_Code]]=6),"Weekend","Weekday")</f>
        <v>Weekday</v>
      </c>
      <c r="J765" s="10">
        <v>2</v>
      </c>
      <c r="K765" s="10">
        <v>0.16</v>
      </c>
      <c r="L765" s="51">
        <v>0.2273</v>
      </c>
      <c r="M765" s="10">
        <v>0.55000000000000004</v>
      </c>
      <c r="N765" s="10">
        <v>0</v>
      </c>
      <c r="O765" s="10">
        <v>2</v>
      </c>
      <c r="P765" s="10">
        <v>26</v>
      </c>
      <c r="Q765" s="10">
        <v>28</v>
      </c>
      <c r="R765" s="10" t="str">
        <f>VLOOKUP(Cleaned_datasetB[[#This Row],[Weather_Code]],Lookup_Tables!$E$9:$F$13,2,FALSE)</f>
        <v>Cloudy</v>
      </c>
      <c r="S765" s="10" t="str">
        <f>INDEX(Lookup_Tables!$I$10:$I$16,MATCH(Cleaned_datasetB[[#This Row],[Day_Code]],Lookup_Tables!$H$10:$H$16,0))</f>
        <v>Friday</v>
      </c>
      <c r="T765" s="10" t="str">
        <f>VLOOKUP(Cleaned_datasetB[[#This Row],[Month]], Lookup_Tables!$K$8:$L$19, 2, FALSE)</f>
        <v>February</v>
      </c>
      <c r="U765" s="10" t="str">
        <f>IF(AND(Cleaned_datasetB[[#This Row],[Day_Type]]="Weekday",Cleaned_datasetB[[#This Row],[Is_Holiday]]=FALSE),"Working Day","Non-Working Day")</f>
        <v>Working Day</v>
      </c>
    </row>
    <row r="766" spans="1:21">
      <c r="A766" s="10">
        <v>765</v>
      </c>
      <c r="B766" s="23">
        <v>40578</v>
      </c>
      <c r="C766" s="10">
        <v>1</v>
      </c>
      <c r="D766" s="10">
        <v>0</v>
      </c>
      <c r="E766" s="10">
        <v>2</v>
      </c>
      <c r="F766" s="10">
        <v>7</v>
      </c>
      <c r="G766" s="10" t="b">
        <v>0</v>
      </c>
      <c r="H766" s="10">
        <v>5</v>
      </c>
      <c r="I766" s="10" t="str">
        <f>IF(OR(Cleaned_datasetB[[#This Row],[Day_Code]]=0,Cleaned_datasetB[[#This Row],[Day_Code]]=6),"Weekend","Weekday")</f>
        <v>Weekday</v>
      </c>
      <c r="J766" s="10">
        <v>1</v>
      </c>
      <c r="K766" s="10">
        <v>0.14000000000000001</v>
      </c>
      <c r="L766" s="51">
        <v>0.21210000000000001</v>
      </c>
      <c r="M766" s="10">
        <v>0.59</v>
      </c>
      <c r="N766" s="10">
        <v>0</v>
      </c>
      <c r="O766" s="10">
        <v>0</v>
      </c>
      <c r="P766" s="10">
        <v>87</v>
      </c>
      <c r="Q766" s="10">
        <v>87</v>
      </c>
      <c r="R766" s="10" t="str">
        <f>VLOOKUP(Cleaned_datasetB[[#This Row],[Weather_Code]],Lookup_Tables!$E$9:$F$13,2,FALSE)</f>
        <v>Clear</v>
      </c>
      <c r="S766" s="10" t="str">
        <f>INDEX(Lookup_Tables!$I$10:$I$16,MATCH(Cleaned_datasetB[[#This Row],[Day_Code]],Lookup_Tables!$H$10:$H$16,0))</f>
        <v>Friday</v>
      </c>
      <c r="T766" s="10" t="str">
        <f>VLOOKUP(Cleaned_datasetB[[#This Row],[Month]], Lookup_Tables!$K$8:$L$19, 2, FALSE)</f>
        <v>February</v>
      </c>
      <c r="U766" s="10" t="str">
        <f>IF(AND(Cleaned_datasetB[[#This Row],[Day_Type]]="Weekday",Cleaned_datasetB[[#This Row],[Is_Holiday]]=FALSE),"Working Day","Non-Working Day")</f>
        <v>Working Day</v>
      </c>
    </row>
    <row r="767" spans="1:21">
      <c r="A767" s="10">
        <v>766</v>
      </c>
      <c r="B767" s="23">
        <v>40578</v>
      </c>
      <c r="C767" s="10">
        <v>1</v>
      </c>
      <c r="D767" s="10">
        <v>0</v>
      </c>
      <c r="E767" s="10">
        <v>2</v>
      </c>
      <c r="F767" s="10">
        <v>8</v>
      </c>
      <c r="G767" s="10" t="b">
        <v>0</v>
      </c>
      <c r="H767" s="10">
        <v>5</v>
      </c>
      <c r="I767" s="10" t="str">
        <f>IF(OR(Cleaned_datasetB[[#This Row],[Day_Code]]=0,Cleaned_datasetB[[#This Row],[Day_Code]]=6),"Weekend","Weekday")</f>
        <v>Weekday</v>
      </c>
      <c r="J767" s="10">
        <v>1</v>
      </c>
      <c r="K767" s="10">
        <v>0.14000000000000001</v>
      </c>
      <c r="L767" s="51">
        <v>0.1515</v>
      </c>
      <c r="M767" s="10">
        <v>0.74</v>
      </c>
      <c r="N767" s="10">
        <v>0.1343</v>
      </c>
      <c r="O767" s="10">
        <v>3</v>
      </c>
      <c r="P767" s="10">
        <v>217</v>
      </c>
      <c r="Q767" s="10">
        <v>220</v>
      </c>
      <c r="R767" s="10" t="str">
        <f>VLOOKUP(Cleaned_datasetB[[#This Row],[Weather_Code]],Lookup_Tables!$E$9:$F$13,2,FALSE)</f>
        <v>Clear</v>
      </c>
      <c r="S767" s="10" t="str">
        <f>INDEX(Lookup_Tables!$I$10:$I$16,MATCH(Cleaned_datasetB[[#This Row],[Day_Code]],Lookup_Tables!$H$10:$H$16,0))</f>
        <v>Friday</v>
      </c>
      <c r="T767" s="10" t="str">
        <f>VLOOKUP(Cleaned_datasetB[[#This Row],[Month]], Lookup_Tables!$K$8:$L$19, 2, FALSE)</f>
        <v>February</v>
      </c>
      <c r="U767" s="10" t="str">
        <f>IF(AND(Cleaned_datasetB[[#This Row],[Day_Type]]="Weekday",Cleaned_datasetB[[#This Row],[Is_Holiday]]=FALSE),"Working Day","Non-Working Day")</f>
        <v>Working Day</v>
      </c>
    </row>
    <row r="768" spans="1:21">
      <c r="A768" s="10">
        <v>767</v>
      </c>
      <c r="B768" s="23">
        <v>40578</v>
      </c>
      <c r="C768" s="10">
        <v>1</v>
      </c>
      <c r="D768" s="10">
        <v>0</v>
      </c>
      <c r="E768" s="10">
        <v>2</v>
      </c>
      <c r="F768" s="10">
        <v>9</v>
      </c>
      <c r="G768" s="10" t="b">
        <v>0</v>
      </c>
      <c r="H768" s="10">
        <v>5</v>
      </c>
      <c r="I768" s="10" t="str">
        <f>IF(OR(Cleaned_datasetB[[#This Row],[Day_Code]]=0,Cleaned_datasetB[[#This Row],[Day_Code]]=6),"Weekend","Weekday")</f>
        <v>Weekday</v>
      </c>
      <c r="J768" s="10">
        <v>2</v>
      </c>
      <c r="K768" s="10">
        <v>0.16</v>
      </c>
      <c r="L768" s="51">
        <v>0.18179999999999999</v>
      </c>
      <c r="M768" s="10">
        <v>0.8</v>
      </c>
      <c r="N768" s="10">
        <v>0.1343</v>
      </c>
      <c r="O768" s="10">
        <v>3</v>
      </c>
      <c r="P768" s="10">
        <v>124</v>
      </c>
      <c r="Q768" s="10">
        <v>127</v>
      </c>
      <c r="R768" s="10" t="str">
        <f>VLOOKUP(Cleaned_datasetB[[#This Row],[Weather_Code]],Lookup_Tables!$E$9:$F$13,2,FALSE)</f>
        <v>Cloudy</v>
      </c>
      <c r="S768" s="10" t="str">
        <f>INDEX(Lookup_Tables!$I$10:$I$16,MATCH(Cleaned_datasetB[[#This Row],[Day_Code]],Lookup_Tables!$H$10:$H$16,0))</f>
        <v>Friday</v>
      </c>
      <c r="T768" s="10" t="str">
        <f>VLOOKUP(Cleaned_datasetB[[#This Row],[Month]], Lookup_Tables!$K$8:$L$19, 2, FALSE)</f>
        <v>February</v>
      </c>
      <c r="U768" s="10" t="str">
        <f>IF(AND(Cleaned_datasetB[[#This Row],[Day_Type]]="Weekday",Cleaned_datasetB[[#This Row],[Is_Holiday]]=FALSE),"Working Day","Non-Working Day")</f>
        <v>Working Day</v>
      </c>
    </row>
    <row r="769" spans="1:21">
      <c r="A769" s="10">
        <v>768</v>
      </c>
      <c r="B769" s="23">
        <v>40578</v>
      </c>
      <c r="C769" s="10">
        <v>1</v>
      </c>
      <c r="D769" s="10">
        <v>0</v>
      </c>
      <c r="E769" s="10">
        <v>2</v>
      </c>
      <c r="F769" s="10">
        <v>10</v>
      </c>
      <c r="G769" s="10" t="b">
        <v>0</v>
      </c>
      <c r="H769" s="10">
        <v>5</v>
      </c>
      <c r="I769" s="10" t="str">
        <f>IF(OR(Cleaned_datasetB[[#This Row],[Day_Code]]=0,Cleaned_datasetB[[#This Row],[Day_Code]]=6),"Weekend","Weekday")</f>
        <v>Weekday</v>
      </c>
      <c r="J769" s="10">
        <v>2</v>
      </c>
      <c r="K769" s="10">
        <v>0.2</v>
      </c>
      <c r="L769" s="51">
        <v>0.21210000000000001</v>
      </c>
      <c r="M769" s="10">
        <v>0.51</v>
      </c>
      <c r="N769" s="10">
        <v>0.1343</v>
      </c>
      <c r="O769" s="10">
        <v>5</v>
      </c>
      <c r="P769" s="10">
        <v>46</v>
      </c>
      <c r="Q769" s="10">
        <v>51</v>
      </c>
      <c r="R769" s="10" t="str">
        <f>VLOOKUP(Cleaned_datasetB[[#This Row],[Weather_Code]],Lookup_Tables!$E$9:$F$13,2,FALSE)</f>
        <v>Cloudy</v>
      </c>
      <c r="S769" s="10" t="str">
        <f>INDEX(Lookup_Tables!$I$10:$I$16,MATCH(Cleaned_datasetB[[#This Row],[Day_Code]],Lookup_Tables!$H$10:$H$16,0))</f>
        <v>Friday</v>
      </c>
      <c r="T769" s="10" t="str">
        <f>VLOOKUP(Cleaned_datasetB[[#This Row],[Month]], Lookup_Tables!$K$8:$L$19, 2, FALSE)</f>
        <v>February</v>
      </c>
      <c r="U769" s="10" t="str">
        <f>IF(AND(Cleaned_datasetB[[#This Row],[Day_Type]]="Weekday",Cleaned_datasetB[[#This Row],[Is_Holiday]]=FALSE),"Working Day","Non-Working Day")</f>
        <v>Working Day</v>
      </c>
    </row>
    <row r="770" spans="1:21">
      <c r="A770" s="10">
        <v>769</v>
      </c>
      <c r="B770" s="23">
        <v>40578</v>
      </c>
      <c r="C770" s="10">
        <v>1</v>
      </c>
      <c r="D770" s="10">
        <v>0</v>
      </c>
      <c r="E770" s="10">
        <v>2</v>
      </c>
      <c r="F770" s="10">
        <v>11</v>
      </c>
      <c r="G770" s="10" t="b">
        <v>0</v>
      </c>
      <c r="H770" s="10">
        <v>5</v>
      </c>
      <c r="I770" s="10" t="str">
        <f>IF(OR(Cleaned_datasetB[[#This Row],[Day_Code]]=0,Cleaned_datasetB[[#This Row],[Day_Code]]=6),"Weekend","Weekday")</f>
        <v>Weekday</v>
      </c>
      <c r="J770" s="10">
        <v>1</v>
      </c>
      <c r="K770" s="10">
        <v>0.22</v>
      </c>
      <c r="L770" s="51">
        <v>0.2273</v>
      </c>
      <c r="M770" s="10">
        <v>0.51</v>
      </c>
      <c r="N770" s="10">
        <v>0.16420000000000001</v>
      </c>
      <c r="O770" s="10">
        <v>3</v>
      </c>
      <c r="P770" s="10">
        <v>61</v>
      </c>
      <c r="Q770" s="10">
        <v>64</v>
      </c>
      <c r="R770" s="10" t="str">
        <f>VLOOKUP(Cleaned_datasetB[[#This Row],[Weather_Code]],Lookup_Tables!$E$9:$F$13,2,FALSE)</f>
        <v>Clear</v>
      </c>
      <c r="S770" s="10" t="str">
        <f>INDEX(Lookup_Tables!$I$10:$I$16,MATCH(Cleaned_datasetB[[#This Row],[Day_Code]],Lookup_Tables!$H$10:$H$16,0))</f>
        <v>Friday</v>
      </c>
      <c r="T770" s="10" t="str">
        <f>VLOOKUP(Cleaned_datasetB[[#This Row],[Month]], Lookup_Tables!$K$8:$L$19, 2, FALSE)</f>
        <v>February</v>
      </c>
      <c r="U770" s="10" t="str">
        <f>IF(AND(Cleaned_datasetB[[#This Row],[Day_Type]]="Weekday",Cleaned_datasetB[[#This Row],[Is_Holiday]]=FALSE),"Working Day","Non-Working Day")</f>
        <v>Working Day</v>
      </c>
    </row>
    <row r="771" spans="1:21">
      <c r="A771" s="10">
        <v>770</v>
      </c>
      <c r="B771" s="23">
        <v>40578</v>
      </c>
      <c r="C771" s="10">
        <v>1</v>
      </c>
      <c r="D771" s="10">
        <v>0</v>
      </c>
      <c r="E771" s="10">
        <v>2</v>
      </c>
      <c r="F771" s="10">
        <v>12</v>
      </c>
      <c r="G771" s="10" t="b">
        <v>0</v>
      </c>
      <c r="H771" s="10">
        <v>5</v>
      </c>
      <c r="I771" s="10" t="str">
        <f>IF(OR(Cleaned_datasetB[[#This Row],[Day_Code]]=0,Cleaned_datasetB[[#This Row],[Day_Code]]=6),"Weekend","Weekday")</f>
        <v>Weekday</v>
      </c>
      <c r="J771" s="10">
        <v>2</v>
      </c>
      <c r="K771" s="10">
        <v>0.24</v>
      </c>
      <c r="L771" s="51">
        <v>0.2424</v>
      </c>
      <c r="M771" s="10">
        <v>0.48</v>
      </c>
      <c r="N771" s="10">
        <v>0.16420000000000001</v>
      </c>
      <c r="O771" s="10">
        <v>8</v>
      </c>
      <c r="P771" s="10">
        <v>78</v>
      </c>
      <c r="Q771" s="10">
        <v>86</v>
      </c>
      <c r="R771" s="10" t="str">
        <f>VLOOKUP(Cleaned_datasetB[[#This Row],[Weather_Code]],Lookup_Tables!$E$9:$F$13,2,FALSE)</f>
        <v>Cloudy</v>
      </c>
      <c r="S771" s="10" t="str">
        <f>INDEX(Lookup_Tables!$I$10:$I$16,MATCH(Cleaned_datasetB[[#This Row],[Day_Code]],Lookup_Tables!$H$10:$H$16,0))</f>
        <v>Friday</v>
      </c>
      <c r="T771" s="10" t="str">
        <f>VLOOKUP(Cleaned_datasetB[[#This Row],[Month]], Lookup_Tables!$K$8:$L$19, 2, FALSE)</f>
        <v>February</v>
      </c>
      <c r="U771" s="10" t="str">
        <f>IF(AND(Cleaned_datasetB[[#This Row],[Day_Type]]="Weekday",Cleaned_datasetB[[#This Row],[Is_Holiday]]=FALSE),"Working Day","Non-Working Day")</f>
        <v>Working Day</v>
      </c>
    </row>
    <row r="772" spans="1:21">
      <c r="A772" s="10">
        <v>771</v>
      </c>
      <c r="B772" s="23">
        <v>40578</v>
      </c>
      <c r="C772" s="10">
        <v>1</v>
      </c>
      <c r="D772" s="10">
        <v>0</v>
      </c>
      <c r="E772" s="10">
        <v>2</v>
      </c>
      <c r="F772" s="10">
        <v>13</v>
      </c>
      <c r="G772" s="10" t="b">
        <v>0</v>
      </c>
      <c r="H772" s="10">
        <v>5</v>
      </c>
      <c r="I772" s="10" t="str">
        <f>IF(OR(Cleaned_datasetB[[#This Row],[Day_Code]]=0,Cleaned_datasetB[[#This Row],[Day_Code]]=6),"Weekend","Weekday")</f>
        <v>Weekday</v>
      </c>
      <c r="J772" s="10">
        <v>2</v>
      </c>
      <c r="K772" s="10">
        <v>0.26</v>
      </c>
      <c r="L772" s="51">
        <v>0.2576</v>
      </c>
      <c r="M772" s="10">
        <v>0.5</v>
      </c>
      <c r="N772" s="10">
        <v>0.22389999999999999</v>
      </c>
      <c r="O772" s="10">
        <v>9</v>
      </c>
      <c r="P772" s="10">
        <v>73</v>
      </c>
      <c r="Q772" s="10">
        <v>82</v>
      </c>
      <c r="R772" s="10" t="str">
        <f>VLOOKUP(Cleaned_datasetB[[#This Row],[Weather_Code]],Lookup_Tables!$E$9:$F$13,2,FALSE)</f>
        <v>Cloudy</v>
      </c>
      <c r="S772" s="10" t="str">
        <f>INDEX(Lookup_Tables!$I$10:$I$16,MATCH(Cleaned_datasetB[[#This Row],[Day_Code]],Lookup_Tables!$H$10:$H$16,0))</f>
        <v>Friday</v>
      </c>
      <c r="T772" s="10" t="str">
        <f>VLOOKUP(Cleaned_datasetB[[#This Row],[Month]], Lookup_Tables!$K$8:$L$19, 2, FALSE)</f>
        <v>February</v>
      </c>
      <c r="U772" s="10" t="str">
        <f>IF(AND(Cleaned_datasetB[[#This Row],[Day_Type]]="Weekday",Cleaned_datasetB[[#This Row],[Is_Holiday]]=FALSE),"Working Day","Non-Working Day")</f>
        <v>Working Day</v>
      </c>
    </row>
    <row r="773" spans="1:21">
      <c r="A773" s="10">
        <v>772</v>
      </c>
      <c r="B773" s="23">
        <v>40578</v>
      </c>
      <c r="C773" s="10">
        <v>1</v>
      </c>
      <c r="D773" s="10">
        <v>0</v>
      </c>
      <c r="E773" s="10">
        <v>2</v>
      </c>
      <c r="F773" s="10">
        <v>14</v>
      </c>
      <c r="G773" s="10" t="b">
        <v>0</v>
      </c>
      <c r="H773" s="10">
        <v>5</v>
      </c>
      <c r="I773" s="10" t="str">
        <f>IF(OR(Cleaned_datasetB[[#This Row],[Day_Code]]=0,Cleaned_datasetB[[#This Row],[Day_Code]]=6),"Weekend","Weekday")</f>
        <v>Weekday</v>
      </c>
      <c r="J773" s="10">
        <v>2</v>
      </c>
      <c r="K773" s="10">
        <v>0.28000000000000003</v>
      </c>
      <c r="L773" s="51">
        <v>0.2727</v>
      </c>
      <c r="M773" s="10">
        <v>0.45</v>
      </c>
      <c r="N773" s="10">
        <v>0.16420000000000001</v>
      </c>
      <c r="O773" s="10">
        <v>15</v>
      </c>
      <c r="P773" s="10">
        <v>76</v>
      </c>
      <c r="Q773" s="10">
        <v>91</v>
      </c>
      <c r="R773" s="10" t="str">
        <f>VLOOKUP(Cleaned_datasetB[[#This Row],[Weather_Code]],Lookup_Tables!$E$9:$F$13,2,FALSE)</f>
        <v>Cloudy</v>
      </c>
      <c r="S773" s="10" t="str">
        <f>INDEX(Lookup_Tables!$I$10:$I$16,MATCH(Cleaned_datasetB[[#This Row],[Day_Code]],Lookup_Tables!$H$10:$H$16,0))</f>
        <v>Friday</v>
      </c>
      <c r="T773" s="10" t="str">
        <f>VLOOKUP(Cleaned_datasetB[[#This Row],[Month]], Lookup_Tables!$K$8:$L$19, 2, FALSE)</f>
        <v>February</v>
      </c>
      <c r="U773" s="10" t="str">
        <f>IF(AND(Cleaned_datasetB[[#This Row],[Day_Type]]="Weekday",Cleaned_datasetB[[#This Row],[Is_Holiday]]=FALSE),"Working Day","Non-Working Day")</f>
        <v>Working Day</v>
      </c>
    </row>
    <row r="774" spans="1:21">
      <c r="A774" s="10">
        <v>773</v>
      </c>
      <c r="B774" s="23">
        <v>40578</v>
      </c>
      <c r="C774" s="10">
        <v>1</v>
      </c>
      <c r="D774" s="10">
        <v>0</v>
      </c>
      <c r="E774" s="10">
        <v>2</v>
      </c>
      <c r="F774" s="10">
        <v>15</v>
      </c>
      <c r="G774" s="10" t="b">
        <v>0</v>
      </c>
      <c r="H774" s="10">
        <v>5</v>
      </c>
      <c r="I774" s="10" t="str">
        <f>IF(OR(Cleaned_datasetB[[#This Row],[Day_Code]]=0,Cleaned_datasetB[[#This Row],[Day_Code]]=6),"Weekend","Weekday")</f>
        <v>Weekday</v>
      </c>
      <c r="J774" s="10">
        <v>2</v>
      </c>
      <c r="K774" s="10">
        <v>0.28000000000000003</v>
      </c>
      <c r="L774" s="51">
        <v>0.2727</v>
      </c>
      <c r="M774" s="10">
        <v>0.48</v>
      </c>
      <c r="N774" s="10">
        <v>0.25369999999999998</v>
      </c>
      <c r="O774" s="10">
        <v>9</v>
      </c>
      <c r="P774" s="10">
        <v>81</v>
      </c>
      <c r="Q774" s="10">
        <v>90</v>
      </c>
      <c r="R774" s="10" t="str">
        <f>VLOOKUP(Cleaned_datasetB[[#This Row],[Weather_Code]],Lookup_Tables!$E$9:$F$13,2,FALSE)</f>
        <v>Cloudy</v>
      </c>
      <c r="S774" s="10" t="str">
        <f>INDEX(Lookup_Tables!$I$10:$I$16,MATCH(Cleaned_datasetB[[#This Row],[Day_Code]],Lookup_Tables!$H$10:$H$16,0))</f>
        <v>Friday</v>
      </c>
      <c r="T774" s="10" t="str">
        <f>VLOOKUP(Cleaned_datasetB[[#This Row],[Month]], Lookup_Tables!$K$8:$L$19, 2, FALSE)</f>
        <v>February</v>
      </c>
      <c r="U774" s="10" t="str">
        <f>IF(AND(Cleaned_datasetB[[#This Row],[Day_Type]]="Weekday",Cleaned_datasetB[[#This Row],[Is_Holiday]]=FALSE),"Working Day","Non-Working Day")</f>
        <v>Working Day</v>
      </c>
    </row>
    <row r="775" spans="1:21">
      <c r="A775" s="10">
        <v>774</v>
      </c>
      <c r="B775" s="23">
        <v>40578</v>
      </c>
      <c r="C775" s="10">
        <v>1</v>
      </c>
      <c r="D775" s="10">
        <v>0</v>
      </c>
      <c r="E775" s="10">
        <v>2</v>
      </c>
      <c r="F775" s="10">
        <v>16</v>
      </c>
      <c r="G775" s="10" t="b">
        <v>0</v>
      </c>
      <c r="H775" s="10">
        <v>5</v>
      </c>
      <c r="I775" s="10" t="str">
        <f>IF(OR(Cleaned_datasetB[[#This Row],[Day_Code]]=0,Cleaned_datasetB[[#This Row],[Day_Code]]=6),"Weekend","Weekday")</f>
        <v>Weekday</v>
      </c>
      <c r="J775" s="10">
        <v>2</v>
      </c>
      <c r="K775" s="10">
        <v>0.3</v>
      </c>
      <c r="L775" s="51">
        <v>0.28789999999999999</v>
      </c>
      <c r="M775" s="10">
        <v>0.42</v>
      </c>
      <c r="N775" s="10">
        <v>0.22389999999999999</v>
      </c>
      <c r="O775" s="10">
        <v>8</v>
      </c>
      <c r="P775" s="10">
        <v>91</v>
      </c>
      <c r="Q775" s="10">
        <v>99</v>
      </c>
      <c r="R775" s="10" t="str">
        <f>VLOOKUP(Cleaned_datasetB[[#This Row],[Weather_Code]],Lookup_Tables!$E$9:$F$13,2,FALSE)</f>
        <v>Cloudy</v>
      </c>
      <c r="S775" s="10" t="str">
        <f>INDEX(Lookup_Tables!$I$10:$I$16,MATCH(Cleaned_datasetB[[#This Row],[Day_Code]],Lookup_Tables!$H$10:$H$16,0))</f>
        <v>Friday</v>
      </c>
      <c r="T775" s="10" t="str">
        <f>VLOOKUP(Cleaned_datasetB[[#This Row],[Month]], Lookup_Tables!$K$8:$L$19, 2, FALSE)</f>
        <v>February</v>
      </c>
      <c r="U775" s="10" t="str">
        <f>IF(AND(Cleaned_datasetB[[#This Row],[Day_Type]]="Weekday",Cleaned_datasetB[[#This Row],[Is_Holiday]]=FALSE),"Working Day","Non-Working Day")</f>
        <v>Working Day</v>
      </c>
    </row>
    <row r="776" spans="1:21">
      <c r="A776" s="10">
        <v>775</v>
      </c>
      <c r="B776" s="23">
        <v>40578</v>
      </c>
      <c r="C776" s="10">
        <v>1</v>
      </c>
      <c r="D776" s="10">
        <v>0</v>
      </c>
      <c r="E776" s="10">
        <v>2</v>
      </c>
      <c r="F776" s="10">
        <v>17</v>
      </c>
      <c r="G776" s="10" t="b">
        <v>0</v>
      </c>
      <c r="H776" s="10">
        <v>5</v>
      </c>
      <c r="I776" s="10" t="str">
        <f>IF(OR(Cleaned_datasetB[[#This Row],[Day_Code]]=0,Cleaned_datasetB[[#This Row],[Day_Code]]=6),"Weekend","Weekday")</f>
        <v>Weekday</v>
      </c>
      <c r="J776" s="10">
        <v>2</v>
      </c>
      <c r="K776" s="10">
        <v>0.26</v>
      </c>
      <c r="L776" s="51">
        <v>0.2727</v>
      </c>
      <c r="M776" s="10">
        <v>0.56000000000000005</v>
      </c>
      <c r="N776" s="10">
        <v>0.1343</v>
      </c>
      <c r="O776" s="10">
        <v>10</v>
      </c>
      <c r="P776" s="10">
        <v>195</v>
      </c>
      <c r="Q776" s="10">
        <v>205</v>
      </c>
      <c r="R776" s="10" t="str">
        <f>VLOOKUP(Cleaned_datasetB[[#This Row],[Weather_Code]],Lookup_Tables!$E$9:$F$13,2,FALSE)</f>
        <v>Cloudy</v>
      </c>
      <c r="S776" s="10" t="str">
        <f>INDEX(Lookup_Tables!$I$10:$I$16,MATCH(Cleaned_datasetB[[#This Row],[Day_Code]],Lookup_Tables!$H$10:$H$16,0))</f>
        <v>Friday</v>
      </c>
      <c r="T776" s="10" t="str">
        <f>VLOOKUP(Cleaned_datasetB[[#This Row],[Month]], Lookup_Tables!$K$8:$L$19, 2, FALSE)</f>
        <v>February</v>
      </c>
      <c r="U776" s="10" t="str">
        <f>IF(AND(Cleaned_datasetB[[#This Row],[Day_Type]]="Weekday",Cleaned_datasetB[[#This Row],[Is_Holiday]]=FALSE),"Working Day","Non-Working Day")</f>
        <v>Working Day</v>
      </c>
    </row>
    <row r="777" spans="1:21">
      <c r="A777" s="10">
        <v>776</v>
      </c>
      <c r="B777" s="23">
        <v>40578</v>
      </c>
      <c r="C777" s="10">
        <v>1</v>
      </c>
      <c r="D777" s="10">
        <v>0</v>
      </c>
      <c r="E777" s="10">
        <v>2</v>
      </c>
      <c r="F777" s="10">
        <v>18</v>
      </c>
      <c r="G777" s="10" t="b">
        <v>0</v>
      </c>
      <c r="H777" s="10">
        <v>5</v>
      </c>
      <c r="I777" s="10" t="str">
        <f>IF(OR(Cleaned_datasetB[[#This Row],[Day_Code]]=0,Cleaned_datasetB[[#This Row],[Day_Code]]=6),"Weekend","Weekday")</f>
        <v>Weekday</v>
      </c>
      <c r="J777" s="10">
        <v>2</v>
      </c>
      <c r="K777" s="10">
        <v>0.24</v>
      </c>
      <c r="L777" s="51">
        <v>0.2576</v>
      </c>
      <c r="M777" s="10">
        <v>0.6</v>
      </c>
      <c r="N777" s="10">
        <v>0.1045</v>
      </c>
      <c r="O777" s="10">
        <v>3</v>
      </c>
      <c r="P777" s="10">
        <v>152</v>
      </c>
      <c r="Q777" s="10">
        <v>155</v>
      </c>
      <c r="R777" s="10" t="str">
        <f>VLOOKUP(Cleaned_datasetB[[#This Row],[Weather_Code]],Lookup_Tables!$E$9:$F$13,2,FALSE)</f>
        <v>Cloudy</v>
      </c>
      <c r="S777" s="10" t="str">
        <f>INDEX(Lookup_Tables!$I$10:$I$16,MATCH(Cleaned_datasetB[[#This Row],[Day_Code]],Lookup_Tables!$H$10:$H$16,0))</f>
        <v>Friday</v>
      </c>
      <c r="T777" s="10" t="str">
        <f>VLOOKUP(Cleaned_datasetB[[#This Row],[Month]], Lookup_Tables!$K$8:$L$19, 2, FALSE)</f>
        <v>February</v>
      </c>
      <c r="U777" s="10" t="str">
        <f>IF(AND(Cleaned_datasetB[[#This Row],[Day_Type]]="Weekday",Cleaned_datasetB[[#This Row],[Is_Holiday]]=FALSE),"Working Day","Non-Working Day")</f>
        <v>Working Day</v>
      </c>
    </row>
    <row r="778" spans="1:21">
      <c r="A778" s="10">
        <v>777</v>
      </c>
      <c r="B778" s="23">
        <v>40578</v>
      </c>
      <c r="C778" s="10">
        <v>1</v>
      </c>
      <c r="D778" s="10">
        <v>0</v>
      </c>
      <c r="E778" s="10">
        <v>2</v>
      </c>
      <c r="F778" s="10">
        <v>19</v>
      </c>
      <c r="G778" s="10" t="b">
        <v>0</v>
      </c>
      <c r="H778" s="10">
        <v>5</v>
      </c>
      <c r="I778" s="10" t="str">
        <f>IF(OR(Cleaned_datasetB[[#This Row],[Day_Code]]=0,Cleaned_datasetB[[#This Row],[Day_Code]]=6),"Weekend","Weekday")</f>
        <v>Weekday</v>
      </c>
      <c r="J778" s="10">
        <v>2</v>
      </c>
      <c r="K778" s="10">
        <v>0.24</v>
      </c>
      <c r="L778" s="51">
        <v>0.2424</v>
      </c>
      <c r="M778" s="10">
        <v>0.65</v>
      </c>
      <c r="N778" s="10">
        <v>0.1343</v>
      </c>
      <c r="O778" s="10">
        <v>1</v>
      </c>
      <c r="P778" s="10">
        <v>102</v>
      </c>
      <c r="Q778" s="10">
        <v>103</v>
      </c>
      <c r="R778" s="10" t="str">
        <f>VLOOKUP(Cleaned_datasetB[[#This Row],[Weather_Code]],Lookup_Tables!$E$9:$F$13,2,FALSE)</f>
        <v>Cloudy</v>
      </c>
      <c r="S778" s="10" t="str">
        <f>INDEX(Lookup_Tables!$I$10:$I$16,MATCH(Cleaned_datasetB[[#This Row],[Day_Code]],Lookup_Tables!$H$10:$H$16,0))</f>
        <v>Friday</v>
      </c>
      <c r="T778" s="10" t="str">
        <f>VLOOKUP(Cleaned_datasetB[[#This Row],[Month]], Lookup_Tables!$K$8:$L$19, 2, FALSE)</f>
        <v>February</v>
      </c>
      <c r="U778" s="10" t="str">
        <f>IF(AND(Cleaned_datasetB[[#This Row],[Day_Type]]="Weekday",Cleaned_datasetB[[#This Row],[Is_Holiday]]=FALSE),"Working Day","Non-Working Day")</f>
        <v>Working Day</v>
      </c>
    </row>
    <row r="779" spans="1:21">
      <c r="A779" s="10">
        <v>778</v>
      </c>
      <c r="B779" s="23">
        <v>40578</v>
      </c>
      <c r="C779" s="10">
        <v>1</v>
      </c>
      <c r="D779" s="10">
        <v>0</v>
      </c>
      <c r="E779" s="10">
        <v>2</v>
      </c>
      <c r="F779" s="10">
        <v>20</v>
      </c>
      <c r="G779" s="10" t="b">
        <v>0</v>
      </c>
      <c r="H779" s="10">
        <v>5</v>
      </c>
      <c r="I779" s="10" t="str">
        <f>IF(OR(Cleaned_datasetB[[#This Row],[Day_Code]]=0,Cleaned_datasetB[[#This Row],[Day_Code]]=6),"Weekend","Weekday")</f>
        <v>Weekday</v>
      </c>
      <c r="J779" s="10">
        <v>2</v>
      </c>
      <c r="K779" s="10">
        <v>0.24</v>
      </c>
      <c r="L779" s="51">
        <v>0.2424</v>
      </c>
      <c r="M779" s="10">
        <v>0.65</v>
      </c>
      <c r="N779" s="10">
        <v>0.16420000000000001</v>
      </c>
      <c r="O779" s="10">
        <v>2</v>
      </c>
      <c r="P779" s="10">
        <v>69</v>
      </c>
      <c r="Q779" s="10">
        <v>71</v>
      </c>
      <c r="R779" s="10" t="str">
        <f>VLOOKUP(Cleaned_datasetB[[#This Row],[Weather_Code]],Lookup_Tables!$E$9:$F$13,2,FALSE)</f>
        <v>Cloudy</v>
      </c>
      <c r="S779" s="10" t="str">
        <f>INDEX(Lookup_Tables!$I$10:$I$16,MATCH(Cleaned_datasetB[[#This Row],[Day_Code]],Lookup_Tables!$H$10:$H$16,0))</f>
        <v>Friday</v>
      </c>
      <c r="T779" s="10" t="str">
        <f>VLOOKUP(Cleaned_datasetB[[#This Row],[Month]], Lookup_Tables!$K$8:$L$19, 2, FALSE)</f>
        <v>February</v>
      </c>
      <c r="U779" s="10" t="str">
        <f>IF(AND(Cleaned_datasetB[[#This Row],[Day_Type]]="Weekday",Cleaned_datasetB[[#This Row],[Is_Holiday]]=FALSE),"Working Day","Non-Working Day")</f>
        <v>Working Day</v>
      </c>
    </row>
    <row r="780" spans="1:21">
      <c r="A780" s="10">
        <v>779</v>
      </c>
      <c r="B780" s="23">
        <v>40578</v>
      </c>
      <c r="C780" s="10">
        <v>1</v>
      </c>
      <c r="D780" s="10">
        <v>0</v>
      </c>
      <c r="E780" s="10">
        <v>2</v>
      </c>
      <c r="F780" s="10">
        <v>21</v>
      </c>
      <c r="G780" s="10" t="b">
        <v>0</v>
      </c>
      <c r="H780" s="10">
        <v>5</v>
      </c>
      <c r="I780" s="10" t="str">
        <f>IF(OR(Cleaned_datasetB[[#This Row],[Day_Code]]=0,Cleaned_datasetB[[#This Row],[Day_Code]]=6),"Weekend","Weekday")</f>
        <v>Weekday</v>
      </c>
      <c r="J780" s="10">
        <v>2</v>
      </c>
      <c r="K780" s="10">
        <v>0.24</v>
      </c>
      <c r="L780" s="51">
        <v>0.2424</v>
      </c>
      <c r="M780" s="10">
        <v>0.7</v>
      </c>
      <c r="N780" s="10">
        <v>0.16420000000000001</v>
      </c>
      <c r="O780" s="10">
        <v>2</v>
      </c>
      <c r="P780" s="10">
        <v>41</v>
      </c>
      <c r="Q780" s="10">
        <v>43</v>
      </c>
      <c r="R780" s="10" t="str">
        <f>VLOOKUP(Cleaned_datasetB[[#This Row],[Weather_Code]],Lookup_Tables!$E$9:$F$13,2,FALSE)</f>
        <v>Cloudy</v>
      </c>
      <c r="S780" s="10" t="str">
        <f>INDEX(Lookup_Tables!$I$10:$I$16,MATCH(Cleaned_datasetB[[#This Row],[Day_Code]],Lookup_Tables!$H$10:$H$16,0))</f>
        <v>Friday</v>
      </c>
      <c r="T780" s="10" t="str">
        <f>VLOOKUP(Cleaned_datasetB[[#This Row],[Month]], Lookup_Tables!$K$8:$L$19, 2, FALSE)</f>
        <v>February</v>
      </c>
      <c r="U780" s="10" t="str">
        <f>IF(AND(Cleaned_datasetB[[#This Row],[Day_Type]]="Weekday",Cleaned_datasetB[[#This Row],[Is_Holiday]]=FALSE),"Working Day","Non-Working Day")</f>
        <v>Working Day</v>
      </c>
    </row>
    <row r="781" spans="1:21">
      <c r="A781" s="10">
        <v>780</v>
      </c>
      <c r="B781" s="23">
        <v>40578</v>
      </c>
      <c r="C781" s="10">
        <v>1</v>
      </c>
      <c r="D781" s="10">
        <v>0</v>
      </c>
      <c r="E781" s="10">
        <v>2</v>
      </c>
      <c r="F781" s="10">
        <v>22</v>
      </c>
      <c r="G781" s="10" t="b">
        <v>0</v>
      </c>
      <c r="H781" s="10">
        <v>5</v>
      </c>
      <c r="I781" s="10" t="str">
        <f>IF(OR(Cleaned_datasetB[[#This Row],[Day_Code]]=0,Cleaned_datasetB[[#This Row],[Day_Code]]=6),"Weekend","Weekday")</f>
        <v>Weekday</v>
      </c>
      <c r="J781" s="10">
        <v>2</v>
      </c>
      <c r="K781" s="10">
        <v>0.24</v>
      </c>
      <c r="L781" s="51">
        <v>0.2424</v>
      </c>
      <c r="M781" s="10">
        <v>0.65</v>
      </c>
      <c r="N781" s="10">
        <v>0.16420000000000001</v>
      </c>
      <c r="O781" s="10">
        <v>1</v>
      </c>
      <c r="P781" s="10">
        <v>45</v>
      </c>
      <c r="Q781" s="10">
        <v>46</v>
      </c>
      <c r="R781" s="10" t="str">
        <f>VLOOKUP(Cleaned_datasetB[[#This Row],[Weather_Code]],Lookup_Tables!$E$9:$F$13,2,FALSE)</f>
        <v>Cloudy</v>
      </c>
      <c r="S781" s="10" t="str">
        <f>INDEX(Lookup_Tables!$I$10:$I$16,MATCH(Cleaned_datasetB[[#This Row],[Day_Code]],Lookup_Tables!$H$10:$H$16,0))</f>
        <v>Friday</v>
      </c>
      <c r="T781" s="10" t="str">
        <f>VLOOKUP(Cleaned_datasetB[[#This Row],[Month]], Lookup_Tables!$K$8:$L$19, 2, FALSE)</f>
        <v>February</v>
      </c>
      <c r="U781" s="10" t="str">
        <f>IF(AND(Cleaned_datasetB[[#This Row],[Day_Type]]="Weekday",Cleaned_datasetB[[#This Row],[Is_Holiday]]=FALSE),"Working Day","Non-Working Day")</f>
        <v>Working Day</v>
      </c>
    </row>
    <row r="782" spans="1:21">
      <c r="A782" s="10">
        <v>781</v>
      </c>
      <c r="B782" s="23">
        <v>40578</v>
      </c>
      <c r="C782" s="10">
        <v>1</v>
      </c>
      <c r="D782" s="10">
        <v>0</v>
      </c>
      <c r="E782" s="10">
        <v>2</v>
      </c>
      <c r="F782" s="10">
        <v>23</v>
      </c>
      <c r="G782" s="10" t="b">
        <v>0</v>
      </c>
      <c r="H782" s="10">
        <v>5</v>
      </c>
      <c r="I782" s="10" t="str">
        <f>IF(OR(Cleaned_datasetB[[#This Row],[Day_Code]]=0,Cleaned_datasetB[[#This Row],[Day_Code]]=6),"Weekend","Weekday")</f>
        <v>Weekday</v>
      </c>
      <c r="J782" s="10">
        <v>2</v>
      </c>
      <c r="K782" s="10">
        <v>0.24</v>
      </c>
      <c r="L782" s="51">
        <v>0.2424</v>
      </c>
      <c r="M782" s="10">
        <v>0.7</v>
      </c>
      <c r="N782" s="10">
        <v>0.1343</v>
      </c>
      <c r="O782" s="10">
        <v>1</v>
      </c>
      <c r="P782" s="10">
        <v>30</v>
      </c>
      <c r="Q782" s="10">
        <v>31</v>
      </c>
      <c r="R782" s="10" t="str">
        <f>VLOOKUP(Cleaned_datasetB[[#This Row],[Weather_Code]],Lookup_Tables!$E$9:$F$13,2,FALSE)</f>
        <v>Cloudy</v>
      </c>
      <c r="S782" s="10" t="str">
        <f>INDEX(Lookup_Tables!$I$10:$I$16,MATCH(Cleaned_datasetB[[#This Row],[Day_Code]],Lookup_Tables!$H$10:$H$16,0))</f>
        <v>Friday</v>
      </c>
      <c r="T782" s="10" t="str">
        <f>VLOOKUP(Cleaned_datasetB[[#This Row],[Month]], Lookup_Tables!$K$8:$L$19, 2, FALSE)</f>
        <v>February</v>
      </c>
      <c r="U782" s="10" t="str">
        <f>IF(AND(Cleaned_datasetB[[#This Row],[Day_Type]]="Weekday",Cleaned_datasetB[[#This Row],[Is_Holiday]]=FALSE),"Working Day","Non-Working Day")</f>
        <v>Working Day</v>
      </c>
    </row>
    <row r="783" spans="1:21">
      <c r="A783" s="10">
        <v>782</v>
      </c>
      <c r="B783" s="23">
        <v>40579</v>
      </c>
      <c r="C783" s="10">
        <v>1</v>
      </c>
      <c r="D783" s="10">
        <v>0</v>
      </c>
      <c r="E783" s="10">
        <v>2</v>
      </c>
      <c r="F783" s="10">
        <v>0</v>
      </c>
      <c r="G783" s="10" t="b">
        <v>0</v>
      </c>
      <c r="H783" s="10">
        <v>6</v>
      </c>
      <c r="I783" s="10" t="str">
        <f>IF(OR(Cleaned_datasetB[[#This Row],[Day_Code]]=0,Cleaned_datasetB[[#This Row],[Day_Code]]=6),"Weekend","Weekday")</f>
        <v>Weekend</v>
      </c>
      <c r="J783" s="10">
        <v>2</v>
      </c>
      <c r="K783" s="10">
        <v>0.24</v>
      </c>
      <c r="L783" s="51">
        <v>0.2424</v>
      </c>
      <c r="M783" s="10">
        <v>0.7</v>
      </c>
      <c r="N783" s="10">
        <v>0.16420000000000001</v>
      </c>
      <c r="O783" s="10">
        <v>3</v>
      </c>
      <c r="P783" s="10">
        <v>36</v>
      </c>
      <c r="Q783" s="10">
        <v>39</v>
      </c>
      <c r="R783" s="10" t="str">
        <f>VLOOKUP(Cleaned_datasetB[[#This Row],[Weather_Code]],Lookup_Tables!$E$9:$F$13,2,FALSE)</f>
        <v>Cloudy</v>
      </c>
      <c r="S783" s="10" t="str">
        <f>INDEX(Lookup_Tables!$I$10:$I$16,MATCH(Cleaned_datasetB[[#This Row],[Day_Code]],Lookup_Tables!$H$10:$H$16,0))</f>
        <v>Saturday</v>
      </c>
      <c r="T783" s="10" t="str">
        <f>VLOOKUP(Cleaned_datasetB[[#This Row],[Month]], Lookup_Tables!$K$8:$L$19, 2, FALSE)</f>
        <v>February</v>
      </c>
      <c r="U783" s="10" t="str">
        <f>IF(AND(Cleaned_datasetB[[#This Row],[Day_Type]]="Weekday",Cleaned_datasetB[[#This Row],[Is_Holiday]]=FALSE),"Working Day","Non-Working Day")</f>
        <v>Non-Working Day</v>
      </c>
    </row>
    <row r="784" spans="1:21">
      <c r="A784" s="10">
        <v>783</v>
      </c>
      <c r="B784" s="23">
        <v>40579</v>
      </c>
      <c r="C784" s="10">
        <v>1</v>
      </c>
      <c r="D784" s="10">
        <v>0</v>
      </c>
      <c r="E784" s="10">
        <v>2</v>
      </c>
      <c r="F784" s="10">
        <v>1</v>
      </c>
      <c r="G784" s="10" t="b">
        <v>0</v>
      </c>
      <c r="H784" s="10">
        <v>6</v>
      </c>
      <c r="I784" s="10" t="str">
        <f>IF(OR(Cleaned_datasetB[[#This Row],[Day_Code]]=0,Cleaned_datasetB[[#This Row],[Day_Code]]=6),"Weekend","Weekday")</f>
        <v>Weekend</v>
      </c>
      <c r="J784" s="10">
        <v>2</v>
      </c>
      <c r="K784" s="10">
        <v>0.24</v>
      </c>
      <c r="L784" s="51">
        <v>0.2424</v>
      </c>
      <c r="M784" s="10">
        <v>0.65</v>
      </c>
      <c r="N784" s="10">
        <v>0.16420000000000001</v>
      </c>
      <c r="O784" s="10">
        <v>1</v>
      </c>
      <c r="P784" s="10">
        <v>17</v>
      </c>
      <c r="Q784" s="10">
        <v>18</v>
      </c>
      <c r="R784" s="10" t="str">
        <f>VLOOKUP(Cleaned_datasetB[[#This Row],[Weather_Code]],Lookup_Tables!$E$9:$F$13,2,FALSE)</f>
        <v>Cloudy</v>
      </c>
      <c r="S784" s="10" t="str">
        <f>INDEX(Lookup_Tables!$I$10:$I$16,MATCH(Cleaned_datasetB[[#This Row],[Day_Code]],Lookup_Tables!$H$10:$H$16,0))</f>
        <v>Saturday</v>
      </c>
      <c r="T784" s="10" t="str">
        <f>VLOOKUP(Cleaned_datasetB[[#This Row],[Month]], Lookup_Tables!$K$8:$L$19, 2, FALSE)</f>
        <v>February</v>
      </c>
      <c r="U784" s="10" t="str">
        <f>IF(AND(Cleaned_datasetB[[#This Row],[Day_Type]]="Weekday",Cleaned_datasetB[[#This Row],[Is_Holiday]]=FALSE),"Working Day","Non-Working Day")</f>
        <v>Non-Working Day</v>
      </c>
    </row>
    <row r="785" spans="1:21">
      <c r="A785" s="10">
        <v>784</v>
      </c>
      <c r="B785" s="23">
        <v>40579</v>
      </c>
      <c r="C785" s="10">
        <v>1</v>
      </c>
      <c r="D785" s="10">
        <v>0</v>
      </c>
      <c r="E785" s="10">
        <v>2</v>
      </c>
      <c r="F785" s="10">
        <v>2</v>
      </c>
      <c r="G785" s="10" t="b">
        <v>0</v>
      </c>
      <c r="H785" s="10">
        <v>6</v>
      </c>
      <c r="I785" s="10" t="str">
        <f>IF(OR(Cleaned_datasetB[[#This Row],[Day_Code]]=0,Cleaned_datasetB[[#This Row],[Day_Code]]=6),"Weekend","Weekday")</f>
        <v>Weekend</v>
      </c>
      <c r="J785" s="10">
        <v>2</v>
      </c>
      <c r="K785" s="10">
        <v>0.24</v>
      </c>
      <c r="L785" s="51">
        <v>0.2424</v>
      </c>
      <c r="M785" s="10">
        <v>0.75</v>
      </c>
      <c r="N785" s="10">
        <v>0.16420000000000001</v>
      </c>
      <c r="O785" s="10">
        <v>5</v>
      </c>
      <c r="P785" s="10">
        <v>12</v>
      </c>
      <c r="Q785" s="10">
        <v>17</v>
      </c>
      <c r="R785" s="10" t="str">
        <f>VLOOKUP(Cleaned_datasetB[[#This Row],[Weather_Code]],Lookup_Tables!$E$9:$F$13,2,FALSE)</f>
        <v>Cloudy</v>
      </c>
      <c r="S785" s="10" t="str">
        <f>INDEX(Lookup_Tables!$I$10:$I$16,MATCH(Cleaned_datasetB[[#This Row],[Day_Code]],Lookup_Tables!$H$10:$H$16,0))</f>
        <v>Saturday</v>
      </c>
      <c r="T785" s="10" t="str">
        <f>VLOOKUP(Cleaned_datasetB[[#This Row],[Month]], Lookup_Tables!$K$8:$L$19, 2, FALSE)</f>
        <v>February</v>
      </c>
      <c r="U785" s="10" t="str">
        <f>IF(AND(Cleaned_datasetB[[#This Row],[Day_Type]]="Weekday",Cleaned_datasetB[[#This Row],[Is_Holiday]]=FALSE),"Working Day","Non-Working Day")</f>
        <v>Non-Working Day</v>
      </c>
    </row>
    <row r="786" spans="1:21">
      <c r="A786" s="10">
        <v>785</v>
      </c>
      <c r="B786" s="23">
        <v>40579</v>
      </c>
      <c r="C786" s="10">
        <v>1</v>
      </c>
      <c r="D786" s="10">
        <v>0</v>
      </c>
      <c r="E786" s="10">
        <v>2</v>
      </c>
      <c r="F786" s="10">
        <v>3</v>
      </c>
      <c r="G786" s="10" t="b">
        <v>0</v>
      </c>
      <c r="H786" s="10">
        <v>6</v>
      </c>
      <c r="I786" s="10" t="str">
        <f>IF(OR(Cleaned_datasetB[[#This Row],[Day_Code]]=0,Cleaned_datasetB[[#This Row],[Day_Code]]=6),"Weekend","Weekday")</f>
        <v>Weekend</v>
      </c>
      <c r="J786" s="10">
        <v>2</v>
      </c>
      <c r="K786" s="10">
        <v>0.24</v>
      </c>
      <c r="L786" s="51">
        <v>0.2424</v>
      </c>
      <c r="M786" s="10">
        <v>0.75</v>
      </c>
      <c r="N786" s="10">
        <v>0.16420000000000001</v>
      </c>
      <c r="O786" s="10">
        <v>1</v>
      </c>
      <c r="P786" s="10">
        <v>10</v>
      </c>
      <c r="Q786" s="10">
        <v>11</v>
      </c>
      <c r="R786" s="10" t="str">
        <f>VLOOKUP(Cleaned_datasetB[[#This Row],[Weather_Code]],Lookup_Tables!$E$9:$F$13,2,FALSE)</f>
        <v>Cloudy</v>
      </c>
      <c r="S786" s="10" t="str">
        <f>INDEX(Lookup_Tables!$I$10:$I$16,MATCH(Cleaned_datasetB[[#This Row],[Day_Code]],Lookup_Tables!$H$10:$H$16,0))</f>
        <v>Saturday</v>
      </c>
      <c r="T786" s="10" t="str">
        <f>VLOOKUP(Cleaned_datasetB[[#This Row],[Month]], Lookup_Tables!$K$8:$L$19, 2, FALSE)</f>
        <v>February</v>
      </c>
      <c r="U786" s="10" t="str">
        <f>IF(AND(Cleaned_datasetB[[#This Row],[Day_Type]]="Weekday",Cleaned_datasetB[[#This Row],[Is_Holiday]]=FALSE),"Working Day","Non-Working Day")</f>
        <v>Non-Working Day</v>
      </c>
    </row>
    <row r="787" spans="1:21">
      <c r="A787" s="10">
        <v>786</v>
      </c>
      <c r="B787" s="23">
        <v>40579</v>
      </c>
      <c r="C787" s="10">
        <v>1</v>
      </c>
      <c r="D787" s="10">
        <v>0</v>
      </c>
      <c r="E787" s="10">
        <v>2</v>
      </c>
      <c r="F787" s="10">
        <v>4</v>
      </c>
      <c r="G787" s="10" t="b">
        <v>0</v>
      </c>
      <c r="H787" s="10">
        <v>6</v>
      </c>
      <c r="I787" s="10" t="str">
        <f>IF(OR(Cleaned_datasetB[[#This Row],[Day_Code]]=0,Cleaned_datasetB[[#This Row],[Day_Code]]=6),"Weekend","Weekday")</f>
        <v>Weekend</v>
      </c>
      <c r="J787" s="10">
        <v>3</v>
      </c>
      <c r="K787" s="10">
        <v>0.22</v>
      </c>
      <c r="L787" s="51">
        <v>0.2273</v>
      </c>
      <c r="M787" s="10">
        <v>0.93</v>
      </c>
      <c r="N787" s="10">
        <v>0.1343</v>
      </c>
      <c r="O787" s="10">
        <v>0</v>
      </c>
      <c r="P787" s="10">
        <v>8</v>
      </c>
      <c r="Q787" s="10">
        <v>8</v>
      </c>
      <c r="R787" s="10" t="str">
        <f>VLOOKUP(Cleaned_datasetB[[#This Row],[Weather_Code]],Lookup_Tables!$E$9:$F$13,2,FALSE)</f>
        <v>Light Rain</v>
      </c>
      <c r="S787" s="10" t="str">
        <f>INDEX(Lookup_Tables!$I$10:$I$16,MATCH(Cleaned_datasetB[[#This Row],[Day_Code]],Lookup_Tables!$H$10:$H$16,0))</f>
        <v>Saturday</v>
      </c>
      <c r="T787" s="10" t="str">
        <f>VLOOKUP(Cleaned_datasetB[[#This Row],[Month]], Lookup_Tables!$K$8:$L$19, 2, FALSE)</f>
        <v>February</v>
      </c>
      <c r="U787" s="10" t="str">
        <f>IF(AND(Cleaned_datasetB[[#This Row],[Day_Type]]="Weekday",Cleaned_datasetB[[#This Row],[Is_Holiday]]=FALSE),"Working Day","Non-Working Day")</f>
        <v>Non-Working Day</v>
      </c>
    </row>
    <row r="788" spans="1:21">
      <c r="A788" s="10">
        <v>787</v>
      </c>
      <c r="B788" s="23">
        <v>40579</v>
      </c>
      <c r="C788" s="10">
        <v>1</v>
      </c>
      <c r="D788" s="10">
        <v>0</v>
      </c>
      <c r="E788" s="10">
        <v>2</v>
      </c>
      <c r="F788" s="10">
        <v>5</v>
      </c>
      <c r="G788" s="10" t="b">
        <v>0</v>
      </c>
      <c r="H788" s="10">
        <v>6</v>
      </c>
      <c r="I788" s="10" t="str">
        <f>IF(OR(Cleaned_datasetB[[#This Row],[Day_Code]]=0,Cleaned_datasetB[[#This Row],[Day_Code]]=6),"Weekend","Weekday")</f>
        <v>Weekend</v>
      </c>
      <c r="J788" s="10">
        <v>3</v>
      </c>
      <c r="K788" s="10">
        <v>0.2</v>
      </c>
      <c r="L788" s="51">
        <v>0.2273</v>
      </c>
      <c r="M788" s="10">
        <v>1</v>
      </c>
      <c r="N788" s="10">
        <v>8.9599999999999999E-2</v>
      </c>
      <c r="O788" s="10">
        <v>0</v>
      </c>
      <c r="P788" s="10">
        <v>9</v>
      </c>
      <c r="Q788" s="10">
        <v>9</v>
      </c>
      <c r="R788" s="10" t="str">
        <f>VLOOKUP(Cleaned_datasetB[[#This Row],[Weather_Code]],Lookup_Tables!$E$9:$F$13,2,FALSE)</f>
        <v>Light Rain</v>
      </c>
      <c r="S788" s="10" t="str">
        <f>INDEX(Lookup_Tables!$I$10:$I$16,MATCH(Cleaned_datasetB[[#This Row],[Day_Code]],Lookup_Tables!$H$10:$H$16,0))</f>
        <v>Saturday</v>
      </c>
      <c r="T788" s="10" t="str">
        <f>VLOOKUP(Cleaned_datasetB[[#This Row],[Month]], Lookup_Tables!$K$8:$L$19, 2, FALSE)</f>
        <v>February</v>
      </c>
      <c r="U788" s="10" t="str">
        <f>IF(AND(Cleaned_datasetB[[#This Row],[Day_Type]]="Weekday",Cleaned_datasetB[[#This Row],[Is_Holiday]]=FALSE),"Working Day","Non-Working Day")</f>
        <v>Non-Working Day</v>
      </c>
    </row>
    <row r="789" spans="1:21">
      <c r="A789" s="10">
        <v>788</v>
      </c>
      <c r="B789" s="23">
        <v>40579</v>
      </c>
      <c r="C789" s="10">
        <v>1</v>
      </c>
      <c r="D789" s="10">
        <v>0</v>
      </c>
      <c r="E789" s="10">
        <v>2</v>
      </c>
      <c r="F789" s="10">
        <v>6</v>
      </c>
      <c r="G789" s="10" t="b">
        <v>0</v>
      </c>
      <c r="H789" s="10">
        <v>6</v>
      </c>
      <c r="I789" s="10" t="str">
        <f>IF(OR(Cleaned_datasetB[[#This Row],[Day_Code]]=0,Cleaned_datasetB[[#This Row],[Day_Code]]=6),"Weekend","Weekday")</f>
        <v>Weekend</v>
      </c>
      <c r="J789" s="10">
        <v>3</v>
      </c>
      <c r="K789" s="10">
        <v>0.2</v>
      </c>
      <c r="L789" s="51">
        <v>0.2576</v>
      </c>
      <c r="M789" s="10">
        <v>1</v>
      </c>
      <c r="N789" s="10">
        <v>0</v>
      </c>
      <c r="O789" s="10">
        <v>0</v>
      </c>
      <c r="P789" s="10">
        <v>4</v>
      </c>
      <c r="Q789" s="10">
        <v>4</v>
      </c>
      <c r="R789" s="10" t="str">
        <f>VLOOKUP(Cleaned_datasetB[[#This Row],[Weather_Code]],Lookup_Tables!$E$9:$F$13,2,FALSE)</f>
        <v>Light Rain</v>
      </c>
      <c r="S789" s="10" t="str">
        <f>INDEX(Lookup_Tables!$I$10:$I$16,MATCH(Cleaned_datasetB[[#This Row],[Day_Code]],Lookup_Tables!$H$10:$H$16,0))</f>
        <v>Saturday</v>
      </c>
      <c r="T789" s="10" t="str">
        <f>VLOOKUP(Cleaned_datasetB[[#This Row],[Month]], Lookup_Tables!$K$8:$L$19, 2, FALSE)</f>
        <v>February</v>
      </c>
      <c r="U789" s="10" t="str">
        <f>IF(AND(Cleaned_datasetB[[#This Row],[Day_Type]]="Weekday",Cleaned_datasetB[[#This Row],[Is_Holiday]]=FALSE),"Working Day","Non-Working Day")</f>
        <v>Non-Working Day</v>
      </c>
    </row>
    <row r="790" spans="1:21">
      <c r="A790" s="10">
        <v>789</v>
      </c>
      <c r="B790" s="23">
        <v>40579</v>
      </c>
      <c r="C790" s="10">
        <v>1</v>
      </c>
      <c r="D790" s="10">
        <v>0</v>
      </c>
      <c r="E790" s="10">
        <v>2</v>
      </c>
      <c r="F790" s="10">
        <v>7</v>
      </c>
      <c r="G790" s="10" t="b">
        <v>0</v>
      </c>
      <c r="H790" s="10">
        <v>6</v>
      </c>
      <c r="I790" s="10" t="str">
        <f>IF(OR(Cleaned_datasetB[[#This Row],[Day_Code]]=0,Cleaned_datasetB[[#This Row],[Day_Code]]=6),"Weekend","Weekday")</f>
        <v>Weekend</v>
      </c>
      <c r="J790" s="10">
        <v>3</v>
      </c>
      <c r="K790" s="10">
        <v>0.22</v>
      </c>
      <c r="L790" s="51">
        <v>0.2576</v>
      </c>
      <c r="M790" s="10">
        <v>0.93</v>
      </c>
      <c r="N790" s="10">
        <v>8.9599999999999999E-2</v>
      </c>
      <c r="O790" s="10">
        <v>0</v>
      </c>
      <c r="P790" s="10">
        <v>4</v>
      </c>
      <c r="Q790" s="10">
        <v>4</v>
      </c>
      <c r="R790" s="10" t="str">
        <f>VLOOKUP(Cleaned_datasetB[[#This Row],[Weather_Code]],Lookup_Tables!$E$9:$F$13,2,FALSE)</f>
        <v>Light Rain</v>
      </c>
      <c r="S790" s="10" t="str">
        <f>INDEX(Lookup_Tables!$I$10:$I$16,MATCH(Cleaned_datasetB[[#This Row],[Day_Code]],Lookup_Tables!$H$10:$H$16,0))</f>
        <v>Saturday</v>
      </c>
      <c r="T790" s="10" t="str">
        <f>VLOOKUP(Cleaned_datasetB[[#This Row],[Month]], Lookup_Tables!$K$8:$L$19, 2, FALSE)</f>
        <v>February</v>
      </c>
      <c r="U790" s="10" t="str">
        <f>IF(AND(Cleaned_datasetB[[#This Row],[Day_Type]]="Weekday",Cleaned_datasetB[[#This Row],[Is_Holiday]]=FALSE),"Working Day","Non-Working Day")</f>
        <v>Non-Working Day</v>
      </c>
    </row>
    <row r="791" spans="1:21">
      <c r="A791" s="10">
        <v>790</v>
      </c>
      <c r="B791" s="23">
        <v>40579</v>
      </c>
      <c r="C791" s="10">
        <v>1</v>
      </c>
      <c r="D791" s="10">
        <v>0</v>
      </c>
      <c r="E791" s="10">
        <v>2</v>
      </c>
      <c r="F791" s="10">
        <v>8</v>
      </c>
      <c r="G791" s="10" t="b">
        <v>0</v>
      </c>
      <c r="H791" s="10">
        <v>6</v>
      </c>
      <c r="I791" s="10" t="str">
        <f>IF(OR(Cleaned_datasetB[[#This Row],[Day_Code]]=0,Cleaned_datasetB[[#This Row],[Day_Code]]=6),"Weekend","Weekday")</f>
        <v>Weekend</v>
      </c>
      <c r="J791" s="10">
        <v>3</v>
      </c>
      <c r="K791" s="10">
        <v>0.2</v>
      </c>
      <c r="L791" s="51">
        <v>0.2273</v>
      </c>
      <c r="M791" s="10">
        <v>1</v>
      </c>
      <c r="N791" s="10">
        <v>8.9599999999999999E-2</v>
      </c>
      <c r="O791" s="10">
        <v>0</v>
      </c>
      <c r="P791" s="10">
        <v>10</v>
      </c>
      <c r="Q791" s="10">
        <v>10</v>
      </c>
      <c r="R791" s="10" t="str">
        <f>VLOOKUP(Cleaned_datasetB[[#This Row],[Weather_Code]],Lookup_Tables!$E$9:$F$13,2,FALSE)</f>
        <v>Light Rain</v>
      </c>
      <c r="S791" s="10" t="str">
        <f>INDEX(Lookup_Tables!$I$10:$I$16,MATCH(Cleaned_datasetB[[#This Row],[Day_Code]],Lookup_Tables!$H$10:$H$16,0))</f>
        <v>Saturday</v>
      </c>
      <c r="T791" s="10" t="str">
        <f>VLOOKUP(Cleaned_datasetB[[#This Row],[Month]], Lookup_Tables!$K$8:$L$19, 2, FALSE)</f>
        <v>February</v>
      </c>
      <c r="U791" s="10" t="str">
        <f>IF(AND(Cleaned_datasetB[[#This Row],[Day_Type]]="Weekday",Cleaned_datasetB[[#This Row],[Is_Holiday]]=FALSE),"Working Day","Non-Working Day")</f>
        <v>Non-Working Day</v>
      </c>
    </row>
    <row r="792" spans="1:21">
      <c r="A792" s="10">
        <v>791</v>
      </c>
      <c r="B792" s="23">
        <v>40579</v>
      </c>
      <c r="C792" s="10">
        <v>1</v>
      </c>
      <c r="D792" s="10">
        <v>0</v>
      </c>
      <c r="E792" s="10">
        <v>2</v>
      </c>
      <c r="F792" s="10">
        <v>9</v>
      </c>
      <c r="G792" s="10" t="b">
        <v>0</v>
      </c>
      <c r="H792" s="10">
        <v>6</v>
      </c>
      <c r="I792" s="10" t="str">
        <f>IF(OR(Cleaned_datasetB[[#This Row],[Day_Code]]=0,Cleaned_datasetB[[#This Row],[Day_Code]]=6),"Weekend","Weekday")</f>
        <v>Weekend</v>
      </c>
      <c r="J792" s="10">
        <v>3</v>
      </c>
      <c r="K792" s="10">
        <v>0.2</v>
      </c>
      <c r="L792" s="51">
        <v>0.2273</v>
      </c>
      <c r="M792" s="10">
        <v>1</v>
      </c>
      <c r="N792" s="10">
        <v>8.9599999999999999E-2</v>
      </c>
      <c r="O792" s="10">
        <v>3</v>
      </c>
      <c r="P792" s="10">
        <v>17</v>
      </c>
      <c r="Q792" s="10">
        <v>20</v>
      </c>
      <c r="R792" s="10" t="str">
        <f>VLOOKUP(Cleaned_datasetB[[#This Row],[Weather_Code]],Lookup_Tables!$E$9:$F$13,2,FALSE)</f>
        <v>Light Rain</v>
      </c>
      <c r="S792" s="10" t="str">
        <f>INDEX(Lookup_Tables!$I$10:$I$16,MATCH(Cleaned_datasetB[[#This Row],[Day_Code]],Lookup_Tables!$H$10:$H$16,0))</f>
        <v>Saturday</v>
      </c>
      <c r="T792" s="10" t="str">
        <f>VLOOKUP(Cleaned_datasetB[[#This Row],[Month]], Lookup_Tables!$K$8:$L$19, 2, FALSE)</f>
        <v>February</v>
      </c>
      <c r="U792" s="10" t="str">
        <f>IF(AND(Cleaned_datasetB[[#This Row],[Day_Type]]="Weekday",Cleaned_datasetB[[#This Row],[Is_Holiday]]=FALSE),"Working Day","Non-Working Day")</f>
        <v>Non-Working Day</v>
      </c>
    </row>
    <row r="793" spans="1:21">
      <c r="A793" s="10">
        <v>792</v>
      </c>
      <c r="B793" s="23">
        <v>40579</v>
      </c>
      <c r="C793" s="10">
        <v>1</v>
      </c>
      <c r="D793" s="10">
        <v>0</v>
      </c>
      <c r="E793" s="10">
        <v>2</v>
      </c>
      <c r="F793" s="10">
        <v>10</v>
      </c>
      <c r="G793" s="10" t="b">
        <v>0</v>
      </c>
      <c r="H793" s="10">
        <v>6</v>
      </c>
      <c r="I793" s="10" t="str">
        <f>IF(OR(Cleaned_datasetB[[#This Row],[Day_Code]]=0,Cleaned_datasetB[[#This Row],[Day_Code]]=6),"Weekend","Weekday")</f>
        <v>Weekend</v>
      </c>
      <c r="J793" s="10">
        <v>3</v>
      </c>
      <c r="K793" s="10">
        <v>0.2</v>
      </c>
      <c r="L793" s="51">
        <v>0.21210000000000001</v>
      </c>
      <c r="M793" s="10">
        <v>1</v>
      </c>
      <c r="N793" s="10">
        <v>0.1343</v>
      </c>
      <c r="O793" s="10">
        <v>3</v>
      </c>
      <c r="P793" s="10">
        <v>31</v>
      </c>
      <c r="Q793" s="10">
        <v>34</v>
      </c>
      <c r="R793" s="10" t="str">
        <f>VLOOKUP(Cleaned_datasetB[[#This Row],[Weather_Code]],Lookup_Tables!$E$9:$F$13,2,FALSE)</f>
        <v>Light Rain</v>
      </c>
      <c r="S793" s="10" t="str">
        <f>INDEX(Lookup_Tables!$I$10:$I$16,MATCH(Cleaned_datasetB[[#This Row],[Day_Code]],Lookup_Tables!$H$10:$H$16,0))</f>
        <v>Saturday</v>
      </c>
      <c r="T793" s="10" t="str">
        <f>VLOOKUP(Cleaned_datasetB[[#This Row],[Month]], Lookup_Tables!$K$8:$L$19, 2, FALSE)</f>
        <v>February</v>
      </c>
      <c r="U793" s="10" t="str">
        <f>IF(AND(Cleaned_datasetB[[#This Row],[Day_Type]]="Weekday",Cleaned_datasetB[[#This Row],[Is_Holiday]]=FALSE),"Working Day","Non-Working Day")</f>
        <v>Non-Working Day</v>
      </c>
    </row>
    <row r="794" spans="1:21">
      <c r="A794" s="10">
        <v>793</v>
      </c>
      <c r="B794" s="23">
        <v>40579</v>
      </c>
      <c r="C794" s="10">
        <v>1</v>
      </c>
      <c r="D794" s="10">
        <v>0</v>
      </c>
      <c r="E794" s="10">
        <v>2</v>
      </c>
      <c r="F794" s="10">
        <v>11</v>
      </c>
      <c r="G794" s="10" t="b">
        <v>0</v>
      </c>
      <c r="H794" s="10">
        <v>6</v>
      </c>
      <c r="I794" s="10" t="str">
        <f>IF(OR(Cleaned_datasetB[[#This Row],[Day_Code]]=0,Cleaned_datasetB[[#This Row],[Day_Code]]=6),"Weekend","Weekday")</f>
        <v>Weekend</v>
      </c>
      <c r="J794" s="10">
        <v>3</v>
      </c>
      <c r="K794" s="10">
        <v>0.22</v>
      </c>
      <c r="L794" s="51">
        <v>0.2273</v>
      </c>
      <c r="M794" s="10">
        <v>1</v>
      </c>
      <c r="N794" s="10">
        <v>0.1343</v>
      </c>
      <c r="O794" s="10">
        <v>1</v>
      </c>
      <c r="P794" s="10">
        <v>46</v>
      </c>
      <c r="Q794" s="10">
        <v>47</v>
      </c>
      <c r="R794" s="10" t="str">
        <f>VLOOKUP(Cleaned_datasetB[[#This Row],[Weather_Code]],Lookup_Tables!$E$9:$F$13,2,FALSE)</f>
        <v>Light Rain</v>
      </c>
      <c r="S794" s="10" t="str">
        <f>INDEX(Lookup_Tables!$I$10:$I$16,MATCH(Cleaned_datasetB[[#This Row],[Day_Code]],Lookup_Tables!$H$10:$H$16,0))</f>
        <v>Saturday</v>
      </c>
      <c r="T794" s="10" t="str">
        <f>VLOOKUP(Cleaned_datasetB[[#This Row],[Month]], Lookup_Tables!$K$8:$L$19, 2, FALSE)</f>
        <v>February</v>
      </c>
      <c r="U794" s="10" t="str">
        <f>IF(AND(Cleaned_datasetB[[#This Row],[Day_Type]]="Weekday",Cleaned_datasetB[[#This Row],[Is_Holiday]]=FALSE),"Working Day","Non-Working Day")</f>
        <v>Non-Working Day</v>
      </c>
    </row>
    <row r="795" spans="1:21">
      <c r="A795" s="10">
        <v>794</v>
      </c>
      <c r="B795" s="23">
        <v>40579</v>
      </c>
      <c r="C795" s="10">
        <v>1</v>
      </c>
      <c r="D795" s="10">
        <v>0</v>
      </c>
      <c r="E795" s="10">
        <v>2</v>
      </c>
      <c r="F795" s="10">
        <v>12</v>
      </c>
      <c r="G795" s="10" t="b">
        <v>0</v>
      </c>
      <c r="H795" s="10">
        <v>6</v>
      </c>
      <c r="I795" s="10" t="str">
        <f>IF(OR(Cleaned_datasetB[[#This Row],[Day_Code]]=0,Cleaned_datasetB[[#This Row],[Day_Code]]=6),"Weekend","Weekday")</f>
        <v>Weekend</v>
      </c>
      <c r="J795" s="10">
        <v>3</v>
      </c>
      <c r="K795" s="10">
        <v>0.22</v>
      </c>
      <c r="L795" s="51">
        <v>0.2273</v>
      </c>
      <c r="M795" s="10">
        <v>1</v>
      </c>
      <c r="N795" s="10">
        <v>0.16420000000000001</v>
      </c>
      <c r="O795" s="10">
        <v>10</v>
      </c>
      <c r="P795" s="10">
        <v>42</v>
      </c>
      <c r="Q795" s="10">
        <v>52</v>
      </c>
      <c r="R795" s="10" t="str">
        <f>VLOOKUP(Cleaned_datasetB[[#This Row],[Weather_Code]],Lookup_Tables!$E$9:$F$13,2,FALSE)</f>
        <v>Light Rain</v>
      </c>
      <c r="S795" s="10" t="str">
        <f>INDEX(Lookup_Tables!$I$10:$I$16,MATCH(Cleaned_datasetB[[#This Row],[Day_Code]],Lookup_Tables!$H$10:$H$16,0))</f>
        <v>Saturday</v>
      </c>
      <c r="T795" s="10" t="str">
        <f>VLOOKUP(Cleaned_datasetB[[#This Row],[Month]], Lookup_Tables!$K$8:$L$19, 2, FALSE)</f>
        <v>February</v>
      </c>
      <c r="U795" s="10" t="str">
        <f>IF(AND(Cleaned_datasetB[[#This Row],[Day_Type]]="Weekday",Cleaned_datasetB[[#This Row],[Is_Holiday]]=FALSE),"Working Day","Non-Working Day")</f>
        <v>Non-Working Day</v>
      </c>
    </row>
    <row r="796" spans="1:21">
      <c r="A796" s="10">
        <v>795</v>
      </c>
      <c r="B796" s="23">
        <v>40579</v>
      </c>
      <c r="C796" s="10">
        <v>1</v>
      </c>
      <c r="D796" s="10">
        <v>0</v>
      </c>
      <c r="E796" s="10">
        <v>2</v>
      </c>
      <c r="F796" s="10">
        <v>13</v>
      </c>
      <c r="G796" s="10" t="b">
        <v>0</v>
      </c>
      <c r="H796" s="10">
        <v>6</v>
      </c>
      <c r="I796" s="10" t="str">
        <f>IF(OR(Cleaned_datasetB[[#This Row],[Day_Code]]=0,Cleaned_datasetB[[#This Row],[Day_Code]]=6),"Weekend","Weekday")</f>
        <v>Weekend</v>
      </c>
      <c r="J796" s="10">
        <v>3</v>
      </c>
      <c r="K796" s="10">
        <v>0.22</v>
      </c>
      <c r="L796" s="51">
        <v>0.2273</v>
      </c>
      <c r="M796" s="10">
        <v>1</v>
      </c>
      <c r="N796" s="10">
        <v>0.16420000000000001</v>
      </c>
      <c r="O796" s="10">
        <v>10</v>
      </c>
      <c r="P796" s="10">
        <v>62</v>
      </c>
      <c r="Q796" s="10">
        <v>72</v>
      </c>
      <c r="R796" s="10" t="str">
        <f>VLOOKUP(Cleaned_datasetB[[#This Row],[Weather_Code]],Lookup_Tables!$E$9:$F$13,2,FALSE)</f>
        <v>Light Rain</v>
      </c>
      <c r="S796" s="10" t="str">
        <f>INDEX(Lookup_Tables!$I$10:$I$16,MATCH(Cleaned_datasetB[[#This Row],[Day_Code]],Lookup_Tables!$H$10:$H$16,0))</f>
        <v>Saturday</v>
      </c>
      <c r="T796" s="10" t="str">
        <f>VLOOKUP(Cleaned_datasetB[[#This Row],[Month]], Lookup_Tables!$K$8:$L$19, 2, FALSE)</f>
        <v>February</v>
      </c>
      <c r="U796" s="10" t="str">
        <f>IF(AND(Cleaned_datasetB[[#This Row],[Day_Type]]="Weekday",Cleaned_datasetB[[#This Row],[Is_Holiday]]=FALSE),"Working Day","Non-Working Day")</f>
        <v>Non-Working Day</v>
      </c>
    </row>
    <row r="797" spans="1:21">
      <c r="A797" s="10">
        <v>796</v>
      </c>
      <c r="B797" s="23">
        <v>40579</v>
      </c>
      <c r="C797" s="10">
        <v>1</v>
      </c>
      <c r="D797" s="10">
        <v>0</v>
      </c>
      <c r="E797" s="10">
        <v>2</v>
      </c>
      <c r="F797" s="10">
        <v>14</v>
      </c>
      <c r="G797" s="10" t="b">
        <v>0</v>
      </c>
      <c r="H797" s="10">
        <v>6</v>
      </c>
      <c r="I797" s="10" t="str">
        <f>IF(OR(Cleaned_datasetB[[#This Row],[Day_Code]]=0,Cleaned_datasetB[[#This Row],[Day_Code]]=6),"Weekend","Weekday")</f>
        <v>Weekend</v>
      </c>
      <c r="J797" s="10">
        <v>3</v>
      </c>
      <c r="K797" s="10">
        <v>0.22</v>
      </c>
      <c r="L797" s="51">
        <v>0.2727</v>
      </c>
      <c r="M797" s="10">
        <v>1</v>
      </c>
      <c r="N797" s="10">
        <v>0</v>
      </c>
      <c r="O797" s="10">
        <v>5</v>
      </c>
      <c r="P797" s="10">
        <v>50</v>
      </c>
      <c r="Q797" s="10">
        <v>55</v>
      </c>
      <c r="R797" s="10" t="str">
        <f>VLOOKUP(Cleaned_datasetB[[#This Row],[Weather_Code]],Lookup_Tables!$E$9:$F$13,2,FALSE)</f>
        <v>Light Rain</v>
      </c>
      <c r="S797" s="10" t="str">
        <f>INDEX(Lookup_Tables!$I$10:$I$16,MATCH(Cleaned_datasetB[[#This Row],[Day_Code]],Lookup_Tables!$H$10:$H$16,0))</f>
        <v>Saturday</v>
      </c>
      <c r="T797" s="10" t="str">
        <f>VLOOKUP(Cleaned_datasetB[[#This Row],[Month]], Lookup_Tables!$K$8:$L$19, 2, FALSE)</f>
        <v>February</v>
      </c>
      <c r="U797" s="10" t="str">
        <f>IF(AND(Cleaned_datasetB[[#This Row],[Day_Type]]="Weekday",Cleaned_datasetB[[#This Row],[Is_Holiday]]=FALSE),"Working Day","Non-Working Day")</f>
        <v>Non-Working Day</v>
      </c>
    </row>
    <row r="798" spans="1:21">
      <c r="A798" s="10">
        <v>797</v>
      </c>
      <c r="B798" s="23">
        <v>40579</v>
      </c>
      <c r="C798" s="10">
        <v>1</v>
      </c>
      <c r="D798" s="10">
        <v>0</v>
      </c>
      <c r="E798" s="10">
        <v>2</v>
      </c>
      <c r="F798" s="10">
        <v>15</v>
      </c>
      <c r="G798" s="10" t="b">
        <v>0</v>
      </c>
      <c r="H798" s="10">
        <v>6</v>
      </c>
      <c r="I798" s="10" t="str">
        <f>IF(OR(Cleaned_datasetB[[#This Row],[Day_Code]]=0,Cleaned_datasetB[[#This Row],[Day_Code]]=6),"Weekend","Weekday")</f>
        <v>Weekend</v>
      </c>
      <c r="J798" s="10">
        <v>3</v>
      </c>
      <c r="K798" s="10">
        <v>0.22</v>
      </c>
      <c r="L798" s="51">
        <v>0.2727</v>
      </c>
      <c r="M798" s="10">
        <v>1</v>
      </c>
      <c r="N798" s="10">
        <v>0</v>
      </c>
      <c r="O798" s="10">
        <v>11</v>
      </c>
      <c r="P798" s="10">
        <v>49</v>
      </c>
      <c r="Q798" s="10">
        <v>60</v>
      </c>
      <c r="R798" s="10" t="str">
        <f>VLOOKUP(Cleaned_datasetB[[#This Row],[Weather_Code]],Lookup_Tables!$E$9:$F$13,2,FALSE)</f>
        <v>Light Rain</v>
      </c>
      <c r="S798" s="10" t="str">
        <f>INDEX(Lookup_Tables!$I$10:$I$16,MATCH(Cleaned_datasetB[[#This Row],[Day_Code]],Lookup_Tables!$H$10:$H$16,0))</f>
        <v>Saturday</v>
      </c>
      <c r="T798" s="10" t="str">
        <f>VLOOKUP(Cleaned_datasetB[[#This Row],[Month]], Lookup_Tables!$K$8:$L$19, 2, FALSE)</f>
        <v>February</v>
      </c>
      <c r="U798" s="10" t="str">
        <f>IF(AND(Cleaned_datasetB[[#This Row],[Day_Type]]="Weekday",Cleaned_datasetB[[#This Row],[Is_Holiday]]=FALSE),"Working Day","Non-Working Day")</f>
        <v>Non-Working Day</v>
      </c>
    </row>
    <row r="799" spans="1:21">
      <c r="A799" s="10">
        <v>798</v>
      </c>
      <c r="B799" s="23">
        <v>40579</v>
      </c>
      <c r="C799" s="10">
        <v>1</v>
      </c>
      <c r="D799" s="10">
        <v>0</v>
      </c>
      <c r="E799" s="10">
        <v>2</v>
      </c>
      <c r="F799" s="10">
        <v>16</v>
      </c>
      <c r="G799" s="10" t="b">
        <v>0</v>
      </c>
      <c r="H799" s="10">
        <v>6</v>
      </c>
      <c r="I799" s="10" t="str">
        <f>IF(OR(Cleaned_datasetB[[#This Row],[Day_Code]]=0,Cleaned_datasetB[[#This Row],[Day_Code]]=6),"Weekend","Weekday")</f>
        <v>Weekend</v>
      </c>
      <c r="J799" s="10">
        <v>3</v>
      </c>
      <c r="K799" s="10">
        <v>0.22</v>
      </c>
      <c r="L799" s="51">
        <v>0.2273</v>
      </c>
      <c r="M799" s="10">
        <v>1</v>
      </c>
      <c r="N799" s="10">
        <v>0.1343</v>
      </c>
      <c r="O799" s="10">
        <v>8</v>
      </c>
      <c r="P799" s="10">
        <v>63</v>
      </c>
      <c r="Q799" s="10">
        <v>71</v>
      </c>
      <c r="R799" s="10" t="str">
        <f>VLOOKUP(Cleaned_datasetB[[#This Row],[Weather_Code]],Lookup_Tables!$E$9:$F$13,2,FALSE)</f>
        <v>Light Rain</v>
      </c>
      <c r="S799" s="10" t="str">
        <f>INDEX(Lookup_Tables!$I$10:$I$16,MATCH(Cleaned_datasetB[[#This Row],[Day_Code]],Lookup_Tables!$H$10:$H$16,0))</f>
        <v>Saturday</v>
      </c>
      <c r="T799" s="10" t="str">
        <f>VLOOKUP(Cleaned_datasetB[[#This Row],[Month]], Lookup_Tables!$K$8:$L$19, 2, FALSE)</f>
        <v>February</v>
      </c>
      <c r="U799" s="10" t="str">
        <f>IF(AND(Cleaned_datasetB[[#This Row],[Day_Type]]="Weekday",Cleaned_datasetB[[#This Row],[Is_Holiday]]=FALSE),"Working Day","Non-Working Day")</f>
        <v>Non-Working Day</v>
      </c>
    </row>
    <row r="800" spans="1:21">
      <c r="A800" s="10">
        <v>799</v>
      </c>
      <c r="B800" s="23">
        <v>40579</v>
      </c>
      <c r="C800" s="10">
        <v>1</v>
      </c>
      <c r="D800" s="10">
        <v>0</v>
      </c>
      <c r="E800" s="10">
        <v>2</v>
      </c>
      <c r="F800" s="10">
        <v>17</v>
      </c>
      <c r="G800" s="10" t="b">
        <v>0</v>
      </c>
      <c r="H800" s="10">
        <v>6</v>
      </c>
      <c r="I800" s="10" t="str">
        <f>IF(OR(Cleaned_datasetB[[#This Row],[Day_Code]]=0,Cleaned_datasetB[[#This Row],[Day_Code]]=6),"Weekend","Weekday")</f>
        <v>Weekend</v>
      </c>
      <c r="J800" s="10">
        <v>2</v>
      </c>
      <c r="K800" s="10">
        <v>0.24</v>
      </c>
      <c r="L800" s="51">
        <v>0.21210000000000001</v>
      </c>
      <c r="M800" s="10">
        <v>1</v>
      </c>
      <c r="N800" s="10">
        <v>0.28360000000000002</v>
      </c>
      <c r="O800" s="10">
        <v>14</v>
      </c>
      <c r="P800" s="10">
        <v>64</v>
      </c>
      <c r="Q800" s="10">
        <v>78</v>
      </c>
      <c r="R800" s="10" t="str">
        <f>VLOOKUP(Cleaned_datasetB[[#This Row],[Weather_Code]],Lookup_Tables!$E$9:$F$13,2,FALSE)</f>
        <v>Cloudy</v>
      </c>
      <c r="S800" s="10" t="str">
        <f>INDEX(Lookup_Tables!$I$10:$I$16,MATCH(Cleaned_datasetB[[#This Row],[Day_Code]],Lookup_Tables!$H$10:$H$16,0))</f>
        <v>Saturday</v>
      </c>
      <c r="T800" s="10" t="str">
        <f>VLOOKUP(Cleaned_datasetB[[#This Row],[Month]], Lookup_Tables!$K$8:$L$19, 2, FALSE)</f>
        <v>February</v>
      </c>
      <c r="U800" s="10" t="str">
        <f>IF(AND(Cleaned_datasetB[[#This Row],[Day_Type]]="Weekday",Cleaned_datasetB[[#This Row],[Is_Holiday]]=FALSE),"Working Day","Non-Working Day")</f>
        <v>Non-Working Day</v>
      </c>
    </row>
    <row r="801" spans="1:21">
      <c r="A801" s="10">
        <v>800</v>
      </c>
      <c r="B801" s="23">
        <v>40579</v>
      </c>
      <c r="C801" s="10">
        <v>1</v>
      </c>
      <c r="D801" s="10">
        <v>0</v>
      </c>
      <c r="E801" s="10">
        <v>2</v>
      </c>
      <c r="F801" s="10">
        <v>18</v>
      </c>
      <c r="G801" s="10" t="b">
        <v>0</v>
      </c>
      <c r="H801" s="10">
        <v>6</v>
      </c>
      <c r="I801" s="10" t="str">
        <f>IF(OR(Cleaned_datasetB[[#This Row],[Day_Code]]=0,Cleaned_datasetB[[#This Row],[Day_Code]]=6),"Weekend","Weekday")</f>
        <v>Weekend</v>
      </c>
      <c r="J801" s="10">
        <v>2</v>
      </c>
      <c r="K801" s="10">
        <v>0.28000000000000003</v>
      </c>
      <c r="L801" s="51">
        <v>0.2424</v>
      </c>
      <c r="M801" s="10">
        <v>0.93</v>
      </c>
      <c r="N801" s="10">
        <v>0.44779999999999998</v>
      </c>
      <c r="O801" s="10">
        <v>2</v>
      </c>
      <c r="P801" s="10">
        <v>81</v>
      </c>
      <c r="Q801" s="10">
        <v>83</v>
      </c>
      <c r="R801" s="10" t="str">
        <f>VLOOKUP(Cleaned_datasetB[[#This Row],[Weather_Code]],Lookup_Tables!$E$9:$F$13,2,FALSE)</f>
        <v>Cloudy</v>
      </c>
      <c r="S801" s="10" t="str">
        <f>INDEX(Lookup_Tables!$I$10:$I$16,MATCH(Cleaned_datasetB[[#This Row],[Day_Code]],Lookup_Tables!$H$10:$H$16,0))</f>
        <v>Saturday</v>
      </c>
      <c r="T801" s="10" t="str">
        <f>VLOOKUP(Cleaned_datasetB[[#This Row],[Month]], Lookup_Tables!$K$8:$L$19, 2, FALSE)</f>
        <v>February</v>
      </c>
      <c r="U801" s="10" t="str">
        <f>IF(AND(Cleaned_datasetB[[#This Row],[Day_Type]]="Weekday",Cleaned_datasetB[[#This Row],[Is_Holiday]]=FALSE),"Working Day","Non-Working Day")</f>
        <v>Non-Working Day</v>
      </c>
    </row>
    <row r="802" spans="1:21">
      <c r="A802" s="10">
        <v>801</v>
      </c>
      <c r="B802" s="23">
        <v>40579</v>
      </c>
      <c r="C802" s="10">
        <v>1</v>
      </c>
      <c r="D802" s="10">
        <v>0</v>
      </c>
      <c r="E802" s="10">
        <v>2</v>
      </c>
      <c r="F802" s="10">
        <v>19</v>
      </c>
      <c r="G802" s="10" t="b">
        <v>0</v>
      </c>
      <c r="H802" s="10">
        <v>6</v>
      </c>
      <c r="I802" s="10" t="str">
        <f>IF(OR(Cleaned_datasetB[[#This Row],[Day_Code]]=0,Cleaned_datasetB[[#This Row],[Day_Code]]=6),"Weekend","Weekday")</f>
        <v>Weekend</v>
      </c>
      <c r="J802" s="10">
        <v>2</v>
      </c>
      <c r="K802" s="10">
        <v>0.28000000000000003</v>
      </c>
      <c r="L802" s="51">
        <v>0.2424</v>
      </c>
      <c r="M802" s="10">
        <v>0.93</v>
      </c>
      <c r="N802" s="10">
        <v>0.44779999999999998</v>
      </c>
      <c r="O802" s="10">
        <v>6</v>
      </c>
      <c r="P802" s="10">
        <v>78</v>
      </c>
      <c r="Q802" s="10">
        <v>84</v>
      </c>
      <c r="R802" s="10" t="str">
        <f>VLOOKUP(Cleaned_datasetB[[#This Row],[Weather_Code]],Lookup_Tables!$E$9:$F$13,2,FALSE)</f>
        <v>Cloudy</v>
      </c>
      <c r="S802" s="10" t="str">
        <f>INDEX(Lookup_Tables!$I$10:$I$16,MATCH(Cleaned_datasetB[[#This Row],[Day_Code]],Lookup_Tables!$H$10:$H$16,0))</f>
        <v>Saturday</v>
      </c>
      <c r="T802" s="10" t="str">
        <f>VLOOKUP(Cleaned_datasetB[[#This Row],[Month]], Lookup_Tables!$K$8:$L$19, 2, FALSE)</f>
        <v>February</v>
      </c>
      <c r="U802" s="10" t="str">
        <f>IF(AND(Cleaned_datasetB[[#This Row],[Day_Type]]="Weekday",Cleaned_datasetB[[#This Row],[Is_Holiday]]=FALSE),"Working Day","Non-Working Day")</f>
        <v>Non-Working Day</v>
      </c>
    </row>
    <row r="803" spans="1:21">
      <c r="A803" s="10">
        <v>802</v>
      </c>
      <c r="B803" s="23">
        <v>40579</v>
      </c>
      <c r="C803" s="10">
        <v>1</v>
      </c>
      <c r="D803" s="10">
        <v>0</v>
      </c>
      <c r="E803" s="10">
        <v>2</v>
      </c>
      <c r="F803" s="10">
        <v>20</v>
      </c>
      <c r="G803" s="10" t="b">
        <v>0</v>
      </c>
      <c r="H803" s="10">
        <v>6</v>
      </c>
      <c r="I803" s="10" t="str">
        <f>IF(OR(Cleaned_datasetB[[#This Row],[Day_Code]]=0,Cleaned_datasetB[[#This Row],[Day_Code]]=6),"Weekend","Weekday")</f>
        <v>Weekend</v>
      </c>
      <c r="J803" s="10">
        <v>1</v>
      </c>
      <c r="K803" s="10">
        <v>0.3</v>
      </c>
      <c r="L803" s="51">
        <v>0.28789999999999999</v>
      </c>
      <c r="M803" s="10">
        <v>0.87</v>
      </c>
      <c r="N803" s="10">
        <v>0.25369999999999998</v>
      </c>
      <c r="O803" s="10">
        <v>5</v>
      </c>
      <c r="P803" s="10">
        <v>64</v>
      </c>
      <c r="Q803" s="10">
        <v>69</v>
      </c>
      <c r="R803" s="10" t="str">
        <f>VLOOKUP(Cleaned_datasetB[[#This Row],[Weather_Code]],Lookup_Tables!$E$9:$F$13,2,FALSE)</f>
        <v>Clear</v>
      </c>
      <c r="S803" s="10" t="str">
        <f>INDEX(Lookup_Tables!$I$10:$I$16,MATCH(Cleaned_datasetB[[#This Row],[Day_Code]],Lookup_Tables!$H$10:$H$16,0))</f>
        <v>Saturday</v>
      </c>
      <c r="T803" s="10" t="str">
        <f>VLOOKUP(Cleaned_datasetB[[#This Row],[Month]], Lookup_Tables!$K$8:$L$19, 2, FALSE)</f>
        <v>February</v>
      </c>
      <c r="U803" s="10" t="str">
        <f>IF(AND(Cleaned_datasetB[[#This Row],[Day_Type]]="Weekday",Cleaned_datasetB[[#This Row],[Is_Holiday]]=FALSE),"Working Day","Non-Working Day")</f>
        <v>Non-Working Day</v>
      </c>
    </row>
    <row r="804" spans="1:21">
      <c r="A804" s="10">
        <v>803</v>
      </c>
      <c r="B804" s="23">
        <v>40579</v>
      </c>
      <c r="C804" s="10">
        <v>1</v>
      </c>
      <c r="D804" s="10">
        <v>0</v>
      </c>
      <c r="E804" s="10">
        <v>2</v>
      </c>
      <c r="F804" s="10">
        <v>21</v>
      </c>
      <c r="G804" s="10" t="b">
        <v>0</v>
      </c>
      <c r="H804" s="10">
        <v>6</v>
      </c>
      <c r="I804" s="10" t="str">
        <f>IF(OR(Cleaned_datasetB[[#This Row],[Day_Code]]=0,Cleaned_datasetB[[#This Row],[Day_Code]]=6),"Weekend","Weekday")</f>
        <v>Weekend</v>
      </c>
      <c r="J804" s="10">
        <v>1</v>
      </c>
      <c r="K804" s="10">
        <v>0.26</v>
      </c>
      <c r="L804" s="51">
        <v>0.2576</v>
      </c>
      <c r="M804" s="10">
        <v>1</v>
      </c>
      <c r="N804" s="10">
        <v>0.19400000000000001</v>
      </c>
      <c r="O804" s="10">
        <v>3</v>
      </c>
      <c r="P804" s="10">
        <v>53</v>
      </c>
      <c r="Q804" s="10">
        <v>56</v>
      </c>
      <c r="R804" s="10" t="str">
        <f>VLOOKUP(Cleaned_datasetB[[#This Row],[Weather_Code]],Lookup_Tables!$E$9:$F$13,2,FALSE)</f>
        <v>Clear</v>
      </c>
      <c r="S804" s="10" t="str">
        <f>INDEX(Lookup_Tables!$I$10:$I$16,MATCH(Cleaned_datasetB[[#This Row],[Day_Code]],Lookup_Tables!$H$10:$H$16,0))</f>
        <v>Saturday</v>
      </c>
      <c r="T804" s="10" t="str">
        <f>VLOOKUP(Cleaned_datasetB[[#This Row],[Month]], Lookup_Tables!$K$8:$L$19, 2, FALSE)</f>
        <v>February</v>
      </c>
      <c r="U804" s="10" t="str">
        <f>IF(AND(Cleaned_datasetB[[#This Row],[Day_Type]]="Weekday",Cleaned_datasetB[[#This Row],[Is_Holiday]]=FALSE),"Working Day","Non-Working Day")</f>
        <v>Non-Working Day</v>
      </c>
    </row>
    <row r="805" spans="1:21">
      <c r="A805" s="10">
        <v>804</v>
      </c>
      <c r="B805" s="23">
        <v>40579</v>
      </c>
      <c r="C805" s="10">
        <v>1</v>
      </c>
      <c r="D805" s="10">
        <v>0</v>
      </c>
      <c r="E805" s="10">
        <v>2</v>
      </c>
      <c r="F805" s="10">
        <v>22</v>
      </c>
      <c r="G805" s="10" t="b">
        <v>0</v>
      </c>
      <c r="H805" s="10">
        <v>6</v>
      </c>
      <c r="I805" s="10" t="str">
        <f>IF(OR(Cleaned_datasetB[[#This Row],[Day_Code]]=0,Cleaned_datasetB[[#This Row],[Day_Code]]=6),"Weekend","Weekday")</f>
        <v>Weekend</v>
      </c>
      <c r="J805" s="10">
        <v>1</v>
      </c>
      <c r="K805" s="10">
        <v>0.26</v>
      </c>
      <c r="L805" s="51">
        <v>0.2727</v>
      </c>
      <c r="M805" s="10">
        <v>0.93</v>
      </c>
      <c r="N805" s="10">
        <v>0.1343</v>
      </c>
      <c r="O805" s="10">
        <v>2</v>
      </c>
      <c r="P805" s="10">
        <v>43</v>
      </c>
      <c r="Q805" s="10">
        <v>45</v>
      </c>
      <c r="R805" s="10" t="str">
        <f>VLOOKUP(Cleaned_datasetB[[#This Row],[Weather_Code]],Lookup_Tables!$E$9:$F$13,2,FALSE)</f>
        <v>Clear</v>
      </c>
      <c r="S805" s="10" t="str">
        <f>INDEX(Lookup_Tables!$I$10:$I$16,MATCH(Cleaned_datasetB[[#This Row],[Day_Code]],Lookup_Tables!$H$10:$H$16,0))</f>
        <v>Saturday</v>
      </c>
      <c r="T805" s="10" t="str">
        <f>VLOOKUP(Cleaned_datasetB[[#This Row],[Month]], Lookup_Tables!$K$8:$L$19, 2, FALSE)</f>
        <v>February</v>
      </c>
      <c r="U805" s="10" t="str">
        <f>IF(AND(Cleaned_datasetB[[#This Row],[Day_Type]]="Weekday",Cleaned_datasetB[[#This Row],[Is_Holiday]]=FALSE),"Working Day","Non-Working Day")</f>
        <v>Non-Working Day</v>
      </c>
    </row>
    <row r="806" spans="1:21">
      <c r="A806" s="10">
        <v>805</v>
      </c>
      <c r="B806" s="23">
        <v>40579</v>
      </c>
      <c r="C806" s="10">
        <v>1</v>
      </c>
      <c r="D806" s="10">
        <v>0</v>
      </c>
      <c r="E806" s="10">
        <v>2</v>
      </c>
      <c r="F806" s="10">
        <v>23</v>
      </c>
      <c r="G806" s="10" t="b">
        <v>0</v>
      </c>
      <c r="H806" s="10">
        <v>6</v>
      </c>
      <c r="I806" s="10" t="str">
        <f>IF(OR(Cleaned_datasetB[[#This Row],[Day_Code]]=0,Cleaned_datasetB[[#This Row],[Day_Code]]=6),"Weekend","Weekday")</f>
        <v>Weekend</v>
      </c>
      <c r="J806" s="10">
        <v>1</v>
      </c>
      <c r="K806" s="10">
        <v>0.26</v>
      </c>
      <c r="L806" s="51">
        <v>0.2576</v>
      </c>
      <c r="M806" s="10">
        <v>0.93</v>
      </c>
      <c r="N806" s="10">
        <v>0.22389999999999999</v>
      </c>
      <c r="O806" s="10">
        <v>7</v>
      </c>
      <c r="P806" s="10">
        <v>52</v>
      </c>
      <c r="Q806" s="10">
        <v>59</v>
      </c>
      <c r="R806" s="10" t="str">
        <f>VLOOKUP(Cleaned_datasetB[[#This Row],[Weather_Code]],Lookup_Tables!$E$9:$F$13,2,FALSE)</f>
        <v>Clear</v>
      </c>
      <c r="S806" s="10" t="str">
        <f>INDEX(Lookup_Tables!$I$10:$I$16,MATCH(Cleaned_datasetB[[#This Row],[Day_Code]],Lookup_Tables!$H$10:$H$16,0))</f>
        <v>Saturday</v>
      </c>
      <c r="T806" s="10" t="str">
        <f>VLOOKUP(Cleaned_datasetB[[#This Row],[Month]], Lookup_Tables!$K$8:$L$19, 2, FALSE)</f>
        <v>February</v>
      </c>
      <c r="U806" s="10" t="str">
        <f>IF(AND(Cleaned_datasetB[[#This Row],[Day_Type]]="Weekday",Cleaned_datasetB[[#This Row],[Is_Holiday]]=FALSE),"Working Day","Non-Working Day")</f>
        <v>Non-Working Day</v>
      </c>
    </row>
    <row r="807" spans="1:21">
      <c r="A807" s="10">
        <v>806</v>
      </c>
      <c r="B807" s="23">
        <v>40580</v>
      </c>
      <c r="C807" s="10">
        <v>1</v>
      </c>
      <c r="D807" s="10">
        <v>0</v>
      </c>
      <c r="E807" s="10">
        <v>2</v>
      </c>
      <c r="F807" s="10">
        <v>0</v>
      </c>
      <c r="G807" s="10" t="b">
        <v>0</v>
      </c>
      <c r="H807" s="10">
        <v>0</v>
      </c>
      <c r="I807" s="10" t="str">
        <f>IF(OR(Cleaned_datasetB[[#This Row],[Day_Code]]=0,Cleaned_datasetB[[#This Row],[Day_Code]]=6),"Weekend","Weekday")</f>
        <v>Weekend</v>
      </c>
      <c r="J807" s="10">
        <v>1</v>
      </c>
      <c r="K807" s="10">
        <v>0.26</v>
      </c>
      <c r="L807" s="51">
        <v>0.2576</v>
      </c>
      <c r="M807" s="10">
        <v>0.7</v>
      </c>
      <c r="N807" s="10">
        <v>0.19400000000000001</v>
      </c>
      <c r="O807" s="10">
        <v>2</v>
      </c>
      <c r="P807" s="10">
        <v>37</v>
      </c>
      <c r="Q807" s="10">
        <v>39</v>
      </c>
      <c r="R807" s="10" t="str">
        <f>VLOOKUP(Cleaned_datasetB[[#This Row],[Weather_Code]],Lookup_Tables!$E$9:$F$13,2,FALSE)</f>
        <v>Clear</v>
      </c>
      <c r="S807" s="10" t="str">
        <f>INDEX(Lookup_Tables!$I$10:$I$16,MATCH(Cleaned_datasetB[[#This Row],[Day_Code]],Lookup_Tables!$H$10:$H$16,0))</f>
        <v>Sunday</v>
      </c>
      <c r="T807" s="10" t="str">
        <f>VLOOKUP(Cleaned_datasetB[[#This Row],[Month]], Lookup_Tables!$K$8:$L$19, 2, FALSE)</f>
        <v>February</v>
      </c>
      <c r="U807" s="10" t="str">
        <f>IF(AND(Cleaned_datasetB[[#This Row],[Day_Type]]="Weekday",Cleaned_datasetB[[#This Row],[Is_Holiday]]=FALSE),"Working Day","Non-Working Day")</f>
        <v>Non-Working Day</v>
      </c>
    </row>
    <row r="808" spans="1:21">
      <c r="A808" s="10">
        <v>807</v>
      </c>
      <c r="B808" s="23">
        <v>40580</v>
      </c>
      <c r="C808" s="10">
        <v>1</v>
      </c>
      <c r="D808" s="10">
        <v>0</v>
      </c>
      <c r="E808" s="10">
        <v>2</v>
      </c>
      <c r="F808" s="10">
        <v>1</v>
      </c>
      <c r="G808" s="10" t="b">
        <v>0</v>
      </c>
      <c r="H808" s="10">
        <v>0</v>
      </c>
      <c r="I808" s="10" t="str">
        <f>IF(OR(Cleaned_datasetB[[#This Row],[Day_Code]]=0,Cleaned_datasetB[[#This Row],[Day_Code]]=6),"Weekend","Weekday")</f>
        <v>Weekend</v>
      </c>
      <c r="J808" s="10">
        <v>1</v>
      </c>
      <c r="K808" s="10">
        <v>0.26</v>
      </c>
      <c r="L808" s="51">
        <v>0.2273</v>
      </c>
      <c r="M808" s="10">
        <v>0.65</v>
      </c>
      <c r="N808" s="10">
        <v>0.41789999999999999</v>
      </c>
      <c r="O808" s="10">
        <v>4</v>
      </c>
      <c r="P808" s="10">
        <v>40</v>
      </c>
      <c r="Q808" s="10">
        <v>44</v>
      </c>
      <c r="R808" s="10" t="str">
        <f>VLOOKUP(Cleaned_datasetB[[#This Row],[Weather_Code]],Lookup_Tables!$E$9:$F$13,2,FALSE)</f>
        <v>Clear</v>
      </c>
      <c r="S808" s="10" t="str">
        <f>INDEX(Lookup_Tables!$I$10:$I$16,MATCH(Cleaned_datasetB[[#This Row],[Day_Code]],Lookup_Tables!$H$10:$H$16,0))</f>
        <v>Sunday</v>
      </c>
      <c r="T808" s="10" t="str">
        <f>VLOOKUP(Cleaned_datasetB[[#This Row],[Month]], Lookup_Tables!$K$8:$L$19, 2, FALSE)</f>
        <v>February</v>
      </c>
      <c r="U808" s="10" t="str">
        <f>IF(AND(Cleaned_datasetB[[#This Row],[Day_Type]]="Weekday",Cleaned_datasetB[[#This Row],[Is_Holiday]]=FALSE),"Working Day","Non-Working Day")</f>
        <v>Non-Working Day</v>
      </c>
    </row>
    <row r="809" spans="1:21">
      <c r="A809" s="10">
        <v>808</v>
      </c>
      <c r="B809" s="23">
        <v>40580</v>
      </c>
      <c r="C809" s="10">
        <v>1</v>
      </c>
      <c r="D809" s="10">
        <v>0</v>
      </c>
      <c r="E809" s="10">
        <v>2</v>
      </c>
      <c r="F809" s="10">
        <v>2</v>
      </c>
      <c r="G809" s="10" t="b">
        <v>0</v>
      </c>
      <c r="H809" s="10">
        <v>0</v>
      </c>
      <c r="I809" s="10" t="str">
        <f>IF(OR(Cleaned_datasetB[[#This Row],[Day_Code]]=0,Cleaned_datasetB[[#This Row],[Day_Code]]=6),"Weekend","Weekday")</f>
        <v>Weekend</v>
      </c>
      <c r="J809" s="10">
        <v>1</v>
      </c>
      <c r="K809" s="10">
        <v>0.26</v>
      </c>
      <c r="L809" s="51">
        <v>0.2273</v>
      </c>
      <c r="M809" s="10">
        <v>0.6</v>
      </c>
      <c r="N809" s="10">
        <v>0.32840000000000003</v>
      </c>
      <c r="O809" s="10">
        <v>0</v>
      </c>
      <c r="P809" s="10">
        <v>20</v>
      </c>
      <c r="Q809" s="10">
        <v>20</v>
      </c>
      <c r="R809" s="10" t="str">
        <f>VLOOKUP(Cleaned_datasetB[[#This Row],[Weather_Code]],Lookup_Tables!$E$9:$F$13,2,FALSE)</f>
        <v>Clear</v>
      </c>
      <c r="S809" s="10" t="str">
        <f>INDEX(Lookup_Tables!$I$10:$I$16,MATCH(Cleaned_datasetB[[#This Row],[Day_Code]],Lookup_Tables!$H$10:$H$16,0))</f>
        <v>Sunday</v>
      </c>
      <c r="T809" s="10" t="str">
        <f>VLOOKUP(Cleaned_datasetB[[#This Row],[Month]], Lookup_Tables!$K$8:$L$19, 2, FALSE)</f>
        <v>February</v>
      </c>
      <c r="U809" s="10" t="str">
        <f>IF(AND(Cleaned_datasetB[[#This Row],[Day_Type]]="Weekday",Cleaned_datasetB[[#This Row],[Is_Holiday]]=FALSE),"Working Day","Non-Working Day")</f>
        <v>Non-Working Day</v>
      </c>
    </row>
    <row r="810" spans="1:21">
      <c r="A810" s="10">
        <v>809</v>
      </c>
      <c r="B810" s="23">
        <v>40580</v>
      </c>
      <c r="C810" s="10">
        <v>1</v>
      </c>
      <c r="D810" s="10">
        <v>0</v>
      </c>
      <c r="E810" s="10">
        <v>2</v>
      </c>
      <c r="F810" s="10">
        <v>3</v>
      </c>
      <c r="G810" s="10" t="b">
        <v>0</v>
      </c>
      <c r="H810" s="10">
        <v>0</v>
      </c>
      <c r="I810" s="10" t="str">
        <f>IF(OR(Cleaned_datasetB[[#This Row],[Day_Code]]=0,Cleaned_datasetB[[#This Row],[Day_Code]]=6),"Weekend","Weekday")</f>
        <v>Weekend</v>
      </c>
      <c r="J810" s="10">
        <v>1</v>
      </c>
      <c r="K810" s="10">
        <v>0.26</v>
      </c>
      <c r="L810" s="51">
        <v>0.28789999999999999</v>
      </c>
      <c r="M810" s="10">
        <v>0.6</v>
      </c>
      <c r="N810" s="10">
        <v>8.9599999999999999E-2</v>
      </c>
      <c r="O810" s="10">
        <v>3</v>
      </c>
      <c r="P810" s="10">
        <v>10</v>
      </c>
      <c r="Q810" s="10">
        <v>13</v>
      </c>
      <c r="R810" s="10" t="str">
        <f>VLOOKUP(Cleaned_datasetB[[#This Row],[Weather_Code]],Lookup_Tables!$E$9:$F$13,2,FALSE)</f>
        <v>Clear</v>
      </c>
      <c r="S810" s="10" t="str">
        <f>INDEX(Lookup_Tables!$I$10:$I$16,MATCH(Cleaned_datasetB[[#This Row],[Day_Code]],Lookup_Tables!$H$10:$H$16,0))</f>
        <v>Sunday</v>
      </c>
      <c r="T810" s="10" t="str">
        <f>VLOOKUP(Cleaned_datasetB[[#This Row],[Month]], Lookup_Tables!$K$8:$L$19, 2, FALSE)</f>
        <v>February</v>
      </c>
      <c r="U810" s="10" t="str">
        <f>IF(AND(Cleaned_datasetB[[#This Row],[Day_Type]]="Weekday",Cleaned_datasetB[[#This Row],[Is_Holiday]]=FALSE),"Working Day","Non-Working Day")</f>
        <v>Non-Working Day</v>
      </c>
    </row>
    <row r="811" spans="1:21">
      <c r="A811" s="10">
        <v>810</v>
      </c>
      <c r="B811" s="23">
        <v>40580</v>
      </c>
      <c r="C811" s="10">
        <v>1</v>
      </c>
      <c r="D811" s="10">
        <v>0</v>
      </c>
      <c r="E811" s="10">
        <v>2</v>
      </c>
      <c r="F811" s="10">
        <v>4</v>
      </c>
      <c r="G811" s="10" t="b">
        <v>0</v>
      </c>
      <c r="H811" s="10">
        <v>0</v>
      </c>
      <c r="I811" s="10" t="str">
        <f>IF(OR(Cleaned_datasetB[[#This Row],[Day_Code]]=0,Cleaned_datasetB[[#This Row],[Day_Code]]=6),"Weekend","Weekday")</f>
        <v>Weekend</v>
      </c>
      <c r="J811" s="10">
        <v>1</v>
      </c>
      <c r="K811" s="10">
        <v>0.26</v>
      </c>
      <c r="L811" s="51">
        <v>0.2273</v>
      </c>
      <c r="M811" s="10">
        <v>0.6</v>
      </c>
      <c r="N811" s="10">
        <v>0.35820000000000002</v>
      </c>
      <c r="O811" s="10">
        <v>0</v>
      </c>
      <c r="P811" s="10">
        <v>2</v>
      </c>
      <c r="Q811" s="10">
        <v>2</v>
      </c>
      <c r="R811" s="10" t="str">
        <f>VLOOKUP(Cleaned_datasetB[[#This Row],[Weather_Code]],Lookup_Tables!$E$9:$F$13,2,FALSE)</f>
        <v>Clear</v>
      </c>
      <c r="S811" s="10" t="str">
        <f>INDEX(Lookup_Tables!$I$10:$I$16,MATCH(Cleaned_datasetB[[#This Row],[Day_Code]],Lookup_Tables!$H$10:$H$16,0))</f>
        <v>Sunday</v>
      </c>
      <c r="T811" s="10" t="str">
        <f>VLOOKUP(Cleaned_datasetB[[#This Row],[Month]], Lookup_Tables!$K$8:$L$19, 2, FALSE)</f>
        <v>February</v>
      </c>
      <c r="U811" s="10" t="str">
        <f>IF(AND(Cleaned_datasetB[[#This Row],[Day_Type]]="Weekday",Cleaned_datasetB[[#This Row],[Is_Holiday]]=FALSE),"Working Day","Non-Working Day")</f>
        <v>Non-Working Day</v>
      </c>
    </row>
    <row r="812" spans="1:21">
      <c r="A812" s="10">
        <v>811</v>
      </c>
      <c r="B812" s="23">
        <v>40580</v>
      </c>
      <c r="C812" s="10">
        <v>1</v>
      </c>
      <c r="D812" s="10">
        <v>0</v>
      </c>
      <c r="E812" s="10">
        <v>2</v>
      </c>
      <c r="F812" s="10">
        <v>5</v>
      </c>
      <c r="G812" s="10" t="b">
        <v>0</v>
      </c>
      <c r="H812" s="10">
        <v>0</v>
      </c>
      <c r="I812" s="10" t="str">
        <f>IF(OR(Cleaned_datasetB[[#This Row],[Day_Code]]=0,Cleaned_datasetB[[#This Row],[Day_Code]]=6),"Weekend","Weekday")</f>
        <v>Weekend</v>
      </c>
      <c r="J812" s="10">
        <v>1</v>
      </c>
      <c r="K812" s="10">
        <v>0.26</v>
      </c>
      <c r="L812" s="51">
        <v>0.2576</v>
      </c>
      <c r="M812" s="10">
        <v>0.6</v>
      </c>
      <c r="N812" s="10">
        <v>0.22389999999999999</v>
      </c>
      <c r="O812" s="10">
        <v>0</v>
      </c>
      <c r="P812" s="10">
        <v>1</v>
      </c>
      <c r="Q812" s="10">
        <v>1</v>
      </c>
      <c r="R812" s="10" t="str">
        <f>VLOOKUP(Cleaned_datasetB[[#This Row],[Weather_Code]],Lookup_Tables!$E$9:$F$13,2,FALSE)</f>
        <v>Clear</v>
      </c>
      <c r="S812" s="10" t="str">
        <f>INDEX(Lookup_Tables!$I$10:$I$16,MATCH(Cleaned_datasetB[[#This Row],[Day_Code]],Lookup_Tables!$H$10:$H$16,0))</f>
        <v>Sunday</v>
      </c>
      <c r="T812" s="10" t="str">
        <f>VLOOKUP(Cleaned_datasetB[[#This Row],[Month]], Lookup_Tables!$K$8:$L$19, 2, FALSE)</f>
        <v>February</v>
      </c>
      <c r="U812" s="10" t="str">
        <f>IF(AND(Cleaned_datasetB[[#This Row],[Day_Type]]="Weekday",Cleaned_datasetB[[#This Row],[Is_Holiday]]=FALSE),"Working Day","Non-Working Day")</f>
        <v>Non-Working Day</v>
      </c>
    </row>
    <row r="813" spans="1:21">
      <c r="A813" s="10">
        <v>812</v>
      </c>
      <c r="B813" s="23">
        <v>40580</v>
      </c>
      <c r="C813" s="10">
        <v>1</v>
      </c>
      <c r="D813" s="10">
        <v>0</v>
      </c>
      <c r="E813" s="10">
        <v>2</v>
      </c>
      <c r="F813" s="10">
        <v>6</v>
      </c>
      <c r="G813" s="10" t="b">
        <v>0</v>
      </c>
      <c r="H813" s="10">
        <v>0</v>
      </c>
      <c r="I813" s="10" t="str">
        <f>IF(OR(Cleaned_datasetB[[#This Row],[Day_Code]]=0,Cleaned_datasetB[[#This Row],[Day_Code]]=6),"Weekend","Weekday")</f>
        <v>Weekend</v>
      </c>
      <c r="J813" s="10">
        <v>1</v>
      </c>
      <c r="K813" s="10">
        <v>0.26</v>
      </c>
      <c r="L813" s="51">
        <v>0.2576</v>
      </c>
      <c r="M813" s="10">
        <v>0.6</v>
      </c>
      <c r="N813" s="10">
        <v>0.22389999999999999</v>
      </c>
      <c r="O813" s="10">
        <v>0</v>
      </c>
      <c r="P813" s="10">
        <v>1</v>
      </c>
      <c r="Q813" s="10">
        <v>1</v>
      </c>
      <c r="R813" s="10" t="str">
        <f>VLOOKUP(Cleaned_datasetB[[#This Row],[Weather_Code]],Lookup_Tables!$E$9:$F$13,2,FALSE)</f>
        <v>Clear</v>
      </c>
      <c r="S813" s="10" t="str">
        <f>INDEX(Lookup_Tables!$I$10:$I$16,MATCH(Cleaned_datasetB[[#This Row],[Day_Code]],Lookup_Tables!$H$10:$H$16,0))</f>
        <v>Sunday</v>
      </c>
      <c r="T813" s="10" t="str">
        <f>VLOOKUP(Cleaned_datasetB[[#This Row],[Month]], Lookup_Tables!$K$8:$L$19, 2, FALSE)</f>
        <v>February</v>
      </c>
      <c r="U813" s="10" t="str">
        <f>IF(AND(Cleaned_datasetB[[#This Row],[Day_Type]]="Weekday",Cleaned_datasetB[[#This Row],[Is_Holiday]]=FALSE),"Working Day","Non-Working Day")</f>
        <v>Non-Working Day</v>
      </c>
    </row>
    <row r="814" spans="1:21">
      <c r="A814" s="10">
        <v>813</v>
      </c>
      <c r="B814" s="23">
        <v>40580</v>
      </c>
      <c r="C814" s="10">
        <v>1</v>
      </c>
      <c r="D814" s="10">
        <v>0</v>
      </c>
      <c r="E814" s="10">
        <v>2</v>
      </c>
      <c r="F814" s="10">
        <v>7</v>
      </c>
      <c r="G814" s="10" t="b">
        <v>0</v>
      </c>
      <c r="H814" s="10">
        <v>0</v>
      </c>
      <c r="I814" s="10" t="str">
        <f>IF(OR(Cleaned_datasetB[[#This Row],[Day_Code]]=0,Cleaned_datasetB[[#This Row],[Day_Code]]=6),"Weekend","Weekday")</f>
        <v>Weekend</v>
      </c>
      <c r="J814" s="10">
        <v>1</v>
      </c>
      <c r="K814" s="10">
        <v>0.24</v>
      </c>
      <c r="L814" s="51">
        <v>0.2424</v>
      </c>
      <c r="M814" s="10">
        <v>0.65</v>
      </c>
      <c r="N814" s="10">
        <v>0.16420000000000001</v>
      </c>
      <c r="O814" s="10">
        <v>0</v>
      </c>
      <c r="P814" s="10">
        <v>8</v>
      </c>
      <c r="Q814" s="10">
        <v>8</v>
      </c>
      <c r="R814" s="10" t="str">
        <f>VLOOKUP(Cleaned_datasetB[[#This Row],[Weather_Code]],Lookup_Tables!$E$9:$F$13,2,FALSE)</f>
        <v>Clear</v>
      </c>
      <c r="S814" s="10" t="str">
        <f>INDEX(Lookup_Tables!$I$10:$I$16,MATCH(Cleaned_datasetB[[#This Row],[Day_Code]],Lookup_Tables!$H$10:$H$16,0))</f>
        <v>Sunday</v>
      </c>
      <c r="T814" s="10" t="str">
        <f>VLOOKUP(Cleaned_datasetB[[#This Row],[Month]], Lookup_Tables!$K$8:$L$19, 2, FALSE)</f>
        <v>February</v>
      </c>
      <c r="U814" s="10" t="str">
        <f>IF(AND(Cleaned_datasetB[[#This Row],[Day_Type]]="Weekday",Cleaned_datasetB[[#This Row],[Is_Holiday]]=FALSE),"Working Day","Non-Working Day")</f>
        <v>Non-Working Day</v>
      </c>
    </row>
    <row r="815" spans="1:21">
      <c r="A815" s="10">
        <v>814</v>
      </c>
      <c r="B815" s="23">
        <v>40580</v>
      </c>
      <c r="C815" s="10">
        <v>1</v>
      </c>
      <c r="D815" s="10">
        <v>0</v>
      </c>
      <c r="E815" s="10">
        <v>2</v>
      </c>
      <c r="F815" s="10">
        <v>8</v>
      </c>
      <c r="G815" s="10" t="b">
        <v>0</v>
      </c>
      <c r="H815" s="10">
        <v>0</v>
      </c>
      <c r="I815" s="10" t="str">
        <f>IF(OR(Cleaned_datasetB[[#This Row],[Day_Code]]=0,Cleaned_datasetB[[#This Row],[Day_Code]]=6),"Weekend","Weekday")</f>
        <v>Weekend</v>
      </c>
      <c r="J815" s="10">
        <v>1</v>
      </c>
      <c r="K815" s="10">
        <v>0.24</v>
      </c>
      <c r="L815" s="51">
        <v>0.2576</v>
      </c>
      <c r="M815" s="10">
        <v>0.65</v>
      </c>
      <c r="N815" s="10">
        <v>0.1045</v>
      </c>
      <c r="O815" s="10">
        <v>2</v>
      </c>
      <c r="P815" s="10">
        <v>21</v>
      </c>
      <c r="Q815" s="10">
        <v>23</v>
      </c>
      <c r="R815" s="10" t="str">
        <f>VLOOKUP(Cleaned_datasetB[[#This Row],[Weather_Code]],Lookup_Tables!$E$9:$F$13,2,FALSE)</f>
        <v>Clear</v>
      </c>
      <c r="S815" s="10" t="str">
        <f>INDEX(Lookup_Tables!$I$10:$I$16,MATCH(Cleaned_datasetB[[#This Row],[Day_Code]],Lookup_Tables!$H$10:$H$16,0))</f>
        <v>Sunday</v>
      </c>
      <c r="T815" s="10" t="str">
        <f>VLOOKUP(Cleaned_datasetB[[#This Row],[Month]], Lookup_Tables!$K$8:$L$19, 2, FALSE)</f>
        <v>February</v>
      </c>
      <c r="U815" s="10" t="str">
        <f>IF(AND(Cleaned_datasetB[[#This Row],[Day_Type]]="Weekday",Cleaned_datasetB[[#This Row],[Is_Holiday]]=FALSE),"Working Day","Non-Working Day")</f>
        <v>Non-Working Day</v>
      </c>
    </row>
    <row r="816" spans="1:21">
      <c r="A816" s="10">
        <v>815</v>
      </c>
      <c r="B816" s="23">
        <v>40580</v>
      </c>
      <c r="C816" s="10">
        <v>1</v>
      </c>
      <c r="D816" s="10">
        <v>0</v>
      </c>
      <c r="E816" s="10">
        <v>2</v>
      </c>
      <c r="F816" s="10">
        <v>9</v>
      </c>
      <c r="G816" s="10" t="b">
        <v>0</v>
      </c>
      <c r="H816" s="10">
        <v>0</v>
      </c>
      <c r="I816" s="10" t="str">
        <f>IF(OR(Cleaned_datasetB[[#This Row],[Day_Code]]=0,Cleaned_datasetB[[#This Row],[Day_Code]]=6),"Weekend","Weekday")</f>
        <v>Weekend</v>
      </c>
      <c r="J816" s="10">
        <v>1</v>
      </c>
      <c r="K816" s="10">
        <v>0.28000000000000003</v>
      </c>
      <c r="L816" s="51">
        <v>0.28789999999999999</v>
      </c>
      <c r="M816" s="10">
        <v>0.56000000000000005</v>
      </c>
      <c r="N816" s="10">
        <v>0.1045</v>
      </c>
      <c r="O816" s="10">
        <v>7</v>
      </c>
      <c r="P816" s="10">
        <v>38</v>
      </c>
      <c r="Q816" s="10">
        <v>45</v>
      </c>
      <c r="R816" s="10" t="str">
        <f>VLOOKUP(Cleaned_datasetB[[#This Row],[Weather_Code]],Lookup_Tables!$E$9:$F$13,2,FALSE)</f>
        <v>Clear</v>
      </c>
      <c r="S816" s="10" t="str">
        <f>INDEX(Lookup_Tables!$I$10:$I$16,MATCH(Cleaned_datasetB[[#This Row],[Day_Code]],Lookup_Tables!$H$10:$H$16,0))</f>
        <v>Sunday</v>
      </c>
      <c r="T816" s="10" t="str">
        <f>VLOOKUP(Cleaned_datasetB[[#This Row],[Month]], Lookup_Tables!$K$8:$L$19, 2, FALSE)</f>
        <v>February</v>
      </c>
      <c r="U816" s="10" t="str">
        <f>IF(AND(Cleaned_datasetB[[#This Row],[Day_Type]]="Weekday",Cleaned_datasetB[[#This Row],[Is_Holiday]]=FALSE),"Working Day","Non-Working Day")</f>
        <v>Non-Working Day</v>
      </c>
    </row>
    <row r="817" spans="1:21">
      <c r="A817" s="10">
        <v>816</v>
      </c>
      <c r="B817" s="23">
        <v>40580</v>
      </c>
      <c r="C817" s="10">
        <v>1</v>
      </c>
      <c r="D817" s="10">
        <v>0</v>
      </c>
      <c r="E817" s="10">
        <v>2</v>
      </c>
      <c r="F817" s="10">
        <v>10</v>
      </c>
      <c r="G817" s="10" t="b">
        <v>0</v>
      </c>
      <c r="H817" s="10">
        <v>0</v>
      </c>
      <c r="I817" s="10" t="str">
        <f>IF(OR(Cleaned_datasetB[[#This Row],[Day_Code]]=0,Cleaned_datasetB[[#This Row],[Day_Code]]=6),"Weekend","Weekday")</f>
        <v>Weekend</v>
      </c>
      <c r="J817" s="10">
        <v>1</v>
      </c>
      <c r="K817" s="10">
        <v>0.3</v>
      </c>
      <c r="L817" s="51">
        <v>0.28789999999999999</v>
      </c>
      <c r="M817" s="10">
        <v>0.52</v>
      </c>
      <c r="N817" s="10">
        <v>0.25369999999999998</v>
      </c>
      <c r="O817" s="10">
        <v>15</v>
      </c>
      <c r="P817" s="10">
        <v>74</v>
      </c>
      <c r="Q817" s="10">
        <v>89</v>
      </c>
      <c r="R817" s="10" t="str">
        <f>VLOOKUP(Cleaned_datasetB[[#This Row],[Weather_Code]],Lookup_Tables!$E$9:$F$13,2,FALSE)</f>
        <v>Clear</v>
      </c>
      <c r="S817" s="10" t="str">
        <f>INDEX(Lookup_Tables!$I$10:$I$16,MATCH(Cleaned_datasetB[[#This Row],[Day_Code]],Lookup_Tables!$H$10:$H$16,0))</f>
        <v>Sunday</v>
      </c>
      <c r="T817" s="10" t="str">
        <f>VLOOKUP(Cleaned_datasetB[[#This Row],[Month]], Lookup_Tables!$K$8:$L$19, 2, FALSE)</f>
        <v>February</v>
      </c>
      <c r="U817" s="10" t="str">
        <f>IF(AND(Cleaned_datasetB[[#This Row],[Day_Type]]="Weekday",Cleaned_datasetB[[#This Row],[Is_Holiday]]=FALSE),"Working Day","Non-Working Day")</f>
        <v>Non-Working Day</v>
      </c>
    </row>
    <row r="818" spans="1:21">
      <c r="A818" s="10">
        <v>817</v>
      </c>
      <c r="B818" s="23">
        <v>40580</v>
      </c>
      <c r="C818" s="10">
        <v>1</v>
      </c>
      <c r="D818" s="10">
        <v>0</v>
      </c>
      <c r="E818" s="10">
        <v>2</v>
      </c>
      <c r="F818" s="10">
        <v>11</v>
      </c>
      <c r="G818" s="10" t="b">
        <v>0</v>
      </c>
      <c r="H818" s="10">
        <v>0</v>
      </c>
      <c r="I818" s="10" t="str">
        <f>IF(OR(Cleaned_datasetB[[#This Row],[Day_Code]]=0,Cleaned_datasetB[[#This Row],[Day_Code]]=6),"Weekend","Weekday")</f>
        <v>Weekend</v>
      </c>
      <c r="J818" s="10">
        <v>1</v>
      </c>
      <c r="K818" s="10">
        <v>0.32</v>
      </c>
      <c r="L818" s="51">
        <v>0.30299999999999999</v>
      </c>
      <c r="M818" s="10">
        <v>0.49</v>
      </c>
      <c r="N818" s="10">
        <v>0.25369999999999998</v>
      </c>
      <c r="O818" s="10">
        <v>28</v>
      </c>
      <c r="P818" s="10">
        <v>89</v>
      </c>
      <c r="Q818" s="10">
        <v>117</v>
      </c>
      <c r="R818" s="10" t="str">
        <f>VLOOKUP(Cleaned_datasetB[[#This Row],[Weather_Code]],Lookup_Tables!$E$9:$F$13,2,FALSE)</f>
        <v>Clear</v>
      </c>
      <c r="S818" s="10" t="str">
        <f>INDEX(Lookup_Tables!$I$10:$I$16,MATCH(Cleaned_datasetB[[#This Row],[Day_Code]],Lookup_Tables!$H$10:$H$16,0))</f>
        <v>Sunday</v>
      </c>
      <c r="T818" s="10" t="str">
        <f>VLOOKUP(Cleaned_datasetB[[#This Row],[Month]], Lookup_Tables!$K$8:$L$19, 2, FALSE)</f>
        <v>February</v>
      </c>
      <c r="U818" s="10" t="str">
        <f>IF(AND(Cleaned_datasetB[[#This Row],[Day_Type]]="Weekday",Cleaned_datasetB[[#This Row],[Is_Holiday]]=FALSE),"Working Day","Non-Working Day")</f>
        <v>Non-Working Day</v>
      </c>
    </row>
    <row r="819" spans="1:21">
      <c r="A819" s="10">
        <v>818</v>
      </c>
      <c r="B819" s="23">
        <v>40580</v>
      </c>
      <c r="C819" s="10">
        <v>1</v>
      </c>
      <c r="D819" s="10">
        <v>0</v>
      </c>
      <c r="E819" s="10">
        <v>2</v>
      </c>
      <c r="F819" s="10">
        <v>12</v>
      </c>
      <c r="G819" s="10" t="b">
        <v>0</v>
      </c>
      <c r="H819" s="10">
        <v>0</v>
      </c>
      <c r="I819" s="10" t="str">
        <f>IF(OR(Cleaned_datasetB[[#This Row],[Day_Code]]=0,Cleaned_datasetB[[#This Row],[Day_Code]]=6),"Weekend","Weekday")</f>
        <v>Weekend</v>
      </c>
      <c r="J819" s="10">
        <v>1</v>
      </c>
      <c r="K819" s="10">
        <v>0.34</v>
      </c>
      <c r="L819" s="51">
        <v>0.33329999999999999</v>
      </c>
      <c r="M819" s="10">
        <v>0.46</v>
      </c>
      <c r="N819" s="10">
        <v>0</v>
      </c>
      <c r="O819" s="10">
        <v>48</v>
      </c>
      <c r="P819" s="10">
        <v>126</v>
      </c>
      <c r="Q819" s="10">
        <v>174</v>
      </c>
      <c r="R819" s="10" t="str">
        <f>VLOOKUP(Cleaned_datasetB[[#This Row],[Weather_Code]],Lookup_Tables!$E$9:$F$13,2,FALSE)</f>
        <v>Clear</v>
      </c>
      <c r="S819" s="10" t="str">
        <f>INDEX(Lookup_Tables!$I$10:$I$16,MATCH(Cleaned_datasetB[[#This Row],[Day_Code]],Lookup_Tables!$H$10:$H$16,0))</f>
        <v>Sunday</v>
      </c>
      <c r="T819" s="10" t="str">
        <f>VLOOKUP(Cleaned_datasetB[[#This Row],[Month]], Lookup_Tables!$K$8:$L$19, 2, FALSE)</f>
        <v>February</v>
      </c>
      <c r="U819" s="10" t="str">
        <f>IF(AND(Cleaned_datasetB[[#This Row],[Day_Type]]="Weekday",Cleaned_datasetB[[#This Row],[Is_Holiday]]=FALSE),"Working Day","Non-Working Day")</f>
        <v>Non-Working Day</v>
      </c>
    </row>
    <row r="820" spans="1:21">
      <c r="A820" s="10">
        <v>819</v>
      </c>
      <c r="B820" s="23">
        <v>40580</v>
      </c>
      <c r="C820" s="10">
        <v>1</v>
      </c>
      <c r="D820" s="10">
        <v>0</v>
      </c>
      <c r="E820" s="10">
        <v>2</v>
      </c>
      <c r="F820" s="10">
        <v>13</v>
      </c>
      <c r="G820" s="10" t="b">
        <v>0</v>
      </c>
      <c r="H820" s="10">
        <v>0</v>
      </c>
      <c r="I820" s="10" t="str">
        <f>IF(OR(Cleaned_datasetB[[#This Row],[Day_Code]]=0,Cleaned_datasetB[[#This Row],[Day_Code]]=6),"Weekend","Weekday")</f>
        <v>Weekend</v>
      </c>
      <c r="J820" s="10">
        <v>1</v>
      </c>
      <c r="K820" s="10">
        <v>0.34</v>
      </c>
      <c r="L820" s="51">
        <v>0.36359999999999998</v>
      </c>
      <c r="M820" s="10">
        <v>0.46</v>
      </c>
      <c r="N820" s="10">
        <v>0</v>
      </c>
      <c r="O820" s="10">
        <v>47</v>
      </c>
      <c r="P820" s="10">
        <v>135</v>
      </c>
      <c r="Q820" s="10">
        <v>182</v>
      </c>
      <c r="R820" s="10" t="str">
        <f>VLOOKUP(Cleaned_datasetB[[#This Row],[Weather_Code]],Lookup_Tables!$E$9:$F$13,2,FALSE)</f>
        <v>Clear</v>
      </c>
      <c r="S820" s="10" t="str">
        <f>INDEX(Lookup_Tables!$I$10:$I$16,MATCH(Cleaned_datasetB[[#This Row],[Day_Code]],Lookup_Tables!$H$10:$H$16,0))</f>
        <v>Sunday</v>
      </c>
      <c r="T820" s="10" t="str">
        <f>VLOOKUP(Cleaned_datasetB[[#This Row],[Month]], Lookup_Tables!$K$8:$L$19, 2, FALSE)</f>
        <v>February</v>
      </c>
      <c r="U820" s="10" t="str">
        <f>IF(AND(Cleaned_datasetB[[#This Row],[Day_Type]]="Weekday",Cleaned_datasetB[[#This Row],[Is_Holiday]]=FALSE),"Working Day","Non-Working Day")</f>
        <v>Non-Working Day</v>
      </c>
    </row>
    <row r="821" spans="1:21">
      <c r="A821" s="10">
        <v>820</v>
      </c>
      <c r="B821" s="23">
        <v>40580</v>
      </c>
      <c r="C821" s="10">
        <v>1</v>
      </c>
      <c r="D821" s="10">
        <v>0</v>
      </c>
      <c r="E821" s="10">
        <v>2</v>
      </c>
      <c r="F821" s="10">
        <v>14</v>
      </c>
      <c r="G821" s="10" t="b">
        <v>0</v>
      </c>
      <c r="H821" s="10">
        <v>0</v>
      </c>
      <c r="I821" s="10" t="str">
        <f>IF(OR(Cleaned_datasetB[[#This Row],[Day_Code]]=0,Cleaned_datasetB[[#This Row],[Day_Code]]=6),"Weekend","Weekday")</f>
        <v>Weekend</v>
      </c>
      <c r="J821" s="10">
        <v>1</v>
      </c>
      <c r="K821" s="10">
        <v>0.34</v>
      </c>
      <c r="L821" s="51">
        <v>0.34849999999999998</v>
      </c>
      <c r="M821" s="10">
        <v>0.46</v>
      </c>
      <c r="N821" s="10">
        <v>8.9599999999999999E-2</v>
      </c>
      <c r="O821" s="10">
        <v>47</v>
      </c>
      <c r="P821" s="10">
        <v>114</v>
      </c>
      <c r="Q821" s="10">
        <v>161</v>
      </c>
      <c r="R821" s="10" t="str">
        <f>VLOOKUP(Cleaned_datasetB[[#This Row],[Weather_Code]],Lookup_Tables!$E$9:$F$13,2,FALSE)</f>
        <v>Clear</v>
      </c>
      <c r="S821" s="10" t="str">
        <f>INDEX(Lookup_Tables!$I$10:$I$16,MATCH(Cleaned_datasetB[[#This Row],[Day_Code]],Lookup_Tables!$H$10:$H$16,0))</f>
        <v>Sunday</v>
      </c>
      <c r="T821" s="10" t="str">
        <f>VLOOKUP(Cleaned_datasetB[[#This Row],[Month]], Lookup_Tables!$K$8:$L$19, 2, FALSE)</f>
        <v>February</v>
      </c>
      <c r="U821" s="10" t="str">
        <f>IF(AND(Cleaned_datasetB[[#This Row],[Day_Type]]="Weekday",Cleaned_datasetB[[#This Row],[Is_Holiday]]=FALSE),"Working Day","Non-Working Day")</f>
        <v>Non-Working Day</v>
      </c>
    </row>
    <row r="822" spans="1:21">
      <c r="A822" s="10">
        <v>821</v>
      </c>
      <c r="B822" s="23">
        <v>40580</v>
      </c>
      <c r="C822" s="10">
        <v>1</v>
      </c>
      <c r="D822" s="10">
        <v>0</v>
      </c>
      <c r="E822" s="10">
        <v>2</v>
      </c>
      <c r="F822" s="10">
        <v>15</v>
      </c>
      <c r="G822" s="10" t="b">
        <v>0</v>
      </c>
      <c r="H822" s="10">
        <v>0</v>
      </c>
      <c r="I822" s="10" t="str">
        <f>IF(OR(Cleaned_datasetB[[#This Row],[Day_Code]]=0,Cleaned_datasetB[[#This Row],[Day_Code]]=6),"Weekend","Weekday")</f>
        <v>Weekend</v>
      </c>
      <c r="J822" s="10">
        <v>1</v>
      </c>
      <c r="K822" s="10">
        <v>0.34</v>
      </c>
      <c r="L822" s="51">
        <v>0.34849999999999998</v>
      </c>
      <c r="M822" s="10">
        <v>0.46</v>
      </c>
      <c r="N822" s="10">
        <v>8.9599999999999999E-2</v>
      </c>
      <c r="O822" s="10">
        <v>52</v>
      </c>
      <c r="P822" s="10">
        <v>130</v>
      </c>
      <c r="Q822" s="10">
        <v>182</v>
      </c>
      <c r="R822" s="10" t="str">
        <f>VLOOKUP(Cleaned_datasetB[[#This Row],[Weather_Code]],Lookup_Tables!$E$9:$F$13,2,FALSE)</f>
        <v>Clear</v>
      </c>
      <c r="S822" s="10" t="str">
        <f>INDEX(Lookup_Tables!$I$10:$I$16,MATCH(Cleaned_datasetB[[#This Row],[Day_Code]],Lookup_Tables!$H$10:$H$16,0))</f>
        <v>Sunday</v>
      </c>
      <c r="T822" s="10" t="str">
        <f>VLOOKUP(Cleaned_datasetB[[#This Row],[Month]], Lookup_Tables!$K$8:$L$19, 2, FALSE)</f>
        <v>February</v>
      </c>
      <c r="U822" s="10" t="str">
        <f>IF(AND(Cleaned_datasetB[[#This Row],[Day_Type]]="Weekday",Cleaned_datasetB[[#This Row],[Is_Holiday]]=FALSE),"Working Day","Non-Working Day")</f>
        <v>Non-Working Day</v>
      </c>
    </row>
    <row r="823" spans="1:21">
      <c r="A823" s="10">
        <v>822</v>
      </c>
      <c r="B823" s="23">
        <v>40580</v>
      </c>
      <c r="C823" s="10">
        <v>1</v>
      </c>
      <c r="D823" s="10">
        <v>0</v>
      </c>
      <c r="E823" s="10">
        <v>2</v>
      </c>
      <c r="F823" s="10">
        <v>16</v>
      </c>
      <c r="G823" s="10" t="b">
        <v>0</v>
      </c>
      <c r="H823" s="10">
        <v>0</v>
      </c>
      <c r="I823" s="10" t="str">
        <f>IF(OR(Cleaned_datasetB[[#This Row],[Day_Code]]=0,Cleaned_datasetB[[#This Row],[Day_Code]]=6),"Weekend","Weekday")</f>
        <v>Weekend</v>
      </c>
      <c r="J823" s="10">
        <v>1</v>
      </c>
      <c r="K823" s="10">
        <v>0.34</v>
      </c>
      <c r="L823" s="51">
        <v>0.34849999999999998</v>
      </c>
      <c r="M823" s="10">
        <v>0.49</v>
      </c>
      <c r="N823" s="10">
        <v>0.1045</v>
      </c>
      <c r="O823" s="10">
        <v>42</v>
      </c>
      <c r="P823" s="10">
        <v>115</v>
      </c>
      <c r="Q823" s="10">
        <v>157</v>
      </c>
      <c r="R823" s="10" t="str">
        <f>VLOOKUP(Cleaned_datasetB[[#This Row],[Weather_Code]],Lookup_Tables!$E$9:$F$13,2,FALSE)</f>
        <v>Clear</v>
      </c>
      <c r="S823" s="10" t="str">
        <f>INDEX(Lookup_Tables!$I$10:$I$16,MATCH(Cleaned_datasetB[[#This Row],[Day_Code]],Lookup_Tables!$H$10:$H$16,0))</f>
        <v>Sunday</v>
      </c>
      <c r="T823" s="10" t="str">
        <f>VLOOKUP(Cleaned_datasetB[[#This Row],[Month]], Lookup_Tables!$K$8:$L$19, 2, FALSE)</f>
        <v>February</v>
      </c>
      <c r="U823" s="10" t="str">
        <f>IF(AND(Cleaned_datasetB[[#This Row],[Day_Type]]="Weekday",Cleaned_datasetB[[#This Row],[Is_Holiday]]=FALSE),"Working Day","Non-Working Day")</f>
        <v>Non-Working Day</v>
      </c>
    </row>
    <row r="824" spans="1:21">
      <c r="A824" s="10">
        <v>823</v>
      </c>
      <c r="B824" s="23">
        <v>40580</v>
      </c>
      <c r="C824" s="10">
        <v>1</v>
      </c>
      <c r="D824" s="10">
        <v>0</v>
      </c>
      <c r="E824" s="10">
        <v>2</v>
      </c>
      <c r="F824" s="10">
        <v>17</v>
      </c>
      <c r="G824" s="10" t="b">
        <v>0</v>
      </c>
      <c r="H824" s="10">
        <v>0</v>
      </c>
      <c r="I824" s="10" t="str">
        <f>IF(OR(Cleaned_datasetB[[#This Row],[Day_Code]]=0,Cleaned_datasetB[[#This Row],[Day_Code]]=6),"Weekend","Weekday")</f>
        <v>Weekend</v>
      </c>
      <c r="J824" s="10">
        <v>1</v>
      </c>
      <c r="K824" s="10">
        <v>0.34</v>
      </c>
      <c r="L824" s="51">
        <v>0.36359999999999998</v>
      </c>
      <c r="M824" s="10">
        <v>0.46</v>
      </c>
      <c r="N824" s="10">
        <v>0</v>
      </c>
      <c r="O824" s="10">
        <v>24</v>
      </c>
      <c r="P824" s="10">
        <v>97</v>
      </c>
      <c r="Q824" s="10">
        <v>121</v>
      </c>
      <c r="R824" s="10" t="str">
        <f>VLOOKUP(Cleaned_datasetB[[#This Row],[Weather_Code]],Lookup_Tables!$E$9:$F$13,2,FALSE)</f>
        <v>Clear</v>
      </c>
      <c r="S824" s="10" t="str">
        <f>INDEX(Lookup_Tables!$I$10:$I$16,MATCH(Cleaned_datasetB[[#This Row],[Day_Code]],Lookup_Tables!$H$10:$H$16,0))</f>
        <v>Sunday</v>
      </c>
      <c r="T824" s="10" t="str">
        <f>VLOOKUP(Cleaned_datasetB[[#This Row],[Month]], Lookup_Tables!$K$8:$L$19, 2, FALSE)</f>
        <v>February</v>
      </c>
      <c r="U824" s="10" t="str">
        <f>IF(AND(Cleaned_datasetB[[#This Row],[Day_Type]]="Weekday",Cleaned_datasetB[[#This Row],[Is_Holiday]]=FALSE),"Working Day","Non-Working Day")</f>
        <v>Non-Working Day</v>
      </c>
    </row>
    <row r="825" spans="1:21">
      <c r="A825" s="10">
        <v>824</v>
      </c>
      <c r="B825" s="23">
        <v>40580</v>
      </c>
      <c r="C825" s="10">
        <v>1</v>
      </c>
      <c r="D825" s="10">
        <v>0</v>
      </c>
      <c r="E825" s="10">
        <v>2</v>
      </c>
      <c r="F825" s="10">
        <v>18</v>
      </c>
      <c r="G825" s="10" t="b">
        <v>0</v>
      </c>
      <c r="H825" s="10">
        <v>0</v>
      </c>
      <c r="I825" s="10" t="str">
        <f>IF(OR(Cleaned_datasetB[[#This Row],[Day_Code]]=0,Cleaned_datasetB[[#This Row],[Day_Code]]=6),"Weekend","Weekday")</f>
        <v>Weekend</v>
      </c>
      <c r="J825" s="10">
        <v>1</v>
      </c>
      <c r="K825" s="10">
        <v>0.3</v>
      </c>
      <c r="L825" s="51">
        <v>0.30299999999999999</v>
      </c>
      <c r="M825" s="10">
        <v>0.56000000000000005</v>
      </c>
      <c r="N825" s="10">
        <v>0.16420000000000001</v>
      </c>
      <c r="O825" s="10">
        <v>13</v>
      </c>
      <c r="P825" s="10">
        <v>65</v>
      </c>
      <c r="Q825" s="10">
        <v>78</v>
      </c>
      <c r="R825" s="10" t="str">
        <f>VLOOKUP(Cleaned_datasetB[[#This Row],[Weather_Code]],Lookup_Tables!$E$9:$F$13,2,FALSE)</f>
        <v>Clear</v>
      </c>
      <c r="S825" s="10" t="str">
        <f>INDEX(Lookup_Tables!$I$10:$I$16,MATCH(Cleaned_datasetB[[#This Row],[Day_Code]],Lookup_Tables!$H$10:$H$16,0))</f>
        <v>Sunday</v>
      </c>
      <c r="T825" s="10" t="str">
        <f>VLOOKUP(Cleaned_datasetB[[#This Row],[Month]], Lookup_Tables!$K$8:$L$19, 2, FALSE)</f>
        <v>February</v>
      </c>
      <c r="U825" s="10" t="str">
        <f>IF(AND(Cleaned_datasetB[[#This Row],[Day_Type]]="Weekday",Cleaned_datasetB[[#This Row],[Is_Holiday]]=FALSE),"Working Day","Non-Working Day")</f>
        <v>Non-Working Day</v>
      </c>
    </row>
    <row r="826" spans="1:21">
      <c r="A826" s="10">
        <v>825</v>
      </c>
      <c r="B826" s="23">
        <v>40580</v>
      </c>
      <c r="C826" s="10">
        <v>1</v>
      </c>
      <c r="D826" s="10">
        <v>0</v>
      </c>
      <c r="E826" s="10">
        <v>2</v>
      </c>
      <c r="F826" s="10">
        <v>19</v>
      </c>
      <c r="G826" s="10" t="b">
        <v>0</v>
      </c>
      <c r="H826" s="10">
        <v>0</v>
      </c>
      <c r="I826" s="10" t="str">
        <f>IF(OR(Cleaned_datasetB[[#This Row],[Day_Code]]=0,Cleaned_datasetB[[#This Row],[Day_Code]]=6),"Weekend","Weekday")</f>
        <v>Weekend</v>
      </c>
      <c r="J826" s="10">
        <v>1</v>
      </c>
      <c r="K826" s="10">
        <v>0.28000000000000003</v>
      </c>
      <c r="L826" s="51">
        <v>0.28789999999999999</v>
      </c>
      <c r="M826" s="10">
        <v>0.61</v>
      </c>
      <c r="N826" s="10">
        <v>0.1343</v>
      </c>
      <c r="O826" s="10">
        <v>1</v>
      </c>
      <c r="P826" s="10">
        <v>20</v>
      </c>
      <c r="Q826" s="10">
        <v>21</v>
      </c>
      <c r="R826" s="10" t="str">
        <f>VLOOKUP(Cleaned_datasetB[[#This Row],[Weather_Code]],Lookup_Tables!$E$9:$F$13,2,FALSE)</f>
        <v>Clear</v>
      </c>
      <c r="S826" s="10" t="str">
        <f>INDEX(Lookup_Tables!$I$10:$I$16,MATCH(Cleaned_datasetB[[#This Row],[Day_Code]],Lookup_Tables!$H$10:$H$16,0))</f>
        <v>Sunday</v>
      </c>
      <c r="T826" s="10" t="str">
        <f>VLOOKUP(Cleaned_datasetB[[#This Row],[Month]], Lookup_Tables!$K$8:$L$19, 2, FALSE)</f>
        <v>February</v>
      </c>
      <c r="U826" s="10" t="str">
        <f>IF(AND(Cleaned_datasetB[[#This Row],[Day_Type]]="Weekday",Cleaned_datasetB[[#This Row],[Is_Holiday]]=FALSE),"Working Day","Non-Working Day")</f>
        <v>Non-Working Day</v>
      </c>
    </row>
    <row r="827" spans="1:21">
      <c r="A827" s="10">
        <v>826</v>
      </c>
      <c r="B827" s="23">
        <v>40580</v>
      </c>
      <c r="C827" s="10">
        <v>1</v>
      </c>
      <c r="D827" s="10">
        <v>0</v>
      </c>
      <c r="E827" s="10">
        <v>2</v>
      </c>
      <c r="F827" s="10">
        <v>20</v>
      </c>
      <c r="G827" s="10" t="b">
        <v>0</v>
      </c>
      <c r="H827" s="10">
        <v>0</v>
      </c>
      <c r="I827" s="10" t="str">
        <f>IF(OR(Cleaned_datasetB[[#This Row],[Day_Code]]=0,Cleaned_datasetB[[#This Row],[Day_Code]]=6),"Weekend","Weekday")</f>
        <v>Weekend</v>
      </c>
      <c r="J827" s="10">
        <v>1</v>
      </c>
      <c r="K827" s="10">
        <v>0.28000000000000003</v>
      </c>
      <c r="L827" s="51">
        <v>0.28789999999999999</v>
      </c>
      <c r="M827" s="10">
        <v>0.61</v>
      </c>
      <c r="N827" s="10">
        <v>0.1045</v>
      </c>
      <c r="O827" s="10">
        <v>5</v>
      </c>
      <c r="P827" s="10">
        <v>21</v>
      </c>
      <c r="Q827" s="10">
        <v>26</v>
      </c>
      <c r="R827" s="10" t="str">
        <f>VLOOKUP(Cleaned_datasetB[[#This Row],[Weather_Code]],Lookup_Tables!$E$9:$F$13,2,FALSE)</f>
        <v>Clear</v>
      </c>
      <c r="S827" s="10" t="str">
        <f>INDEX(Lookup_Tables!$I$10:$I$16,MATCH(Cleaned_datasetB[[#This Row],[Day_Code]],Lookup_Tables!$H$10:$H$16,0))</f>
        <v>Sunday</v>
      </c>
      <c r="T827" s="10" t="str">
        <f>VLOOKUP(Cleaned_datasetB[[#This Row],[Month]], Lookup_Tables!$K$8:$L$19, 2, FALSE)</f>
        <v>February</v>
      </c>
      <c r="U827" s="10" t="str">
        <f>IF(AND(Cleaned_datasetB[[#This Row],[Day_Type]]="Weekday",Cleaned_datasetB[[#This Row],[Is_Holiday]]=FALSE),"Working Day","Non-Working Day")</f>
        <v>Non-Working Day</v>
      </c>
    </row>
    <row r="828" spans="1:21">
      <c r="A828" s="10">
        <v>827</v>
      </c>
      <c r="B828" s="23">
        <v>40580</v>
      </c>
      <c r="C828" s="10">
        <v>1</v>
      </c>
      <c r="D828" s="10">
        <v>0</v>
      </c>
      <c r="E828" s="10">
        <v>2</v>
      </c>
      <c r="F828" s="10">
        <v>21</v>
      </c>
      <c r="G828" s="10" t="b">
        <v>0</v>
      </c>
      <c r="H828" s="10">
        <v>0</v>
      </c>
      <c r="I828" s="10" t="str">
        <f>IF(OR(Cleaned_datasetB[[#This Row],[Day_Code]]=0,Cleaned_datasetB[[#This Row],[Day_Code]]=6),"Weekend","Weekday")</f>
        <v>Weekend</v>
      </c>
      <c r="J828" s="10">
        <v>1</v>
      </c>
      <c r="K828" s="10">
        <v>0.26</v>
      </c>
      <c r="L828" s="51">
        <v>0.30299999999999999</v>
      </c>
      <c r="M828" s="10">
        <v>0.6</v>
      </c>
      <c r="N828" s="10">
        <v>0</v>
      </c>
      <c r="O828" s="10">
        <v>5</v>
      </c>
      <c r="P828" s="10">
        <v>22</v>
      </c>
      <c r="Q828" s="10">
        <v>27</v>
      </c>
      <c r="R828" s="10" t="str">
        <f>VLOOKUP(Cleaned_datasetB[[#This Row],[Weather_Code]],Lookup_Tables!$E$9:$F$13,2,FALSE)</f>
        <v>Clear</v>
      </c>
      <c r="S828" s="10" t="str">
        <f>INDEX(Lookup_Tables!$I$10:$I$16,MATCH(Cleaned_datasetB[[#This Row],[Day_Code]],Lookup_Tables!$H$10:$H$16,0))</f>
        <v>Sunday</v>
      </c>
      <c r="T828" s="10" t="str">
        <f>VLOOKUP(Cleaned_datasetB[[#This Row],[Month]], Lookup_Tables!$K$8:$L$19, 2, FALSE)</f>
        <v>February</v>
      </c>
      <c r="U828" s="10" t="str">
        <f>IF(AND(Cleaned_datasetB[[#This Row],[Day_Type]]="Weekday",Cleaned_datasetB[[#This Row],[Is_Holiday]]=FALSE),"Working Day","Non-Working Day")</f>
        <v>Non-Working Day</v>
      </c>
    </row>
    <row r="829" spans="1:21">
      <c r="A829" s="10">
        <v>828</v>
      </c>
      <c r="B829" s="23">
        <v>40580</v>
      </c>
      <c r="C829" s="10">
        <v>1</v>
      </c>
      <c r="D829" s="10">
        <v>0</v>
      </c>
      <c r="E829" s="10">
        <v>2</v>
      </c>
      <c r="F829" s="10">
        <v>22</v>
      </c>
      <c r="G829" s="10" t="b">
        <v>0</v>
      </c>
      <c r="H829" s="10">
        <v>0</v>
      </c>
      <c r="I829" s="10" t="str">
        <f>IF(OR(Cleaned_datasetB[[#This Row],[Day_Code]]=0,Cleaned_datasetB[[#This Row],[Day_Code]]=6),"Weekend","Weekday")</f>
        <v>Weekend</v>
      </c>
      <c r="J829" s="10">
        <v>1</v>
      </c>
      <c r="K829" s="10">
        <v>0.26</v>
      </c>
      <c r="L829" s="51">
        <v>0.30299999999999999</v>
      </c>
      <c r="M829" s="10">
        <v>0.6</v>
      </c>
      <c r="N829" s="10">
        <v>0</v>
      </c>
      <c r="O829" s="10">
        <v>5</v>
      </c>
      <c r="P829" s="10">
        <v>57</v>
      </c>
      <c r="Q829" s="10">
        <v>62</v>
      </c>
      <c r="R829" s="10" t="str">
        <f>VLOOKUP(Cleaned_datasetB[[#This Row],[Weather_Code]],Lookup_Tables!$E$9:$F$13,2,FALSE)</f>
        <v>Clear</v>
      </c>
      <c r="S829" s="10" t="str">
        <f>INDEX(Lookup_Tables!$I$10:$I$16,MATCH(Cleaned_datasetB[[#This Row],[Day_Code]],Lookup_Tables!$H$10:$H$16,0))</f>
        <v>Sunday</v>
      </c>
      <c r="T829" s="10" t="str">
        <f>VLOOKUP(Cleaned_datasetB[[#This Row],[Month]], Lookup_Tables!$K$8:$L$19, 2, FALSE)</f>
        <v>February</v>
      </c>
      <c r="U829" s="10" t="str">
        <f>IF(AND(Cleaned_datasetB[[#This Row],[Day_Type]]="Weekday",Cleaned_datasetB[[#This Row],[Is_Holiday]]=FALSE),"Working Day","Non-Working Day")</f>
        <v>Non-Working Day</v>
      </c>
    </row>
    <row r="830" spans="1:21">
      <c r="A830" s="10">
        <v>829</v>
      </c>
      <c r="B830" s="23">
        <v>40580</v>
      </c>
      <c r="C830" s="10">
        <v>1</v>
      </c>
      <c r="D830" s="10">
        <v>0</v>
      </c>
      <c r="E830" s="10">
        <v>2</v>
      </c>
      <c r="F830" s="10">
        <v>23</v>
      </c>
      <c r="G830" s="10" t="b">
        <v>0</v>
      </c>
      <c r="H830" s="10">
        <v>0</v>
      </c>
      <c r="I830" s="10" t="str">
        <f>IF(OR(Cleaned_datasetB[[#This Row],[Day_Code]]=0,Cleaned_datasetB[[#This Row],[Day_Code]]=6),"Weekend","Weekday")</f>
        <v>Weekend</v>
      </c>
      <c r="J830" s="10">
        <v>1</v>
      </c>
      <c r="K830" s="10">
        <v>0.24</v>
      </c>
      <c r="L830" s="51">
        <v>0.28789999999999999</v>
      </c>
      <c r="M830" s="10">
        <v>0.65</v>
      </c>
      <c r="N830" s="10">
        <v>0</v>
      </c>
      <c r="O830" s="10">
        <v>4</v>
      </c>
      <c r="P830" s="10">
        <v>26</v>
      </c>
      <c r="Q830" s="10">
        <v>30</v>
      </c>
      <c r="R830" s="10" t="str">
        <f>VLOOKUP(Cleaned_datasetB[[#This Row],[Weather_Code]],Lookup_Tables!$E$9:$F$13,2,FALSE)</f>
        <v>Clear</v>
      </c>
      <c r="S830" s="10" t="str">
        <f>INDEX(Lookup_Tables!$I$10:$I$16,MATCH(Cleaned_datasetB[[#This Row],[Day_Code]],Lookup_Tables!$H$10:$H$16,0))</f>
        <v>Sunday</v>
      </c>
      <c r="T830" s="10" t="str">
        <f>VLOOKUP(Cleaned_datasetB[[#This Row],[Month]], Lookup_Tables!$K$8:$L$19, 2, FALSE)</f>
        <v>February</v>
      </c>
      <c r="U830" s="10" t="str">
        <f>IF(AND(Cleaned_datasetB[[#This Row],[Day_Type]]="Weekday",Cleaned_datasetB[[#This Row],[Is_Holiday]]=FALSE),"Working Day","Non-Working Day")</f>
        <v>Non-Working Day</v>
      </c>
    </row>
    <row r="831" spans="1:21">
      <c r="A831" s="10">
        <v>830</v>
      </c>
      <c r="B831" s="23">
        <v>40581</v>
      </c>
      <c r="C831" s="10">
        <v>1</v>
      </c>
      <c r="D831" s="10">
        <v>0</v>
      </c>
      <c r="E831" s="10">
        <v>2</v>
      </c>
      <c r="F831" s="10">
        <v>0</v>
      </c>
      <c r="G831" s="10" t="b">
        <v>0</v>
      </c>
      <c r="H831" s="10">
        <v>1</v>
      </c>
      <c r="I831" s="10" t="str">
        <f>IF(OR(Cleaned_datasetB[[#This Row],[Day_Code]]=0,Cleaned_datasetB[[#This Row],[Day_Code]]=6),"Weekend","Weekday")</f>
        <v>Weekday</v>
      </c>
      <c r="J831" s="10">
        <v>1</v>
      </c>
      <c r="K831" s="10">
        <v>0.24</v>
      </c>
      <c r="L831" s="51">
        <v>0.28789999999999999</v>
      </c>
      <c r="M831" s="10">
        <v>0.65</v>
      </c>
      <c r="N831" s="10">
        <v>0</v>
      </c>
      <c r="O831" s="10">
        <v>1</v>
      </c>
      <c r="P831" s="10">
        <v>14</v>
      </c>
      <c r="Q831" s="10">
        <v>15</v>
      </c>
      <c r="R831" s="10" t="str">
        <f>VLOOKUP(Cleaned_datasetB[[#This Row],[Weather_Code]],Lookup_Tables!$E$9:$F$13,2,FALSE)</f>
        <v>Clear</v>
      </c>
      <c r="S831" s="10" t="str">
        <f>INDEX(Lookup_Tables!$I$10:$I$16,MATCH(Cleaned_datasetB[[#This Row],[Day_Code]],Lookup_Tables!$H$10:$H$16,0))</f>
        <v>Monday</v>
      </c>
      <c r="T831" s="10" t="str">
        <f>VLOOKUP(Cleaned_datasetB[[#This Row],[Month]], Lookup_Tables!$K$8:$L$19, 2, FALSE)</f>
        <v>February</v>
      </c>
      <c r="U831" s="10" t="str">
        <f>IF(AND(Cleaned_datasetB[[#This Row],[Day_Type]]="Weekday",Cleaned_datasetB[[#This Row],[Is_Holiday]]=FALSE),"Working Day","Non-Working Day")</f>
        <v>Working Day</v>
      </c>
    </row>
    <row r="832" spans="1:21">
      <c r="A832" s="10">
        <v>831</v>
      </c>
      <c r="B832" s="23">
        <v>40581</v>
      </c>
      <c r="C832" s="10">
        <v>1</v>
      </c>
      <c r="D832" s="10">
        <v>0</v>
      </c>
      <c r="E832" s="10">
        <v>2</v>
      </c>
      <c r="F832" s="10">
        <v>1</v>
      </c>
      <c r="G832" s="10" t="b">
        <v>0</v>
      </c>
      <c r="H832" s="10">
        <v>1</v>
      </c>
      <c r="I832" s="10" t="str">
        <f>IF(OR(Cleaned_datasetB[[#This Row],[Day_Code]]=0,Cleaned_datasetB[[#This Row],[Day_Code]]=6),"Weekend","Weekday")</f>
        <v>Weekday</v>
      </c>
      <c r="J832" s="10">
        <v>1</v>
      </c>
      <c r="K832" s="10">
        <v>0.22</v>
      </c>
      <c r="L832" s="51">
        <v>0.2727</v>
      </c>
      <c r="M832" s="10">
        <v>0.75</v>
      </c>
      <c r="N832" s="10">
        <v>0</v>
      </c>
      <c r="O832" s="10">
        <v>1</v>
      </c>
      <c r="P832" s="10">
        <v>4</v>
      </c>
      <c r="Q832" s="10">
        <v>5</v>
      </c>
      <c r="R832" s="10" t="str">
        <f>VLOOKUP(Cleaned_datasetB[[#This Row],[Weather_Code]],Lookup_Tables!$E$9:$F$13,2,FALSE)</f>
        <v>Clear</v>
      </c>
      <c r="S832" s="10" t="str">
        <f>INDEX(Lookup_Tables!$I$10:$I$16,MATCH(Cleaned_datasetB[[#This Row],[Day_Code]],Lookup_Tables!$H$10:$H$16,0))</f>
        <v>Monday</v>
      </c>
      <c r="T832" s="10" t="str">
        <f>VLOOKUP(Cleaned_datasetB[[#This Row],[Month]], Lookup_Tables!$K$8:$L$19, 2, FALSE)</f>
        <v>February</v>
      </c>
      <c r="U832" s="10" t="str">
        <f>IF(AND(Cleaned_datasetB[[#This Row],[Day_Type]]="Weekday",Cleaned_datasetB[[#This Row],[Is_Holiday]]=FALSE),"Working Day","Non-Working Day")</f>
        <v>Working Day</v>
      </c>
    </row>
    <row r="833" spans="1:21">
      <c r="A833" s="10">
        <v>832</v>
      </c>
      <c r="B833" s="23">
        <v>40581</v>
      </c>
      <c r="C833" s="10">
        <v>1</v>
      </c>
      <c r="D833" s="10">
        <v>0</v>
      </c>
      <c r="E833" s="10">
        <v>2</v>
      </c>
      <c r="F833" s="10">
        <v>2</v>
      </c>
      <c r="G833" s="10" t="b">
        <v>0</v>
      </c>
      <c r="H833" s="10">
        <v>1</v>
      </c>
      <c r="I833" s="10" t="str">
        <f>IF(OR(Cleaned_datasetB[[#This Row],[Day_Code]]=0,Cleaned_datasetB[[#This Row],[Day_Code]]=6),"Weekend","Weekday")</f>
        <v>Weekday</v>
      </c>
      <c r="J833" s="10">
        <v>1</v>
      </c>
      <c r="K833" s="10">
        <v>0.2</v>
      </c>
      <c r="L833" s="51">
        <v>0.2576</v>
      </c>
      <c r="M833" s="10">
        <v>0.8</v>
      </c>
      <c r="N833" s="10">
        <v>0</v>
      </c>
      <c r="O833" s="10">
        <v>0</v>
      </c>
      <c r="P833" s="10">
        <v>3</v>
      </c>
      <c r="Q833" s="10">
        <v>3</v>
      </c>
      <c r="R833" s="10" t="str">
        <f>VLOOKUP(Cleaned_datasetB[[#This Row],[Weather_Code]],Lookup_Tables!$E$9:$F$13,2,FALSE)</f>
        <v>Clear</v>
      </c>
      <c r="S833" s="10" t="str">
        <f>INDEX(Lookup_Tables!$I$10:$I$16,MATCH(Cleaned_datasetB[[#This Row],[Day_Code]],Lookup_Tables!$H$10:$H$16,0))</f>
        <v>Monday</v>
      </c>
      <c r="T833" s="10" t="str">
        <f>VLOOKUP(Cleaned_datasetB[[#This Row],[Month]], Lookup_Tables!$K$8:$L$19, 2, FALSE)</f>
        <v>February</v>
      </c>
      <c r="U833" s="10" t="str">
        <f>IF(AND(Cleaned_datasetB[[#This Row],[Day_Type]]="Weekday",Cleaned_datasetB[[#This Row],[Is_Holiday]]=FALSE),"Working Day","Non-Working Day")</f>
        <v>Working Day</v>
      </c>
    </row>
    <row r="834" spans="1:21">
      <c r="A834" s="10">
        <v>833</v>
      </c>
      <c r="B834" s="23">
        <v>40581</v>
      </c>
      <c r="C834" s="10">
        <v>1</v>
      </c>
      <c r="D834" s="10">
        <v>0</v>
      </c>
      <c r="E834" s="10">
        <v>2</v>
      </c>
      <c r="F834" s="10">
        <v>3</v>
      </c>
      <c r="G834" s="10" t="b">
        <v>0</v>
      </c>
      <c r="H834" s="10">
        <v>1</v>
      </c>
      <c r="I834" s="10" t="str">
        <f>IF(OR(Cleaned_datasetB[[#This Row],[Day_Code]]=0,Cleaned_datasetB[[#This Row],[Day_Code]]=6),"Weekend","Weekday")</f>
        <v>Weekday</v>
      </c>
      <c r="J834" s="10">
        <v>1</v>
      </c>
      <c r="K834" s="10">
        <v>0.2</v>
      </c>
      <c r="L834" s="51">
        <v>0.2576</v>
      </c>
      <c r="M834" s="10">
        <v>0.86</v>
      </c>
      <c r="N834" s="10">
        <v>0</v>
      </c>
      <c r="O834" s="10">
        <v>0</v>
      </c>
      <c r="P834" s="10">
        <v>1</v>
      </c>
      <c r="Q834" s="10">
        <v>1</v>
      </c>
      <c r="R834" s="10" t="str">
        <f>VLOOKUP(Cleaned_datasetB[[#This Row],[Weather_Code]],Lookup_Tables!$E$9:$F$13,2,FALSE)</f>
        <v>Clear</v>
      </c>
      <c r="S834" s="10" t="str">
        <f>INDEX(Lookup_Tables!$I$10:$I$16,MATCH(Cleaned_datasetB[[#This Row],[Day_Code]],Lookup_Tables!$H$10:$H$16,0))</f>
        <v>Monday</v>
      </c>
      <c r="T834" s="10" t="str">
        <f>VLOOKUP(Cleaned_datasetB[[#This Row],[Month]], Lookup_Tables!$K$8:$L$19, 2, FALSE)</f>
        <v>February</v>
      </c>
      <c r="U834" s="10" t="str">
        <f>IF(AND(Cleaned_datasetB[[#This Row],[Day_Type]]="Weekday",Cleaned_datasetB[[#This Row],[Is_Holiday]]=FALSE),"Working Day","Non-Working Day")</f>
        <v>Working Day</v>
      </c>
    </row>
    <row r="835" spans="1:21">
      <c r="A835" s="10">
        <v>834</v>
      </c>
      <c r="B835" s="23">
        <v>40581</v>
      </c>
      <c r="C835" s="10">
        <v>1</v>
      </c>
      <c r="D835" s="10">
        <v>0</v>
      </c>
      <c r="E835" s="10">
        <v>2</v>
      </c>
      <c r="F835" s="10">
        <v>4</v>
      </c>
      <c r="G835" s="10" t="b">
        <v>0</v>
      </c>
      <c r="H835" s="10">
        <v>1</v>
      </c>
      <c r="I835" s="10" t="str">
        <f>IF(OR(Cleaned_datasetB[[#This Row],[Day_Code]]=0,Cleaned_datasetB[[#This Row],[Day_Code]]=6),"Weekend","Weekday")</f>
        <v>Weekday</v>
      </c>
      <c r="J835" s="10">
        <v>1</v>
      </c>
      <c r="K835" s="10">
        <v>0.2</v>
      </c>
      <c r="L835" s="51">
        <v>0.2576</v>
      </c>
      <c r="M835" s="10">
        <v>0.86</v>
      </c>
      <c r="N835" s="10">
        <v>0</v>
      </c>
      <c r="O835" s="10">
        <v>1</v>
      </c>
      <c r="P835" s="10">
        <v>1</v>
      </c>
      <c r="Q835" s="10">
        <v>2</v>
      </c>
      <c r="R835" s="10" t="str">
        <f>VLOOKUP(Cleaned_datasetB[[#This Row],[Weather_Code]],Lookup_Tables!$E$9:$F$13,2,FALSE)</f>
        <v>Clear</v>
      </c>
      <c r="S835" s="10" t="str">
        <f>INDEX(Lookup_Tables!$I$10:$I$16,MATCH(Cleaned_datasetB[[#This Row],[Day_Code]],Lookup_Tables!$H$10:$H$16,0))</f>
        <v>Monday</v>
      </c>
      <c r="T835" s="10" t="str">
        <f>VLOOKUP(Cleaned_datasetB[[#This Row],[Month]], Lookup_Tables!$K$8:$L$19, 2, FALSE)</f>
        <v>February</v>
      </c>
      <c r="U835" s="10" t="str">
        <f>IF(AND(Cleaned_datasetB[[#This Row],[Day_Type]]="Weekday",Cleaned_datasetB[[#This Row],[Is_Holiday]]=FALSE),"Working Day","Non-Working Day")</f>
        <v>Working Day</v>
      </c>
    </row>
    <row r="836" spans="1:21">
      <c r="A836" s="10">
        <v>835</v>
      </c>
      <c r="B836" s="23">
        <v>40581</v>
      </c>
      <c r="C836" s="10">
        <v>1</v>
      </c>
      <c r="D836" s="10">
        <v>0</v>
      </c>
      <c r="E836" s="10">
        <v>2</v>
      </c>
      <c r="F836" s="10">
        <v>5</v>
      </c>
      <c r="G836" s="10" t="b">
        <v>0</v>
      </c>
      <c r="H836" s="10">
        <v>1</v>
      </c>
      <c r="I836" s="10" t="str">
        <f>IF(OR(Cleaned_datasetB[[#This Row],[Day_Code]]=0,Cleaned_datasetB[[#This Row],[Day_Code]]=6),"Weekend","Weekday")</f>
        <v>Weekday</v>
      </c>
      <c r="J836" s="10">
        <v>1</v>
      </c>
      <c r="K836" s="10">
        <v>0.2</v>
      </c>
      <c r="L836" s="51">
        <v>0.2576</v>
      </c>
      <c r="M836" s="10">
        <v>0.86</v>
      </c>
      <c r="N836" s="10">
        <v>0</v>
      </c>
      <c r="O836" s="10">
        <v>1</v>
      </c>
      <c r="P836" s="10">
        <v>9</v>
      </c>
      <c r="Q836" s="10">
        <v>10</v>
      </c>
      <c r="R836" s="10" t="str">
        <f>VLOOKUP(Cleaned_datasetB[[#This Row],[Weather_Code]],Lookup_Tables!$E$9:$F$13,2,FALSE)</f>
        <v>Clear</v>
      </c>
      <c r="S836" s="10" t="str">
        <f>INDEX(Lookup_Tables!$I$10:$I$16,MATCH(Cleaned_datasetB[[#This Row],[Day_Code]],Lookup_Tables!$H$10:$H$16,0))</f>
        <v>Monday</v>
      </c>
      <c r="T836" s="10" t="str">
        <f>VLOOKUP(Cleaned_datasetB[[#This Row],[Month]], Lookup_Tables!$K$8:$L$19, 2, FALSE)</f>
        <v>February</v>
      </c>
      <c r="U836" s="10" t="str">
        <f>IF(AND(Cleaned_datasetB[[#This Row],[Day_Type]]="Weekday",Cleaned_datasetB[[#This Row],[Is_Holiday]]=FALSE),"Working Day","Non-Working Day")</f>
        <v>Working Day</v>
      </c>
    </row>
    <row r="837" spans="1:21">
      <c r="A837" s="10">
        <v>836</v>
      </c>
      <c r="B837" s="23">
        <v>40581</v>
      </c>
      <c r="C837" s="10">
        <v>1</v>
      </c>
      <c r="D837" s="10">
        <v>0</v>
      </c>
      <c r="E837" s="10">
        <v>2</v>
      </c>
      <c r="F837" s="10">
        <v>6</v>
      </c>
      <c r="G837" s="10" t="b">
        <v>0</v>
      </c>
      <c r="H837" s="10">
        <v>1</v>
      </c>
      <c r="I837" s="10" t="str">
        <f>IF(OR(Cleaned_datasetB[[#This Row],[Day_Code]]=0,Cleaned_datasetB[[#This Row],[Day_Code]]=6),"Weekend","Weekday")</f>
        <v>Weekday</v>
      </c>
      <c r="J837" s="10">
        <v>1</v>
      </c>
      <c r="K837" s="10">
        <v>0.18</v>
      </c>
      <c r="L837" s="51">
        <v>0.2424</v>
      </c>
      <c r="M837" s="10">
        <v>0.93</v>
      </c>
      <c r="N837" s="10">
        <v>0</v>
      </c>
      <c r="O837" s="10">
        <v>1</v>
      </c>
      <c r="P837" s="10">
        <v>29</v>
      </c>
      <c r="Q837" s="10">
        <v>30</v>
      </c>
      <c r="R837" s="10" t="str">
        <f>VLOOKUP(Cleaned_datasetB[[#This Row],[Weather_Code]],Lookup_Tables!$E$9:$F$13,2,FALSE)</f>
        <v>Clear</v>
      </c>
      <c r="S837" s="10" t="str">
        <f>INDEX(Lookup_Tables!$I$10:$I$16,MATCH(Cleaned_datasetB[[#This Row],[Day_Code]],Lookup_Tables!$H$10:$H$16,0))</f>
        <v>Monday</v>
      </c>
      <c r="T837" s="10" t="str">
        <f>VLOOKUP(Cleaned_datasetB[[#This Row],[Month]], Lookup_Tables!$K$8:$L$19, 2, FALSE)</f>
        <v>February</v>
      </c>
      <c r="U837" s="10" t="str">
        <f>IF(AND(Cleaned_datasetB[[#This Row],[Day_Type]]="Weekday",Cleaned_datasetB[[#This Row],[Is_Holiday]]=FALSE),"Working Day","Non-Working Day")</f>
        <v>Working Day</v>
      </c>
    </row>
    <row r="838" spans="1:21">
      <c r="A838" s="10">
        <v>837</v>
      </c>
      <c r="B838" s="23">
        <v>40581</v>
      </c>
      <c r="C838" s="10">
        <v>1</v>
      </c>
      <c r="D838" s="10">
        <v>0</v>
      </c>
      <c r="E838" s="10">
        <v>2</v>
      </c>
      <c r="F838" s="10">
        <v>7</v>
      </c>
      <c r="G838" s="10" t="b">
        <v>0</v>
      </c>
      <c r="H838" s="10">
        <v>1</v>
      </c>
      <c r="I838" s="10" t="str">
        <f>IF(OR(Cleaned_datasetB[[#This Row],[Day_Code]]=0,Cleaned_datasetB[[#This Row],[Day_Code]]=6),"Weekend","Weekday")</f>
        <v>Weekday</v>
      </c>
      <c r="J838" s="10">
        <v>1</v>
      </c>
      <c r="K838" s="10">
        <v>0.18</v>
      </c>
      <c r="L838" s="51">
        <v>0.2424</v>
      </c>
      <c r="M838" s="10">
        <v>0.86</v>
      </c>
      <c r="N838" s="10">
        <v>0</v>
      </c>
      <c r="O838" s="10">
        <v>6</v>
      </c>
      <c r="P838" s="10">
        <v>89</v>
      </c>
      <c r="Q838" s="10">
        <v>95</v>
      </c>
      <c r="R838" s="10" t="str">
        <f>VLOOKUP(Cleaned_datasetB[[#This Row],[Weather_Code]],Lookup_Tables!$E$9:$F$13,2,FALSE)</f>
        <v>Clear</v>
      </c>
      <c r="S838" s="10" t="str">
        <f>INDEX(Lookup_Tables!$I$10:$I$16,MATCH(Cleaned_datasetB[[#This Row],[Day_Code]],Lookup_Tables!$H$10:$H$16,0))</f>
        <v>Monday</v>
      </c>
      <c r="T838" s="10" t="str">
        <f>VLOOKUP(Cleaned_datasetB[[#This Row],[Month]], Lookup_Tables!$K$8:$L$19, 2, FALSE)</f>
        <v>February</v>
      </c>
      <c r="U838" s="10" t="str">
        <f>IF(AND(Cleaned_datasetB[[#This Row],[Day_Type]]="Weekday",Cleaned_datasetB[[#This Row],[Is_Holiday]]=FALSE),"Working Day","Non-Working Day")</f>
        <v>Working Day</v>
      </c>
    </row>
    <row r="839" spans="1:21">
      <c r="A839" s="10">
        <v>838</v>
      </c>
      <c r="B839" s="23">
        <v>40581</v>
      </c>
      <c r="C839" s="10">
        <v>1</v>
      </c>
      <c r="D839" s="10">
        <v>0</v>
      </c>
      <c r="E839" s="10">
        <v>2</v>
      </c>
      <c r="F839" s="10">
        <v>8</v>
      </c>
      <c r="G839" s="10" t="b">
        <v>0</v>
      </c>
      <c r="H839" s="10">
        <v>1</v>
      </c>
      <c r="I839" s="10" t="str">
        <f>IF(OR(Cleaned_datasetB[[#This Row],[Day_Code]]=0,Cleaned_datasetB[[#This Row],[Day_Code]]=6),"Weekend","Weekday")</f>
        <v>Weekday</v>
      </c>
      <c r="J839" s="10">
        <v>2</v>
      </c>
      <c r="K839" s="10">
        <v>0.16</v>
      </c>
      <c r="L839" s="51">
        <v>0.2273</v>
      </c>
      <c r="M839" s="10">
        <v>1</v>
      </c>
      <c r="N839" s="10">
        <v>0</v>
      </c>
      <c r="O839" s="10">
        <v>7</v>
      </c>
      <c r="P839" s="10">
        <v>223</v>
      </c>
      <c r="Q839" s="10">
        <v>230</v>
      </c>
      <c r="R839" s="10" t="str">
        <f>VLOOKUP(Cleaned_datasetB[[#This Row],[Weather_Code]],Lookup_Tables!$E$9:$F$13,2,FALSE)</f>
        <v>Cloudy</v>
      </c>
      <c r="S839" s="10" t="str">
        <f>INDEX(Lookup_Tables!$I$10:$I$16,MATCH(Cleaned_datasetB[[#This Row],[Day_Code]],Lookup_Tables!$H$10:$H$16,0))</f>
        <v>Monday</v>
      </c>
      <c r="T839" s="10" t="str">
        <f>VLOOKUP(Cleaned_datasetB[[#This Row],[Month]], Lookup_Tables!$K$8:$L$19, 2, FALSE)</f>
        <v>February</v>
      </c>
      <c r="U839" s="10" t="str">
        <f>IF(AND(Cleaned_datasetB[[#This Row],[Day_Type]]="Weekday",Cleaned_datasetB[[#This Row],[Is_Holiday]]=FALSE),"Working Day","Non-Working Day")</f>
        <v>Working Day</v>
      </c>
    </row>
    <row r="840" spans="1:21">
      <c r="A840" s="10">
        <v>839</v>
      </c>
      <c r="B840" s="23">
        <v>40581</v>
      </c>
      <c r="C840" s="10">
        <v>1</v>
      </c>
      <c r="D840" s="10">
        <v>0</v>
      </c>
      <c r="E840" s="10">
        <v>2</v>
      </c>
      <c r="F840" s="10">
        <v>9</v>
      </c>
      <c r="G840" s="10" t="b">
        <v>0</v>
      </c>
      <c r="H840" s="10">
        <v>1</v>
      </c>
      <c r="I840" s="10" t="str">
        <f>IF(OR(Cleaned_datasetB[[#This Row],[Day_Code]]=0,Cleaned_datasetB[[#This Row],[Day_Code]]=6),"Weekend","Weekday")</f>
        <v>Weekday</v>
      </c>
      <c r="J840" s="10">
        <v>1</v>
      </c>
      <c r="K840" s="10">
        <v>0.22</v>
      </c>
      <c r="L840" s="51">
        <v>0.2727</v>
      </c>
      <c r="M840" s="10">
        <v>0.8</v>
      </c>
      <c r="N840" s="10">
        <v>0</v>
      </c>
      <c r="O840" s="10">
        <v>3</v>
      </c>
      <c r="P840" s="10">
        <v>115</v>
      </c>
      <c r="Q840" s="10">
        <v>118</v>
      </c>
      <c r="R840" s="10" t="str">
        <f>VLOOKUP(Cleaned_datasetB[[#This Row],[Weather_Code]],Lookup_Tables!$E$9:$F$13,2,FALSE)</f>
        <v>Clear</v>
      </c>
      <c r="S840" s="10" t="str">
        <f>INDEX(Lookup_Tables!$I$10:$I$16,MATCH(Cleaned_datasetB[[#This Row],[Day_Code]],Lookup_Tables!$H$10:$H$16,0))</f>
        <v>Monday</v>
      </c>
      <c r="T840" s="10" t="str">
        <f>VLOOKUP(Cleaned_datasetB[[#This Row],[Month]], Lookup_Tables!$K$8:$L$19, 2, FALSE)</f>
        <v>February</v>
      </c>
      <c r="U840" s="10" t="str">
        <f>IF(AND(Cleaned_datasetB[[#This Row],[Day_Type]]="Weekday",Cleaned_datasetB[[#This Row],[Is_Holiday]]=FALSE),"Working Day","Non-Working Day")</f>
        <v>Working Day</v>
      </c>
    </row>
    <row r="841" spans="1:21">
      <c r="A841" s="10">
        <v>840</v>
      </c>
      <c r="B841" s="23">
        <v>40581</v>
      </c>
      <c r="C841" s="10">
        <v>1</v>
      </c>
      <c r="D841" s="10">
        <v>0</v>
      </c>
      <c r="E841" s="10">
        <v>2</v>
      </c>
      <c r="F841" s="10">
        <v>10</v>
      </c>
      <c r="G841" s="10" t="b">
        <v>0</v>
      </c>
      <c r="H841" s="10">
        <v>1</v>
      </c>
      <c r="I841" s="10" t="str">
        <f>IF(OR(Cleaned_datasetB[[#This Row],[Day_Code]]=0,Cleaned_datasetB[[#This Row],[Day_Code]]=6),"Weekend","Weekday")</f>
        <v>Weekday</v>
      </c>
      <c r="J841" s="10">
        <v>1</v>
      </c>
      <c r="K841" s="10">
        <v>0.24</v>
      </c>
      <c r="L841" s="51">
        <v>0.2576</v>
      </c>
      <c r="M841" s="10">
        <v>0.75</v>
      </c>
      <c r="N841" s="10">
        <v>0.1045</v>
      </c>
      <c r="O841" s="10">
        <v>6</v>
      </c>
      <c r="P841" s="10">
        <v>49</v>
      </c>
      <c r="Q841" s="10">
        <v>55</v>
      </c>
      <c r="R841" s="10" t="str">
        <f>VLOOKUP(Cleaned_datasetB[[#This Row],[Weather_Code]],Lookup_Tables!$E$9:$F$13,2,FALSE)</f>
        <v>Clear</v>
      </c>
      <c r="S841" s="10" t="str">
        <f>INDEX(Lookup_Tables!$I$10:$I$16,MATCH(Cleaned_datasetB[[#This Row],[Day_Code]],Lookup_Tables!$H$10:$H$16,0))</f>
        <v>Monday</v>
      </c>
      <c r="T841" s="10" t="str">
        <f>VLOOKUP(Cleaned_datasetB[[#This Row],[Month]], Lookup_Tables!$K$8:$L$19, 2, FALSE)</f>
        <v>February</v>
      </c>
      <c r="U841" s="10" t="str">
        <f>IF(AND(Cleaned_datasetB[[#This Row],[Day_Type]]="Weekday",Cleaned_datasetB[[#This Row],[Is_Holiday]]=FALSE),"Working Day","Non-Working Day")</f>
        <v>Working Day</v>
      </c>
    </row>
    <row r="842" spans="1:21">
      <c r="A842" s="10">
        <v>841</v>
      </c>
      <c r="B842" s="23">
        <v>40581</v>
      </c>
      <c r="C842" s="10">
        <v>1</v>
      </c>
      <c r="D842" s="10">
        <v>0</v>
      </c>
      <c r="E842" s="10">
        <v>2</v>
      </c>
      <c r="F842" s="10">
        <v>11</v>
      </c>
      <c r="G842" s="10" t="b">
        <v>0</v>
      </c>
      <c r="H842" s="10">
        <v>1</v>
      </c>
      <c r="I842" s="10" t="str">
        <f>IF(OR(Cleaned_datasetB[[#This Row],[Day_Code]]=0,Cleaned_datasetB[[#This Row],[Day_Code]]=6),"Weekend","Weekday")</f>
        <v>Weekday</v>
      </c>
      <c r="J842" s="10">
        <v>1</v>
      </c>
      <c r="K842" s="10">
        <v>0.3</v>
      </c>
      <c r="L842" s="51">
        <v>0.31819999999999998</v>
      </c>
      <c r="M842" s="10">
        <v>0.65</v>
      </c>
      <c r="N842" s="10">
        <v>8.9599999999999999E-2</v>
      </c>
      <c r="O842" s="10">
        <v>11</v>
      </c>
      <c r="P842" s="10">
        <v>36</v>
      </c>
      <c r="Q842" s="10">
        <v>47</v>
      </c>
      <c r="R842" s="10" t="str">
        <f>VLOOKUP(Cleaned_datasetB[[#This Row],[Weather_Code]],Lookup_Tables!$E$9:$F$13,2,FALSE)</f>
        <v>Clear</v>
      </c>
      <c r="S842" s="10" t="str">
        <f>INDEX(Lookup_Tables!$I$10:$I$16,MATCH(Cleaned_datasetB[[#This Row],[Day_Code]],Lookup_Tables!$H$10:$H$16,0))</f>
        <v>Monday</v>
      </c>
      <c r="T842" s="10" t="str">
        <f>VLOOKUP(Cleaned_datasetB[[#This Row],[Month]], Lookup_Tables!$K$8:$L$19, 2, FALSE)</f>
        <v>February</v>
      </c>
      <c r="U842" s="10" t="str">
        <f>IF(AND(Cleaned_datasetB[[#This Row],[Day_Type]]="Weekday",Cleaned_datasetB[[#This Row],[Is_Holiday]]=FALSE),"Working Day","Non-Working Day")</f>
        <v>Working Day</v>
      </c>
    </row>
    <row r="843" spans="1:21">
      <c r="A843" s="10">
        <v>842</v>
      </c>
      <c r="B843" s="23">
        <v>40581</v>
      </c>
      <c r="C843" s="10">
        <v>1</v>
      </c>
      <c r="D843" s="10">
        <v>0</v>
      </c>
      <c r="E843" s="10">
        <v>2</v>
      </c>
      <c r="F843" s="10">
        <v>12</v>
      </c>
      <c r="G843" s="10" t="b">
        <v>0</v>
      </c>
      <c r="H843" s="10">
        <v>1</v>
      </c>
      <c r="I843" s="10" t="str">
        <f>IF(OR(Cleaned_datasetB[[#This Row],[Day_Code]]=0,Cleaned_datasetB[[#This Row],[Day_Code]]=6),"Weekend","Weekday")</f>
        <v>Weekday</v>
      </c>
      <c r="J843" s="10">
        <v>2</v>
      </c>
      <c r="K843" s="10">
        <v>0.32</v>
      </c>
      <c r="L843" s="51">
        <v>0.34849999999999998</v>
      </c>
      <c r="M843" s="10">
        <v>0.62</v>
      </c>
      <c r="N843" s="10">
        <v>0</v>
      </c>
      <c r="O843" s="10">
        <v>7</v>
      </c>
      <c r="P843" s="10">
        <v>59</v>
      </c>
      <c r="Q843" s="10">
        <v>66</v>
      </c>
      <c r="R843" s="10" t="str">
        <f>VLOOKUP(Cleaned_datasetB[[#This Row],[Weather_Code]],Lookup_Tables!$E$9:$F$13,2,FALSE)</f>
        <v>Cloudy</v>
      </c>
      <c r="S843" s="10" t="str">
        <f>INDEX(Lookup_Tables!$I$10:$I$16,MATCH(Cleaned_datasetB[[#This Row],[Day_Code]],Lookup_Tables!$H$10:$H$16,0))</f>
        <v>Monday</v>
      </c>
      <c r="T843" s="10" t="str">
        <f>VLOOKUP(Cleaned_datasetB[[#This Row],[Month]], Lookup_Tables!$K$8:$L$19, 2, FALSE)</f>
        <v>February</v>
      </c>
      <c r="U843" s="10" t="str">
        <f>IF(AND(Cleaned_datasetB[[#This Row],[Day_Type]]="Weekday",Cleaned_datasetB[[#This Row],[Is_Holiday]]=FALSE),"Working Day","Non-Working Day")</f>
        <v>Working Day</v>
      </c>
    </row>
    <row r="844" spans="1:21">
      <c r="A844" s="10">
        <v>843</v>
      </c>
      <c r="B844" s="23">
        <v>40581</v>
      </c>
      <c r="C844" s="10">
        <v>1</v>
      </c>
      <c r="D844" s="10">
        <v>0</v>
      </c>
      <c r="E844" s="10">
        <v>2</v>
      </c>
      <c r="F844" s="10">
        <v>13</v>
      </c>
      <c r="G844" s="10" t="b">
        <v>0</v>
      </c>
      <c r="H844" s="10">
        <v>1</v>
      </c>
      <c r="I844" s="10" t="str">
        <f>IF(OR(Cleaned_datasetB[[#This Row],[Day_Code]]=0,Cleaned_datasetB[[#This Row],[Day_Code]]=6),"Weekend","Weekday")</f>
        <v>Weekday</v>
      </c>
      <c r="J844" s="10">
        <v>2</v>
      </c>
      <c r="K844" s="10">
        <v>0.36</v>
      </c>
      <c r="L844" s="51">
        <v>0.36359999999999998</v>
      </c>
      <c r="M844" s="10">
        <v>0.56999999999999995</v>
      </c>
      <c r="N844" s="10">
        <v>8.9599999999999999E-2</v>
      </c>
      <c r="O844" s="10">
        <v>10</v>
      </c>
      <c r="P844" s="10">
        <v>54</v>
      </c>
      <c r="Q844" s="10">
        <v>64</v>
      </c>
      <c r="R844" s="10" t="str">
        <f>VLOOKUP(Cleaned_datasetB[[#This Row],[Weather_Code]],Lookup_Tables!$E$9:$F$13,2,FALSE)</f>
        <v>Cloudy</v>
      </c>
      <c r="S844" s="10" t="str">
        <f>INDEX(Lookup_Tables!$I$10:$I$16,MATCH(Cleaned_datasetB[[#This Row],[Day_Code]],Lookup_Tables!$H$10:$H$16,0))</f>
        <v>Monday</v>
      </c>
      <c r="T844" s="10" t="str">
        <f>VLOOKUP(Cleaned_datasetB[[#This Row],[Month]], Lookup_Tables!$K$8:$L$19, 2, FALSE)</f>
        <v>February</v>
      </c>
      <c r="U844" s="10" t="str">
        <f>IF(AND(Cleaned_datasetB[[#This Row],[Day_Type]]="Weekday",Cleaned_datasetB[[#This Row],[Is_Holiday]]=FALSE),"Working Day","Non-Working Day")</f>
        <v>Working Day</v>
      </c>
    </row>
    <row r="845" spans="1:21">
      <c r="A845" s="10">
        <v>844</v>
      </c>
      <c r="B845" s="23">
        <v>40581</v>
      </c>
      <c r="C845" s="10">
        <v>1</v>
      </c>
      <c r="D845" s="10">
        <v>0</v>
      </c>
      <c r="E845" s="10">
        <v>2</v>
      </c>
      <c r="F845" s="10">
        <v>14</v>
      </c>
      <c r="G845" s="10" t="b">
        <v>0</v>
      </c>
      <c r="H845" s="10">
        <v>1</v>
      </c>
      <c r="I845" s="10" t="str">
        <f>IF(OR(Cleaned_datasetB[[#This Row],[Day_Code]]=0,Cleaned_datasetB[[#This Row],[Day_Code]]=6),"Weekend","Weekday")</f>
        <v>Weekday</v>
      </c>
      <c r="J845" s="10">
        <v>2</v>
      </c>
      <c r="K845" s="10">
        <v>0.36</v>
      </c>
      <c r="L845" s="51">
        <v>0.36359999999999998</v>
      </c>
      <c r="M845" s="10">
        <v>0.56999999999999995</v>
      </c>
      <c r="N845" s="10">
        <v>8.9599999999999999E-2</v>
      </c>
      <c r="O845" s="10">
        <v>8</v>
      </c>
      <c r="P845" s="10">
        <v>52</v>
      </c>
      <c r="Q845" s="10">
        <v>60</v>
      </c>
      <c r="R845" s="10" t="str">
        <f>VLOOKUP(Cleaned_datasetB[[#This Row],[Weather_Code]],Lookup_Tables!$E$9:$F$13,2,FALSE)</f>
        <v>Cloudy</v>
      </c>
      <c r="S845" s="10" t="str">
        <f>INDEX(Lookup_Tables!$I$10:$I$16,MATCH(Cleaned_datasetB[[#This Row],[Day_Code]],Lookup_Tables!$H$10:$H$16,0))</f>
        <v>Monday</v>
      </c>
      <c r="T845" s="10" t="str">
        <f>VLOOKUP(Cleaned_datasetB[[#This Row],[Month]], Lookup_Tables!$K$8:$L$19, 2, FALSE)</f>
        <v>February</v>
      </c>
      <c r="U845" s="10" t="str">
        <f>IF(AND(Cleaned_datasetB[[#This Row],[Day_Type]]="Weekday",Cleaned_datasetB[[#This Row],[Is_Holiday]]=FALSE),"Working Day","Non-Working Day")</f>
        <v>Working Day</v>
      </c>
    </row>
    <row r="846" spans="1:21">
      <c r="A846" s="10">
        <v>845</v>
      </c>
      <c r="B846" s="23">
        <v>40581</v>
      </c>
      <c r="C846" s="10">
        <v>1</v>
      </c>
      <c r="D846" s="10">
        <v>0</v>
      </c>
      <c r="E846" s="10">
        <v>2</v>
      </c>
      <c r="F846" s="10">
        <v>15</v>
      </c>
      <c r="G846" s="10" t="b">
        <v>0</v>
      </c>
      <c r="H846" s="10">
        <v>1</v>
      </c>
      <c r="I846" s="10" t="str">
        <f>IF(OR(Cleaned_datasetB[[#This Row],[Day_Code]]=0,Cleaned_datasetB[[#This Row],[Day_Code]]=6),"Weekend","Weekday")</f>
        <v>Weekday</v>
      </c>
      <c r="J846" s="10">
        <v>2</v>
      </c>
      <c r="K846" s="10">
        <v>0.38</v>
      </c>
      <c r="L846" s="51">
        <v>0.39389999999999997</v>
      </c>
      <c r="M846" s="10">
        <v>0.54</v>
      </c>
      <c r="N846" s="10">
        <v>8.9599999999999999E-2</v>
      </c>
      <c r="O846" s="10">
        <v>4</v>
      </c>
      <c r="P846" s="10">
        <v>46</v>
      </c>
      <c r="Q846" s="10">
        <v>50</v>
      </c>
      <c r="R846" s="10" t="str">
        <f>VLOOKUP(Cleaned_datasetB[[#This Row],[Weather_Code]],Lookup_Tables!$E$9:$F$13,2,FALSE)</f>
        <v>Cloudy</v>
      </c>
      <c r="S846" s="10" t="str">
        <f>INDEX(Lookup_Tables!$I$10:$I$16,MATCH(Cleaned_datasetB[[#This Row],[Day_Code]],Lookup_Tables!$H$10:$H$16,0))</f>
        <v>Monday</v>
      </c>
      <c r="T846" s="10" t="str">
        <f>VLOOKUP(Cleaned_datasetB[[#This Row],[Month]], Lookup_Tables!$K$8:$L$19, 2, FALSE)</f>
        <v>February</v>
      </c>
      <c r="U846" s="10" t="str">
        <f>IF(AND(Cleaned_datasetB[[#This Row],[Day_Type]]="Weekday",Cleaned_datasetB[[#This Row],[Is_Holiday]]=FALSE),"Working Day","Non-Working Day")</f>
        <v>Working Day</v>
      </c>
    </row>
    <row r="847" spans="1:21">
      <c r="A847" s="10">
        <v>846</v>
      </c>
      <c r="B847" s="23">
        <v>40581</v>
      </c>
      <c r="C847" s="10">
        <v>1</v>
      </c>
      <c r="D847" s="10">
        <v>0</v>
      </c>
      <c r="E847" s="10">
        <v>2</v>
      </c>
      <c r="F847" s="10">
        <v>16</v>
      </c>
      <c r="G847" s="10" t="b">
        <v>0</v>
      </c>
      <c r="H847" s="10">
        <v>1</v>
      </c>
      <c r="I847" s="10" t="str">
        <f>IF(OR(Cleaned_datasetB[[#This Row],[Day_Code]]=0,Cleaned_datasetB[[#This Row],[Day_Code]]=6),"Weekend","Weekday")</f>
        <v>Weekday</v>
      </c>
      <c r="J847" s="10">
        <v>2</v>
      </c>
      <c r="K847" s="10">
        <v>0.36</v>
      </c>
      <c r="L847" s="51">
        <v>0.34849999999999998</v>
      </c>
      <c r="M847" s="10">
        <v>0.56999999999999995</v>
      </c>
      <c r="N847" s="10">
        <v>0.1343</v>
      </c>
      <c r="O847" s="10">
        <v>16</v>
      </c>
      <c r="P847" s="10">
        <v>98</v>
      </c>
      <c r="Q847" s="10">
        <v>114</v>
      </c>
      <c r="R847" s="10" t="str">
        <f>VLOOKUP(Cleaned_datasetB[[#This Row],[Weather_Code]],Lookup_Tables!$E$9:$F$13,2,FALSE)</f>
        <v>Cloudy</v>
      </c>
      <c r="S847" s="10" t="str">
        <f>INDEX(Lookup_Tables!$I$10:$I$16,MATCH(Cleaned_datasetB[[#This Row],[Day_Code]],Lookup_Tables!$H$10:$H$16,0))</f>
        <v>Monday</v>
      </c>
      <c r="T847" s="10" t="str">
        <f>VLOOKUP(Cleaned_datasetB[[#This Row],[Month]], Lookup_Tables!$K$8:$L$19, 2, FALSE)</f>
        <v>February</v>
      </c>
      <c r="U847" s="10" t="str">
        <f>IF(AND(Cleaned_datasetB[[#This Row],[Day_Type]]="Weekday",Cleaned_datasetB[[#This Row],[Is_Holiday]]=FALSE),"Working Day","Non-Working Day")</f>
        <v>Working Day</v>
      </c>
    </row>
    <row r="848" spans="1:21">
      <c r="A848" s="10">
        <v>847</v>
      </c>
      <c r="B848" s="23">
        <v>40581</v>
      </c>
      <c r="C848" s="10">
        <v>1</v>
      </c>
      <c r="D848" s="10">
        <v>0</v>
      </c>
      <c r="E848" s="10">
        <v>2</v>
      </c>
      <c r="F848" s="10">
        <v>17</v>
      </c>
      <c r="G848" s="10" t="b">
        <v>0</v>
      </c>
      <c r="H848" s="10">
        <v>1</v>
      </c>
      <c r="I848" s="10" t="str">
        <f>IF(OR(Cleaned_datasetB[[#This Row],[Day_Code]]=0,Cleaned_datasetB[[#This Row],[Day_Code]]=6),"Weekend","Weekday")</f>
        <v>Weekday</v>
      </c>
      <c r="J848" s="10">
        <v>2</v>
      </c>
      <c r="K848" s="10">
        <v>0.32</v>
      </c>
      <c r="L848" s="51">
        <v>0.31819999999999998</v>
      </c>
      <c r="M848" s="10">
        <v>0.7</v>
      </c>
      <c r="N848" s="10">
        <v>0.16420000000000001</v>
      </c>
      <c r="O848" s="10">
        <v>9</v>
      </c>
      <c r="P848" s="10">
        <v>207</v>
      </c>
      <c r="Q848" s="10">
        <v>216</v>
      </c>
      <c r="R848" s="10" t="str">
        <f>VLOOKUP(Cleaned_datasetB[[#This Row],[Weather_Code]],Lookup_Tables!$E$9:$F$13,2,FALSE)</f>
        <v>Cloudy</v>
      </c>
      <c r="S848" s="10" t="str">
        <f>INDEX(Lookup_Tables!$I$10:$I$16,MATCH(Cleaned_datasetB[[#This Row],[Day_Code]],Lookup_Tables!$H$10:$H$16,0))</f>
        <v>Monday</v>
      </c>
      <c r="T848" s="10" t="str">
        <f>VLOOKUP(Cleaned_datasetB[[#This Row],[Month]], Lookup_Tables!$K$8:$L$19, 2, FALSE)</f>
        <v>February</v>
      </c>
      <c r="U848" s="10" t="str">
        <f>IF(AND(Cleaned_datasetB[[#This Row],[Day_Type]]="Weekday",Cleaned_datasetB[[#This Row],[Is_Holiday]]=FALSE),"Working Day","Non-Working Day")</f>
        <v>Working Day</v>
      </c>
    </row>
    <row r="849" spans="1:21">
      <c r="A849" s="10">
        <v>848</v>
      </c>
      <c r="B849" s="23">
        <v>40581</v>
      </c>
      <c r="C849" s="10">
        <v>1</v>
      </c>
      <c r="D849" s="10">
        <v>0</v>
      </c>
      <c r="E849" s="10">
        <v>2</v>
      </c>
      <c r="F849" s="10">
        <v>18</v>
      </c>
      <c r="G849" s="10" t="b">
        <v>0</v>
      </c>
      <c r="H849" s="10">
        <v>1</v>
      </c>
      <c r="I849" s="10" t="str">
        <f>IF(OR(Cleaned_datasetB[[#This Row],[Day_Code]]=0,Cleaned_datasetB[[#This Row],[Day_Code]]=6),"Weekend","Weekday")</f>
        <v>Weekday</v>
      </c>
      <c r="J849" s="10">
        <v>2</v>
      </c>
      <c r="K849" s="10">
        <v>0.34</v>
      </c>
      <c r="L849" s="51">
        <v>0.33329999999999999</v>
      </c>
      <c r="M849" s="10">
        <v>0.66</v>
      </c>
      <c r="N849" s="10">
        <v>0.1343</v>
      </c>
      <c r="O849" s="10">
        <v>5</v>
      </c>
      <c r="P849" s="10">
        <v>170</v>
      </c>
      <c r="Q849" s="10">
        <v>175</v>
      </c>
      <c r="R849" s="10" t="str">
        <f>VLOOKUP(Cleaned_datasetB[[#This Row],[Weather_Code]],Lookup_Tables!$E$9:$F$13,2,FALSE)</f>
        <v>Cloudy</v>
      </c>
      <c r="S849" s="10" t="str">
        <f>INDEX(Lookup_Tables!$I$10:$I$16,MATCH(Cleaned_datasetB[[#This Row],[Day_Code]],Lookup_Tables!$H$10:$H$16,0))</f>
        <v>Monday</v>
      </c>
      <c r="T849" s="10" t="str">
        <f>VLOOKUP(Cleaned_datasetB[[#This Row],[Month]], Lookup_Tables!$K$8:$L$19, 2, FALSE)</f>
        <v>February</v>
      </c>
      <c r="U849" s="10" t="str">
        <f>IF(AND(Cleaned_datasetB[[#This Row],[Day_Type]]="Weekday",Cleaned_datasetB[[#This Row],[Is_Holiday]]=FALSE),"Working Day","Non-Working Day")</f>
        <v>Working Day</v>
      </c>
    </row>
    <row r="850" spans="1:21">
      <c r="A850" s="10">
        <v>849</v>
      </c>
      <c r="B850" s="23">
        <v>40581</v>
      </c>
      <c r="C850" s="10">
        <v>1</v>
      </c>
      <c r="D850" s="10">
        <v>0</v>
      </c>
      <c r="E850" s="10">
        <v>2</v>
      </c>
      <c r="F850" s="10">
        <v>19</v>
      </c>
      <c r="G850" s="10" t="b">
        <v>0</v>
      </c>
      <c r="H850" s="10">
        <v>1</v>
      </c>
      <c r="I850" s="10" t="str">
        <f>IF(OR(Cleaned_datasetB[[#This Row],[Day_Code]]=0,Cleaned_datasetB[[#This Row],[Day_Code]]=6),"Weekend","Weekday")</f>
        <v>Weekday</v>
      </c>
      <c r="J850" s="10">
        <v>2</v>
      </c>
      <c r="K850" s="10">
        <v>0.32</v>
      </c>
      <c r="L850" s="51">
        <v>0.34849999999999998</v>
      </c>
      <c r="M850" s="10">
        <v>0.7</v>
      </c>
      <c r="N850" s="10">
        <v>0</v>
      </c>
      <c r="O850" s="10">
        <v>5</v>
      </c>
      <c r="P850" s="10">
        <v>123</v>
      </c>
      <c r="Q850" s="10">
        <v>128</v>
      </c>
      <c r="R850" s="10" t="str">
        <f>VLOOKUP(Cleaned_datasetB[[#This Row],[Weather_Code]],Lookup_Tables!$E$9:$F$13,2,FALSE)</f>
        <v>Cloudy</v>
      </c>
      <c r="S850" s="10" t="str">
        <f>INDEX(Lookup_Tables!$I$10:$I$16,MATCH(Cleaned_datasetB[[#This Row],[Day_Code]],Lookup_Tables!$H$10:$H$16,0))</f>
        <v>Monday</v>
      </c>
      <c r="T850" s="10" t="str">
        <f>VLOOKUP(Cleaned_datasetB[[#This Row],[Month]], Lookup_Tables!$K$8:$L$19, 2, FALSE)</f>
        <v>February</v>
      </c>
      <c r="U850" s="10" t="str">
        <f>IF(AND(Cleaned_datasetB[[#This Row],[Day_Type]]="Weekday",Cleaned_datasetB[[#This Row],[Is_Holiday]]=FALSE),"Working Day","Non-Working Day")</f>
        <v>Working Day</v>
      </c>
    </row>
    <row r="851" spans="1:21">
      <c r="A851" s="10">
        <v>850</v>
      </c>
      <c r="B851" s="23">
        <v>40581</v>
      </c>
      <c r="C851" s="10">
        <v>1</v>
      </c>
      <c r="D851" s="10">
        <v>0</v>
      </c>
      <c r="E851" s="10">
        <v>2</v>
      </c>
      <c r="F851" s="10">
        <v>20</v>
      </c>
      <c r="G851" s="10" t="b">
        <v>0</v>
      </c>
      <c r="H851" s="10">
        <v>1</v>
      </c>
      <c r="I851" s="10" t="str">
        <f>IF(OR(Cleaned_datasetB[[#This Row],[Day_Code]]=0,Cleaned_datasetB[[#This Row],[Day_Code]]=6),"Weekend","Weekday")</f>
        <v>Weekday</v>
      </c>
      <c r="J851" s="10">
        <v>2</v>
      </c>
      <c r="K851" s="10">
        <v>0.32</v>
      </c>
      <c r="L851" s="51">
        <v>0.33329999999999999</v>
      </c>
      <c r="M851" s="10">
        <v>0.7</v>
      </c>
      <c r="N851" s="10">
        <v>0.1045</v>
      </c>
      <c r="O851" s="10">
        <v>6</v>
      </c>
      <c r="P851" s="10">
        <v>82</v>
      </c>
      <c r="Q851" s="10">
        <v>88</v>
      </c>
      <c r="R851" s="10" t="str">
        <f>VLOOKUP(Cleaned_datasetB[[#This Row],[Weather_Code]],Lookup_Tables!$E$9:$F$13,2,FALSE)</f>
        <v>Cloudy</v>
      </c>
      <c r="S851" s="10" t="str">
        <f>INDEX(Lookup_Tables!$I$10:$I$16,MATCH(Cleaned_datasetB[[#This Row],[Day_Code]],Lookup_Tables!$H$10:$H$16,0))</f>
        <v>Monday</v>
      </c>
      <c r="T851" s="10" t="str">
        <f>VLOOKUP(Cleaned_datasetB[[#This Row],[Month]], Lookup_Tables!$K$8:$L$19, 2, FALSE)</f>
        <v>February</v>
      </c>
      <c r="U851" s="10" t="str">
        <f>IF(AND(Cleaned_datasetB[[#This Row],[Day_Type]]="Weekday",Cleaned_datasetB[[#This Row],[Is_Holiday]]=FALSE),"Working Day","Non-Working Day")</f>
        <v>Working Day</v>
      </c>
    </row>
    <row r="852" spans="1:21">
      <c r="A852" s="10">
        <v>851</v>
      </c>
      <c r="B852" s="23">
        <v>40581</v>
      </c>
      <c r="C852" s="10">
        <v>1</v>
      </c>
      <c r="D852" s="10">
        <v>0</v>
      </c>
      <c r="E852" s="10">
        <v>2</v>
      </c>
      <c r="F852" s="10">
        <v>21</v>
      </c>
      <c r="G852" s="10" t="b">
        <v>0</v>
      </c>
      <c r="H852" s="10">
        <v>1</v>
      </c>
      <c r="I852" s="10" t="str">
        <f>IF(OR(Cleaned_datasetB[[#This Row],[Day_Code]]=0,Cleaned_datasetB[[#This Row],[Day_Code]]=6),"Weekend","Weekday")</f>
        <v>Weekday</v>
      </c>
      <c r="J852" s="10">
        <v>1</v>
      </c>
      <c r="K852" s="10">
        <v>0.32</v>
      </c>
      <c r="L852" s="51">
        <v>0.34849999999999998</v>
      </c>
      <c r="M852" s="10">
        <v>0.7</v>
      </c>
      <c r="N852" s="10">
        <v>0</v>
      </c>
      <c r="O852" s="10">
        <v>3</v>
      </c>
      <c r="P852" s="10">
        <v>75</v>
      </c>
      <c r="Q852" s="10">
        <v>78</v>
      </c>
      <c r="R852" s="10" t="str">
        <f>VLOOKUP(Cleaned_datasetB[[#This Row],[Weather_Code]],Lookup_Tables!$E$9:$F$13,2,FALSE)</f>
        <v>Clear</v>
      </c>
      <c r="S852" s="10" t="str">
        <f>INDEX(Lookup_Tables!$I$10:$I$16,MATCH(Cleaned_datasetB[[#This Row],[Day_Code]],Lookup_Tables!$H$10:$H$16,0))</f>
        <v>Monday</v>
      </c>
      <c r="T852" s="10" t="str">
        <f>VLOOKUP(Cleaned_datasetB[[#This Row],[Month]], Lookup_Tables!$K$8:$L$19, 2, FALSE)</f>
        <v>February</v>
      </c>
      <c r="U852" s="10" t="str">
        <f>IF(AND(Cleaned_datasetB[[#This Row],[Day_Type]]="Weekday",Cleaned_datasetB[[#This Row],[Is_Holiday]]=FALSE),"Working Day","Non-Working Day")</f>
        <v>Working Day</v>
      </c>
    </row>
    <row r="853" spans="1:21">
      <c r="A853" s="10">
        <v>852</v>
      </c>
      <c r="B853" s="23">
        <v>40581</v>
      </c>
      <c r="C853" s="10">
        <v>1</v>
      </c>
      <c r="D853" s="10">
        <v>0</v>
      </c>
      <c r="E853" s="10">
        <v>2</v>
      </c>
      <c r="F853" s="10">
        <v>22</v>
      </c>
      <c r="G853" s="10" t="b">
        <v>0</v>
      </c>
      <c r="H853" s="10">
        <v>1</v>
      </c>
      <c r="I853" s="10" t="str">
        <f>IF(OR(Cleaned_datasetB[[#This Row],[Day_Code]]=0,Cleaned_datasetB[[#This Row],[Day_Code]]=6),"Weekend","Weekday")</f>
        <v>Weekday</v>
      </c>
      <c r="J853" s="10">
        <v>1</v>
      </c>
      <c r="K853" s="10">
        <v>0.28000000000000003</v>
      </c>
      <c r="L853" s="51">
        <v>0.30299999999999999</v>
      </c>
      <c r="M853" s="10">
        <v>0.81</v>
      </c>
      <c r="N853" s="10">
        <v>8.9599999999999999E-2</v>
      </c>
      <c r="O853" s="10">
        <v>3</v>
      </c>
      <c r="P853" s="10">
        <v>34</v>
      </c>
      <c r="Q853" s="10">
        <v>37</v>
      </c>
      <c r="R853" s="10" t="str">
        <f>VLOOKUP(Cleaned_datasetB[[#This Row],[Weather_Code]],Lookup_Tables!$E$9:$F$13,2,FALSE)</f>
        <v>Clear</v>
      </c>
      <c r="S853" s="10" t="str">
        <f>INDEX(Lookup_Tables!$I$10:$I$16,MATCH(Cleaned_datasetB[[#This Row],[Day_Code]],Lookup_Tables!$H$10:$H$16,0))</f>
        <v>Monday</v>
      </c>
      <c r="T853" s="10" t="str">
        <f>VLOOKUP(Cleaned_datasetB[[#This Row],[Month]], Lookup_Tables!$K$8:$L$19, 2, FALSE)</f>
        <v>February</v>
      </c>
      <c r="U853" s="10" t="str">
        <f>IF(AND(Cleaned_datasetB[[#This Row],[Day_Type]]="Weekday",Cleaned_datasetB[[#This Row],[Is_Holiday]]=FALSE),"Working Day","Non-Working Day")</f>
        <v>Working Day</v>
      </c>
    </row>
    <row r="854" spans="1:21">
      <c r="A854" s="10">
        <v>853</v>
      </c>
      <c r="B854" s="23">
        <v>40581</v>
      </c>
      <c r="C854" s="10">
        <v>1</v>
      </c>
      <c r="D854" s="10">
        <v>0</v>
      </c>
      <c r="E854" s="10">
        <v>2</v>
      </c>
      <c r="F854" s="10">
        <v>23</v>
      </c>
      <c r="G854" s="10" t="b">
        <v>0</v>
      </c>
      <c r="H854" s="10">
        <v>1</v>
      </c>
      <c r="I854" s="10" t="str">
        <f>IF(OR(Cleaned_datasetB[[#This Row],[Day_Code]]=0,Cleaned_datasetB[[#This Row],[Day_Code]]=6),"Weekend","Weekday")</f>
        <v>Weekday</v>
      </c>
      <c r="J854" s="10">
        <v>2</v>
      </c>
      <c r="K854" s="10">
        <v>0.3</v>
      </c>
      <c r="L854" s="51">
        <v>0.33329999999999999</v>
      </c>
      <c r="M854" s="10">
        <v>0.81</v>
      </c>
      <c r="N854" s="10">
        <v>0</v>
      </c>
      <c r="O854" s="10">
        <v>6</v>
      </c>
      <c r="P854" s="10">
        <v>19</v>
      </c>
      <c r="Q854" s="10">
        <v>25</v>
      </c>
      <c r="R854" s="10" t="str">
        <f>VLOOKUP(Cleaned_datasetB[[#This Row],[Weather_Code]],Lookup_Tables!$E$9:$F$13,2,FALSE)</f>
        <v>Cloudy</v>
      </c>
      <c r="S854" s="10" t="str">
        <f>INDEX(Lookup_Tables!$I$10:$I$16,MATCH(Cleaned_datasetB[[#This Row],[Day_Code]],Lookup_Tables!$H$10:$H$16,0))</f>
        <v>Monday</v>
      </c>
      <c r="T854" s="10" t="str">
        <f>VLOOKUP(Cleaned_datasetB[[#This Row],[Month]], Lookup_Tables!$K$8:$L$19, 2, FALSE)</f>
        <v>February</v>
      </c>
      <c r="U854" s="10" t="str">
        <f>IF(AND(Cleaned_datasetB[[#This Row],[Day_Type]]="Weekday",Cleaned_datasetB[[#This Row],[Is_Holiday]]=FALSE),"Working Day","Non-Working Day")</f>
        <v>Working Day</v>
      </c>
    </row>
    <row r="855" spans="1:21">
      <c r="A855" s="10">
        <v>854</v>
      </c>
      <c r="B855" s="23">
        <v>40582</v>
      </c>
      <c r="C855" s="10">
        <v>1</v>
      </c>
      <c r="D855" s="10">
        <v>0</v>
      </c>
      <c r="E855" s="10">
        <v>2</v>
      </c>
      <c r="F855" s="10">
        <v>0</v>
      </c>
      <c r="G855" s="10" t="b">
        <v>0</v>
      </c>
      <c r="H855" s="10">
        <v>2</v>
      </c>
      <c r="I855" s="10" t="str">
        <f>IF(OR(Cleaned_datasetB[[#This Row],[Day_Code]]=0,Cleaned_datasetB[[#This Row],[Day_Code]]=6),"Weekend","Weekday")</f>
        <v>Weekday</v>
      </c>
      <c r="J855" s="10">
        <v>2</v>
      </c>
      <c r="K855" s="10">
        <v>0.28000000000000003</v>
      </c>
      <c r="L855" s="51">
        <v>0.31819999999999998</v>
      </c>
      <c r="M855" s="10">
        <v>0.87</v>
      </c>
      <c r="N855" s="10">
        <v>0</v>
      </c>
      <c r="O855" s="10">
        <v>4</v>
      </c>
      <c r="P855" s="10">
        <v>6</v>
      </c>
      <c r="Q855" s="10">
        <v>10</v>
      </c>
      <c r="R855" s="10" t="str">
        <f>VLOOKUP(Cleaned_datasetB[[#This Row],[Weather_Code]],Lookup_Tables!$E$9:$F$13,2,FALSE)</f>
        <v>Cloudy</v>
      </c>
      <c r="S855" s="10" t="str">
        <f>INDEX(Lookup_Tables!$I$10:$I$16,MATCH(Cleaned_datasetB[[#This Row],[Day_Code]],Lookup_Tables!$H$10:$H$16,0))</f>
        <v>Tuesday</v>
      </c>
      <c r="T855" s="10" t="str">
        <f>VLOOKUP(Cleaned_datasetB[[#This Row],[Month]], Lookup_Tables!$K$8:$L$19, 2, FALSE)</f>
        <v>February</v>
      </c>
      <c r="U855" s="10" t="str">
        <f>IF(AND(Cleaned_datasetB[[#This Row],[Day_Type]]="Weekday",Cleaned_datasetB[[#This Row],[Is_Holiday]]=FALSE),"Working Day","Non-Working Day")</f>
        <v>Working Day</v>
      </c>
    </row>
    <row r="856" spans="1:21">
      <c r="A856" s="10">
        <v>855</v>
      </c>
      <c r="B856" s="23">
        <v>40582</v>
      </c>
      <c r="C856" s="10">
        <v>1</v>
      </c>
      <c r="D856" s="10">
        <v>0</v>
      </c>
      <c r="E856" s="10">
        <v>2</v>
      </c>
      <c r="F856" s="10">
        <v>1</v>
      </c>
      <c r="G856" s="10" t="b">
        <v>0</v>
      </c>
      <c r="H856" s="10">
        <v>2</v>
      </c>
      <c r="I856" s="10" t="str">
        <f>IF(OR(Cleaned_datasetB[[#This Row],[Day_Code]]=0,Cleaned_datasetB[[#This Row],[Day_Code]]=6),"Weekend","Weekday")</f>
        <v>Weekday</v>
      </c>
      <c r="J856" s="10">
        <v>2</v>
      </c>
      <c r="K856" s="10">
        <v>0.28000000000000003</v>
      </c>
      <c r="L856" s="51">
        <v>0.31819999999999998</v>
      </c>
      <c r="M856" s="10">
        <v>0.87</v>
      </c>
      <c r="N856" s="10">
        <v>0</v>
      </c>
      <c r="O856" s="10">
        <v>0</v>
      </c>
      <c r="P856" s="10">
        <v>4</v>
      </c>
      <c r="Q856" s="10">
        <v>4</v>
      </c>
      <c r="R856" s="10" t="str">
        <f>VLOOKUP(Cleaned_datasetB[[#This Row],[Weather_Code]],Lookup_Tables!$E$9:$F$13,2,FALSE)</f>
        <v>Cloudy</v>
      </c>
      <c r="S856" s="10" t="str">
        <f>INDEX(Lookup_Tables!$I$10:$I$16,MATCH(Cleaned_datasetB[[#This Row],[Day_Code]],Lookup_Tables!$H$10:$H$16,0))</f>
        <v>Tuesday</v>
      </c>
      <c r="T856" s="10" t="str">
        <f>VLOOKUP(Cleaned_datasetB[[#This Row],[Month]], Lookup_Tables!$K$8:$L$19, 2, FALSE)</f>
        <v>February</v>
      </c>
      <c r="U856" s="10" t="str">
        <f>IF(AND(Cleaned_datasetB[[#This Row],[Day_Type]]="Weekday",Cleaned_datasetB[[#This Row],[Is_Holiday]]=FALSE),"Working Day","Non-Working Day")</f>
        <v>Working Day</v>
      </c>
    </row>
    <row r="857" spans="1:21">
      <c r="A857" s="10">
        <v>856</v>
      </c>
      <c r="B857" s="23">
        <v>40582</v>
      </c>
      <c r="C857" s="10">
        <v>1</v>
      </c>
      <c r="D857" s="10">
        <v>0</v>
      </c>
      <c r="E857" s="10">
        <v>2</v>
      </c>
      <c r="F857" s="10">
        <v>2</v>
      </c>
      <c r="G857" s="10" t="b">
        <v>0</v>
      </c>
      <c r="H857" s="10">
        <v>2</v>
      </c>
      <c r="I857" s="10" t="str">
        <f>IF(OR(Cleaned_datasetB[[#This Row],[Day_Code]]=0,Cleaned_datasetB[[#This Row],[Day_Code]]=6),"Weekend","Weekday")</f>
        <v>Weekday</v>
      </c>
      <c r="J857" s="10">
        <v>2</v>
      </c>
      <c r="K857" s="10">
        <v>0.26</v>
      </c>
      <c r="L857" s="51">
        <v>0.2727</v>
      </c>
      <c r="M857" s="10">
        <v>0.93</v>
      </c>
      <c r="N857" s="10">
        <v>0.1045</v>
      </c>
      <c r="O857" s="10">
        <v>1</v>
      </c>
      <c r="P857" s="10">
        <v>1</v>
      </c>
      <c r="Q857" s="10">
        <v>2</v>
      </c>
      <c r="R857" s="10" t="str">
        <f>VLOOKUP(Cleaned_datasetB[[#This Row],[Weather_Code]],Lookup_Tables!$E$9:$F$13,2,FALSE)</f>
        <v>Cloudy</v>
      </c>
      <c r="S857" s="10" t="str">
        <f>INDEX(Lookup_Tables!$I$10:$I$16,MATCH(Cleaned_datasetB[[#This Row],[Day_Code]],Lookup_Tables!$H$10:$H$16,0))</f>
        <v>Tuesday</v>
      </c>
      <c r="T857" s="10" t="str">
        <f>VLOOKUP(Cleaned_datasetB[[#This Row],[Month]], Lookup_Tables!$K$8:$L$19, 2, FALSE)</f>
        <v>February</v>
      </c>
      <c r="U857" s="10" t="str">
        <f>IF(AND(Cleaned_datasetB[[#This Row],[Day_Type]]="Weekday",Cleaned_datasetB[[#This Row],[Is_Holiday]]=FALSE),"Working Day","Non-Working Day")</f>
        <v>Working Day</v>
      </c>
    </row>
    <row r="858" spans="1:21">
      <c r="A858" s="10">
        <v>857</v>
      </c>
      <c r="B858" s="23">
        <v>40582</v>
      </c>
      <c r="C858" s="10">
        <v>1</v>
      </c>
      <c r="D858" s="10">
        <v>0</v>
      </c>
      <c r="E858" s="10">
        <v>2</v>
      </c>
      <c r="F858" s="10">
        <v>3</v>
      </c>
      <c r="G858" s="10" t="b">
        <v>0</v>
      </c>
      <c r="H858" s="10">
        <v>2</v>
      </c>
      <c r="I858" s="10" t="str">
        <f>IF(OR(Cleaned_datasetB[[#This Row],[Day_Code]]=0,Cleaned_datasetB[[#This Row],[Day_Code]]=6),"Weekend","Weekday")</f>
        <v>Weekday</v>
      </c>
      <c r="J858" s="10">
        <v>3</v>
      </c>
      <c r="K858" s="10">
        <v>0.28000000000000003</v>
      </c>
      <c r="L858" s="51">
        <v>0.2727</v>
      </c>
      <c r="M858" s="10">
        <v>0.93</v>
      </c>
      <c r="N858" s="10">
        <v>0.16420000000000001</v>
      </c>
      <c r="O858" s="10">
        <v>0</v>
      </c>
      <c r="P858" s="10">
        <v>1</v>
      </c>
      <c r="Q858" s="10">
        <v>1</v>
      </c>
      <c r="R858" s="10" t="str">
        <f>VLOOKUP(Cleaned_datasetB[[#This Row],[Weather_Code]],Lookup_Tables!$E$9:$F$13,2,FALSE)</f>
        <v>Light Rain</v>
      </c>
      <c r="S858" s="10" t="str">
        <f>INDEX(Lookup_Tables!$I$10:$I$16,MATCH(Cleaned_datasetB[[#This Row],[Day_Code]],Lookup_Tables!$H$10:$H$16,0))</f>
        <v>Tuesday</v>
      </c>
      <c r="T858" s="10" t="str">
        <f>VLOOKUP(Cleaned_datasetB[[#This Row],[Month]], Lookup_Tables!$K$8:$L$19, 2, FALSE)</f>
        <v>February</v>
      </c>
      <c r="U858" s="10" t="str">
        <f>IF(AND(Cleaned_datasetB[[#This Row],[Day_Type]]="Weekday",Cleaned_datasetB[[#This Row],[Is_Holiday]]=FALSE),"Working Day","Non-Working Day")</f>
        <v>Working Day</v>
      </c>
    </row>
    <row r="859" spans="1:21">
      <c r="A859" s="10">
        <v>858</v>
      </c>
      <c r="B859" s="23">
        <v>40582</v>
      </c>
      <c r="C859" s="10">
        <v>1</v>
      </c>
      <c r="D859" s="10">
        <v>0</v>
      </c>
      <c r="E859" s="10">
        <v>2</v>
      </c>
      <c r="F859" s="10">
        <v>4</v>
      </c>
      <c r="G859" s="10" t="b">
        <v>0</v>
      </c>
      <c r="H859" s="10">
        <v>2</v>
      </c>
      <c r="I859" s="10" t="str">
        <f>IF(OR(Cleaned_datasetB[[#This Row],[Day_Code]]=0,Cleaned_datasetB[[#This Row],[Day_Code]]=6),"Weekend","Weekday")</f>
        <v>Weekday</v>
      </c>
      <c r="J859" s="10">
        <v>1</v>
      </c>
      <c r="K859" s="10">
        <v>0.26</v>
      </c>
      <c r="L859" s="51">
        <v>0.2576</v>
      </c>
      <c r="M859" s="10">
        <v>0.93</v>
      </c>
      <c r="N859" s="10">
        <v>0.16420000000000001</v>
      </c>
      <c r="O859" s="10">
        <v>0</v>
      </c>
      <c r="P859" s="10">
        <v>3</v>
      </c>
      <c r="Q859" s="10">
        <v>3</v>
      </c>
      <c r="R859" s="10" t="str">
        <f>VLOOKUP(Cleaned_datasetB[[#This Row],[Weather_Code]],Lookup_Tables!$E$9:$F$13,2,FALSE)</f>
        <v>Clear</v>
      </c>
      <c r="S859" s="10" t="str">
        <f>INDEX(Lookup_Tables!$I$10:$I$16,MATCH(Cleaned_datasetB[[#This Row],[Day_Code]],Lookup_Tables!$H$10:$H$16,0))</f>
        <v>Tuesday</v>
      </c>
      <c r="T859" s="10" t="str">
        <f>VLOOKUP(Cleaned_datasetB[[#This Row],[Month]], Lookup_Tables!$K$8:$L$19, 2, FALSE)</f>
        <v>February</v>
      </c>
      <c r="U859" s="10" t="str">
        <f>IF(AND(Cleaned_datasetB[[#This Row],[Day_Type]]="Weekday",Cleaned_datasetB[[#This Row],[Is_Holiday]]=FALSE),"Working Day","Non-Working Day")</f>
        <v>Working Day</v>
      </c>
    </row>
    <row r="860" spans="1:21">
      <c r="A860" s="10">
        <v>859</v>
      </c>
      <c r="B860" s="23">
        <v>40582</v>
      </c>
      <c r="C860" s="10">
        <v>1</v>
      </c>
      <c r="D860" s="10">
        <v>0</v>
      </c>
      <c r="E860" s="10">
        <v>2</v>
      </c>
      <c r="F860" s="10">
        <v>5</v>
      </c>
      <c r="G860" s="10" t="b">
        <v>0</v>
      </c>
      <c r="H860" s="10">
        <v>2</v>
      </c>
      <c r="I860" s="10" t="str">
        <f>IF(OR(Cleaned_datasetB[[#This Row],[Day_Code]]=0,Cleaned_datasetB[[#This Row],[Day_Code]]=6),"Weekend","Weekday")</f>
        <v>Weekday</v>
      </c>
      <c r="J860" s="10">
        <v>1</v>
      </c>
      <c r="K860" s="10">
        <v>0.26</v>
      </c>
      <c r="L860" s="51">
        <v>0.2273</v>
      </c>
      <c r="M860" s="10">
        <v>0.81</v>
      </c>
      <c r="N860" s="10">
        <v>0.32840000000000003</v>
      </c>
      <c r="O860" s="10">
        <v>0</v>
      </c>
      <c r="P860" s="10">
        <v>2</v>
      </c>
      <c r="Q860" s="10">
        <v>2</v>
      </c>
      <c r="R860" s="10" t="str">
        <f>VLOOKUP(Cleaned_datasetB[[#This Row],[Weather_Code]],Lookup_Tables!$E$9:$F$13,2,FALSE)</f>
        <v>Clear</v>
      </c>
      <c r="S860" s="10" t="str">
        <f>INDEX(Lookup_Tables!$I$10:$I$16,MATCH(Cleaned_datasetB[[#This Row],[Day_Code]],Lookup_Tables!$H$10:$H$16,0))</f>
        <v>Tuesday</v>
      </c>
      <c r="T860" s="10" t="str">
        <f>VLOOKUP(Cleaned_datasetB[[#This Row],[Month]], Lookup_Tables!$K$8:$L$19, 2, FALSE)</f>
        <v>February</v>
      </c>
      <c r="U860" s="10" t="str">
        <f>IF(AND(Cleaned_datasetB[[#This Row],[Day_Type]]="Weekday",Cleaned_datasetB[[#This Row],[Is_Holiday]]=FALSE),"Working Day","Non-Working Day")</f>
        <v>Working Day</v>
      </c>
    </row>
    <row r="861" spans="1:21">
      <c r="A861" s="10">
        <v>860</v>
      </c>
      <c r="B861" s="23">
        <v>40582</v>
      </c>
      <c r="C861" s="10">
        <v>1</v>
      </c>
      <c r="D861" s="10">
        <v>0</v>
      </c>
      <c r="E861" s="10">
        <v>2</v>
      </c>
      <c r="F861" s="10">
        <v>6</v>
      </c>
      <c r="G861" s="10" t="b">
        <v>0</v>
      </c>
      <c r="H861" s="10">
        <v>2</v>
      </c>
      <c r="I861" s="10" t="str">
        <f>IF(OR(Cleaned_datasetB[[#This Row],[Day_Code]]=0,Cleaned_datasetB[[#This Row],[Day_Code]]=6),"Weekend","Weekday")</f>
        <v>Weekday</v>
      </c>
      <c r="J861" s="10">
        <v>1</v>
      </c>
      <c r="K861" s="10">
        <v>0.26</v>
      </c>
      <c r="L861" s="51">
        <v>0.2273</v>
      </c>
      <c r="M861" s="10">
        <v>0.7</v>
      </c>
      <c r="N861" s="10">
        <v>0.32840000000000003</v>
      </c>
      <c r="O861" s="10">
        <v>0</v>
      </c>
      <c r="P861" s="10">
        <v>39</v>
      </c>
      <c r="Q861" s="10">
        <v>39</v>
      </c>
      <c r="R861" s="10" t="str">
        <f>VLOOKUP(Cleaned_datasetB[[#This Row],[Weather_Code]],Lookup_Tables!$E$9:$F$13,2,FALSE)</f>
        <v>Clear</v>
      </c>
      <c r="S861" s="10" t="str">
        <f>INDEX(Lookup_Tables!$I$10:$I$16,MATCH(Cleaned_datasetB[[#This Row],[Day_Code]],Lookup_Tables!$H$10:$H$16,0))</f>
        <v>Tuesday</v>
      </c>
      <c r="T861" s="10" t="str">
        <f>VLOOKUP(Cleaned_datasetB[[#This Row],[Month]], Lookup_Tables!$K$8:$L$19, 2, FALSE)</f>
        <v>February</v>
      </c>
      <c r="U861" s="10" t="str">
        <f>IF(AND(Cleaned_datasetB[[#This Row],[Day_Type]]="Weekday",Cleaned_datasetB[[#This Row],[Is_Holiday]]=FALSE),"Working Day","Non-Working Day")</f>
        <v>Working Day</v>
      </c>
    </row>
    <row r="862" spans="1:21">
      <c r="A862" s="10">
        <v>861</v>
      </c>
      <c r="B862" s="23">
        <v>40582</v>
      </c>
      <c r="C862" s="10">
        <v>1</v>
      </c>
      <c r="D862" s="10">
        <v>0</v>
      </c>
      <c r="E862" s="10">
        <v>2</v>
      </c>
      <c r="F862" s="10">
        <v>7</v>
      </c>
      <c r="G862" s="10" t="b">
        <v>0</v>
      </c>
      <c r="H862" s="10">
        <v>2</v>
      </c>
      <c r="I862" s="10" t="str">
        <f>IF(OR(Cleaned_datasetB[[#This Row],[Day_Code]]=0,Cleaned_datasetB[[#This Row],[Day_Code]]=6),"Weekend","Weekday")</f>
        <v>Weekday</v>
      </c>
      <c r="J862" s="10">
        <v>1</v>
      </c>
      <c r="K862" s="10">
        <v>0.24</v>
      </c>
      <c r="L862" s="51">
        <v>0.19700000000000001</v>
      </c>
      <c r="M862" s="10">
        <v>0.65</v>
      </c>
      <c r="N862" s="10">
        <v>0.41789999999999999</v>
      </c>
      <c r="O862" s="10">
        <v>3</v>
      </c>
      <c r="P862" s="10">
        <v>97</v>
      </c>
      <c r="Q862" s="10">
        <v>100</v>
      </c>
      <c r="R862" s="10" t="str">
        <f>VLOOKUP(Cleaned_datasetB[[#This Row],[Weather_Code]],Lookup_Tables!$E$9:$F$13,2,FALSE)</f>
        <v>Clear</v>
      </c>
      <c r="S862" s="10" t="str">
        <f>INDEX(Lookup_Tables!$I$10:$I$16,MATCH(Cleaned_datasetB[[#This Row],[Day_Code]],Lookup_Tables!$H$10:$H$16,0))</f>
        <v>Tuesday</v>
      </c>
      <c r="T862" s="10" t="str">
        <f>VLOOKUP(Cleaned_datasetB[[#This Row],[Month]], Lookup_Tables!$K$8:$L$19, 2, FALSE)</f>
        <v>February</v>
      </c>
      <c r="U862" s="10" t="str">
        <f>IF(AND(Cleaned_datasetB[[#This Row],[Day_Type]]="Weekday",Cleaned_datasetB[[#This Row],[Is_Holiday]]=FALSE),"Working Day","Non-Working Day")</f>
        <v>Working Day</v>
      </c>
    </row>
    <row r="863" spans="1:21">
      <c r="A863" s="10">
        <v>862</v>
      </c>
      <c r="B863" s="23">
        <v>40582</v>
      </c>
      <c r="C863" s="10">
        <v>1</v>
      </c>
      <c r="D863" s="10">
        <v>0</v>
      </c>
      <c r="E863" s="10">
        <v>2</v>
      </c>
      <c r="F863" s="10">
        <v>8</v>
      </c>
      <c r="G863" s="10" t="b">
        <v>0</v>
      </c>
      <c r="H863" s="10">
        <v>2</v>
      </c>
      <c r="I863" s="10" t="str">
        <f>IF(OR(Cleaned_datasetB[[#This Row],[Day_Code]]=0,Cleaned_datasetB[[#This Row],[Day_Code]]=6),"Weekend","Weekday")</f>
        <v>Weekday</v>
      </c>
      <c r="J863" s="10">
        <v>1</v>
      </c>
      <c r="K863" s="10">
        <v>0.24</v>
      </c>
      <c r="L863" s="51">
        <v>0.19700000000000001</v>
      </c>
      <c r="M863" s="10">
        <v>0.56000000000000005</v>
      </c>
      <c r="N863" s="10">
        <v>0.49249999999999999</v>
      </c>
      <c r="O863" s="10">
        <v>7</v>
      </c>
      <c r="P863" s="10">
        <v>236</v>
      </c>
      <c r="Q863" s="10">
        <v>243</v>
      </c>
      <c r="R863" s="10" t="str">
        <f>VLOOKUP(Cleaned_datasetB[[#This Row],[Weather_Code]],Lookup_Tables!$E$9:$F$13,2,FALSE)</f>
        <v>Clear</v>
      </c>
      <c r="S863" s="10" t="str">
        <f>INDEX(Lookup_Tables!$I$10:$I$16,MATCH(Cleaned_datasetB[[#This Row],[Day_Code]],Lookup_Tables!$H$10:$H$16,0))</f>
        <v>Tuesday</v>
      </c>
      <c r="T863" s="10" t="str">
        <f>VLOOKUP(Cleaned_datasetB[[#This Row],[Month]], Lookup_Tables!$K$8:$L$19, 2, FALSE)</f>
        <v>February</v>
      </c>
      <c r="U863" s="10" t="str">
        <f>IF(AND(Cleaned_datasetB[[#This Row],[Day_Type]]="Weekday",Cleaned_datasetB[[#This Row],[Is_Holiday]]=FALSE),"Working Day","Non-Working Day")</f>
        <v>Working Day</v>
      </c>
    </row>
    <row r="864" spans="1:21">
      <c r="A864" s="10">
        <v>863</v>
      </c>
      <c r="B864" s="23">
        <v>40582</v>
      </c>
      <c r="C864" s="10">
        <v>1</v>
      </c>
      <c r="D864" s="10">
        <v>0</v>
      </c>
      <c r="E864" s="10">
        <v>2</v>
      </c>
      <c r="F864" s="10">
        <v>9</v>
      </c>
      <c r="G864" s="10" t="b">
        <v>0</v>
      </c>
      <c r="H864" s="10">
        <v>2</v>
      </c>
      <c r="I864" s="10" t="str">
        <f>IF(OR(Cleaned_datasetB[[#This Row],[Day_Code]]=0,Cleaned_datasetB[[#This Row],[Day_Code]]=6),"Weekend","Weekday")</f>
        <v>Weekday</v>
      </c>
      <c r="J864" s="10">
        <v>1</v>
      </c>
      <c r="K864" s="10">
        <v>0.24</v>
      </c>
      <c r="L864" s="51">
        <v>0.19700000000000001</v>
      </c>
      <c r="M864" s="10">
        <v>0.52</v>
      </c>
      <c r="N864" s="10">
        <v>0.49249999999999999</v>
      </c>
      <c r="O864" s="10">
        <v>7</v>
      </c>
      <c r="P864" s="10">
        <v>128</v>
      </c>
      <c r="Q864" s="10">
        <v>135</v>
      </c>
      <c r="R864" s="10" t="str">
        <f>VLOOKUP(Cleaned_datasetB[[#This Row],[Weather_Code]],Lookup_Tables!$E$9:$F$13,2,FALSE)</f>
        <v>Clear</v>
      </c>
      <c r="S864" s="10" t="str">
        <f>INDEX(Lookup_Tables!$I$10:$I$16,MATCH(Cleaned_datasetB[[#This Row],[Day_Code]],Lookup_Tables!$H$10:$H$16,0))</f>
        <v>Tuesday</v>
      </c>
      <c r="T864" s="10" t="str">
        <f>VLOOKUP(Cleaned_datasetB[[#This Row],[Month]], Lookup_Tables!$K$8:$L$19, 2, FALSE)</f>
        <v>February</v>
      </c>
      <c r="U864" s="10" t="str">
        <f>IF(AND(Cleaned_datasetB[[#This Row],[Day_Type]]="Weekday",Cleaned_datasetB[[#This Row],[Is_Holiday]]=FALSE),"Working Day","Non-Working Day")</f>
        <v>Working Day</v>
      </c>
    </row>
    <row r="865" spans="1:21">
      <c r="A865" s="10">
        <v>864</v>
      </c>
      <c r="B865" s="23">
        <v>40582</v>
      </c>
      <c r="C865" s="10">
        <v>1</v>
      </c>
      <c r="D865" s="10">
        <v>0</v>
      </c>
      <c r="E865" s="10">
        <v>2</v>
      </c>
      <c r="F865" s="10">
        <v>10</v>
      </c>
      <c r="G865" s="10" t="b">
        <v>0</v>
      </c>
      <c r="H865" s="10">
        <v>2</v>
      </c>
      <c r="I865" s="10" t="str">
        <f>IF(OR(Cleaned_datasetB[[#This Row],[Day_Code]]=0,Cleaned_datasetB[[#This Row],[Day_Code]]=6),"Weekend","Weekday")</f>
        <v>Weekday</v>
      </c>
      <c r="J865" s="10">
        <v>1</v>
      </c>
      <c r="K865" s="10">
        <v>0.22</v>
      </c>
      <c r="L865" s="51">
        <v>0.18179999999999999</v>
      </c>
      <c r="M865" s="10">
        <v>0.47</v>
      </c>
      <c r="N865" s="10">
        <v>0.55220000000000002</v>
      </c>
      <c r="O865" s="10">
        <v>4</v>
      </c>
      <c r="P865" s="10">
        <v>44</v>
      </c>
      <c r="Q865" s="10">
        <v>48</v>
      </c>
      <c r="R865" s="10" t="str">
        <f>VLOOKUP(Cleaned_datasetB[[#This Row],[Weather_Code]],Lookup_Tables!$E$9:$F$13,2,FALSE)</f>
        <v>Clear</v>
      </c>
      <c r="S865" s="10" t="str">
        <f>INDEX(Lookup_Tables!$I$10:$I$16,MATCH(Cleaned_datasetB[[#This Row],[Day_Code]],Lookup_Tables!$H$10:$H$16,0))</f>
        <v>Tuesday</v>
      </c>
      <c r="T865" s="10" t="str">
        <f>VLOOKUP(Cleaned_datasetB[[#This Row],[Month]], Lookup_Tables!$K$8:$L$19, 2, FALSE)</f>
        <v>February</v>
      </c>
      <c r="U865" s="10" t="str">
        <f>IF(AND(Cleaned_datasetB[[#This Row],[Day_Type]]="Weekday",Cleaned_datasetB[[#This Row],[Is_Holiday]]=FALSE),"Working Day","Non-Working Day")</f>
        <v>Working Day</v>
      </c>
    </row>
    <row r="866" spans="1:21">
      <c r="A866" s="10">
        <v>865</v>
      </c>
      <c r="B866" s="23">
        <v>40582</v>
      </c>
      <c r="C866" s="10">
        <v>1</v>
      </c>
      <c r="D866" s="10">
        <v>0</v>
      </c>
      <c r="E866" s="10">
        <v>2</v>
      </c>
      <c r="F866" s="10">
        <v>11</v>
      </c>
      <c r="G866" s="10" t="b">
        <v>0</v>
      </c>
      <c r="H866" s="10">
        <v>2</v>
      </c>
      <c r="I866" s="10" t="str">
        <f>IF(OR(Cleaned_datasetB[[#This Row],[Day_Code]]=0,Cleaned_datasetB[[#This Row],[Day_Code]]=6),"Weekend","Weekday")</f>
        <v>Weekday</v>
      </c>
      <c r="J866" s="10">
        <v>1</v>
      </c>
      <c r="K866" s="10">
        <v>0.22</v>
      </c>
      <c r="L866" s="51">
        <v>0.18179999999999999</v>
      </c>
      <c r="M866" s="10">
        <v>0.47</v>
      </c>
      <c r="N866" s="10">
        <v>0.4627</v>
      </c>
      <c r="O866" s="10">
        <v>1</v>
      </c>
      <c r="P866" s="10">
        <v>49</v>
      </c>
      <c r="Q866" s="10">
        <v>50</v>
      </c>
      <c r="R866" s="10" t="str">
        <f>VLOOKUP(Cleaned_datasetB[[#This Row],[Weather_Code]],Lookup_Tables!$E$9:$F$13,2,FALSE)</f>
        <v>Clear</v>
      </c>
      <c r="S866" s="10" t="str">
        <f>INDEX(Lookup_Tables!$I$10:$I$16,MATCH(Cleaned_datasetB[[#This Row],[Day_Code]],Lookup_Tables!$H$10:$H$16,0))</f>
        <v>Tuesday</v>
      </c>
      <c r="T866" s="10" t="str">
        <f>VLOOKUP(Cleaned_datasetB[[#This Row],[Month]], Lookup_Tables!$K$8:$L$19, 2, FALSE)</f>
        <v>February</v>
      </c>
      <c r="U866" s="10" t="str">
        <f>IF(AND(Cleaned_datasetB[[#This Row],[Day_Type]]="Weekday",Cleaned_datasetB[[#This Row],[Is_Holiday]]=FALSE),"Working Day","Non-Working Day")</f>
        <v>Working Day</v>
      </c>
    </row>
    <row r="867" spans="1:21">
      <c r="A867" s="10">
        <v>866</v>
      </c>
      <c r="B867" s="23">
        <v>40582</v>
      </c>
      <c r="C867" s="10">
        <v>1</v>
      </c>
      <c r="D867" s="10">
        <v>0</v>
      </c>
      <c r="E867" s="10">
        <v>2</v>
      </c>
      <c r="F867" s="10">
        <v>12</v>
      </c>
      <c r="G867" s="10" t="b">
        <v>0</v>
      </c>
      <c r="H867" s="10">
        <v>2</v>
      </c>
      <c r="I867" s="10" t="str">
        <f>IF(OR(Cleaned_datasetB[[#This Row],[Day_Code]]=0,Cleaned_datasetB[[#This Row],[Day_Code]]=6),"Weekend","Weekday")</f>
        <v>Weekday</v>
      </c>
      <c r="J867" s="10">
        <v>1</v>
      </c>
      <c r="K867" s="10">
        <v>0.24</v>
      </c>
      <c r="L867" s="51">
        <v>0.19700000000000001</v>
      </c>
      <c r="M867" s="10">
        <v>0.38</v>
      </c>
      <c r="N867" s="10">
        <v>0.49249999999999999</v>
      </c>
      <c r="O867" s="10">
        <v>2</v>
      </c>
      <c r="P867" s="10">
        <v>63</v>
      </c>
      <c r="Q867" s="10">
        <v>65</v>
      </c>
      <c r="R867" s="10" t="str">
        <f>VLOOKUP(Cleaned_datasetB[[#This Row],[Weather_Code]],Lookup_Tables!$E$9:$F$13,2,FALSE)</f>
        <v>Clear</v>
      </c>
      <c r="S867" s="10" t="str">
        <f>INDEX(Lookup_Tables!$I$10:$I$16,MATCH(Cleaned_datasetB[[#This Row],[Day_Code]],Lookup_Tables!$H$10:$H$16,0))</f>
        <v>Tuesday</v>
      </c>
      <c r="T867" s="10" t="str">
        <f>VLOOKUP(Cleaned_datasetB[[#This Row],[Month]], Lookup_Tables!$K$8:$L$19, 2, FALSE)</f>
        <v>February</v>
      </c>
      <c r="U867" s="10" t="str">
        <f>IF(AND(Cleaned_datasetB[[#This Row],[Day_Type]]="Weekday",Cleaned_datasetB[[#This Row],[Is_Holiday]]=FALSE),"Working Day","Non-Working Day")</f>
        <v>Working Day</v>
      </c>
    </row>
    <row r="868" spans="1:21">
      <c r="A868" s="10">
        <v>867</v>
      </c>
      <c r="B868" s="23">
        <v>40582</v>
      </c>
      <c r="C868" s="10">
        <v>1</v>
      </c>
      <c r="D868" s="10">
        <v>0</v>
      </c>
      <c r="E868" s="10">
        <v>2</v>
      </c>
      <c r="F868" s="10">
        <v>13</v>
      </c>
      <c r="G868" s="10" t="b">
        <v>0</v>
      </c>
      <c r="H868" s="10">
        <v>2</v>
      </c>
      <c r="I868" s="10" t="str">
        <f>IF(OR(Cleaned_datasetB[[#This Row],[Day_Code]]=0,Cleaned_datasetB[[#This Row],[Day_Code]]=6),"Weekend","Weekday")</f>
        <v>Weekday</v>
      </c>
      <c r="J868" s="10">
        <v>2</v>
      </c>
      <c r="K868" s="10">
        <v>0.24</v>
      </c>
      <c r="L868" s="51">
        <v>0.19700000000000001</v>
      </c>
      <c r="M868" s="10">
        <v>0.32</v>
      </c>
      <c r="N868" s="10">
        <v>0.44779999999999998</v>
      </c>
      <c r="O868" s="10">
        <v>2</v>
      </c>
      <c r="P868" s="10">
        <v>48</v>
      </c>
      <c r="Q868" s="10">
        <v>50</v>
      </c>
      <c r="R868" s="10" t="str">
        <f>VLOOKUP(Cleaned_datasetB[[#This Row],[Weather_Code]],Lookup_Tables!$E$9:$F$13,2,FALSE)</f>
        <v>Cloudy</v>
      </c>
      <c r="S868" s="10" t="str">
        <f>INDEX(Lookup_Tables!$I$10:$I$16,MATCH(Cleaned_datasetB[[#This Row],[Day_Code]],Lookup_Tables!$H$10:$H$16,0))</f>
        <v>Tuesday</v>
      </c>
      <c r="T868" s="10" t="str">
        <f>VLOOKUP(Cleaned_datasetB[[#This Row],[Month]], Lookup_Tables!$K$8:$L$19, 2, FALSE)</f>
        <v>February</v>
      </c>
      <c r="U868" s="10" t="str">
        <f>IF(AND(Cleaned_datasetB[[#This Row],[Day_Type]]="Weekday",Cleaned_datasetB[[#This Row],[Is_Holiday]]=FALSE),"Working Day","Non-Working Day")</f>
        <v>Working Day</v>
      </c>
    </row>
    <row r="869" spans="1:21">
      <c r="A869" s="10">
        <v>868</v>
      </c>
      <c r="B869" s="23">
        <v>40582</v>
      </c>
      <c r="C869" s="10">
        <v>1</v>
      </c>
      <c r="D869" s="10">
        <v>0</v>
      </c>
      <c r="E869" s="10">
        <v>2</v>
      </c>
      <c r="F869" s="10">
        <v>14</v>
      </c>
      <c r="G869" s="10" t="b">
        <v>0</v>
      </c>
      <c r="H869" s="10">
        <v>2</v>
      </c>
      <c r="I869" s="10" t="str">
        <f>IF(OR(Cleaned_datasetB[[#This Row],[Day_Code]]=0,Cleaned_datasetB[[#This Row],[Day_Code]]=6),"Weekend","Weekday")</f>
        <v>Weekday</v>
      </c>
      <c r="J869" s="10">
        <v>1</v>
      </c>
      <c r="K869" s="10">
        <v>0.22</v>
      </c>
      <c r="L869" s="51">
        <v>0.19700000000000001</v>
      </c>
      <c r="M869" s="10">
        <v>0.37</v>
      </c>
      <c r="N869" s="10">
        <v>0.41789999999999999</v>
      </c>
      <c r="O869" s="10">
        <v>3</v>
      </c>
      <c r="P869" s="10">
        <v>61</v>
      </c>
      <c r="Q869" s="10">
        <v>64</v>
      </c>
      <c r="R869" s="10" t="str">
        <f>VLOOKUP(Cleaned_datasetB[[#This Row],[Weather_Code]],Lookup_Tables!$E$9:$F$13,2,FALSE)</f>
        <v>Clear</v>
      </c>
      <c r="S869" s="10" t="str">
        <f>INDEX(Lookup_Tables!$I$10:$I$16,MATCH(Cleaned_datasetB[[#This Row],[Day_Code]],Lookup_Tables!$H$10:$H$16,0))</f>
        <v>Tuesday</v>
      </c>
      <c r="T869" s="10" t="str">
        <f>VLOOKUP(Cleaned_datasetB[[#This Row],[Month]], Lookup_Tables!$K$8:$L$19, 2, FALSE)</f>
        <v>February</v>
      </c>
      <c r="U869" s="10" t="str">
        <f>IF(AND(Cleaned_datasetB[[#This Row],[Day_Type]]="Weekday",Cleaned_datasetB[[#This Row],[Is_Holiday]]=FALSE),"Working Day","Non-Working Day")</f>
        <v>Working Day</v>
      </c>
    </row>
    <row r="870" spans="1:21">
      <c r="A870" s="10">
        <v>869</v>
      </c>
      <c r="B870" s="23">
        <v>40582</v>
      </c>
      <c r="C870" s="10">
        <v>1</v>
      </c>
      <c r="D870" s="10">
        <v>0</v>
      </c>
      <c r="E870" s="10">
        <v>2</v>
      </c>
      <c r="F870" s="10">
        <v>15</v>
      </c>
      <c r="G870" s="10" t="b">
        <v>0</v>
      </c>
      <c r="H870" s="10">
        <v>2</v>
      </c>
      <c r="I870" s="10" t="str">
        <f>IF(OR(Cleaned_datasetB[[#This Row],[Day_Code]]=0,Cleaned_datasetB[[#This Row],[Day_Code]]=6),"Weekend","Weekday")</f>
        <v>Weekday</v>
      </c>
      <c r="J870" s="10">
        <v>1</v>
      </c>
      <c r="K870" s="10">
        <v>0.22</v>
      </c>
      <c r="L870" s="51">
        <v>0.19700000000000001</v>
      </c>
      <c r="M870" s="10">
        <v>0.35</v>
      </c>
      <c r="N870" s="10">
        <v>0.3881</v>
      </c>
      <c r="O870" s="10">
        <v>6</v>
      </c>
      <c r="P870" s="10">
        <v>45</v>
      </c>
      <c r="Q870" s="10">
        <v>51</v>
      </c>
      <c r="R870" s="10" t="str">
        <f>VLOOKUP(Cleaned_datasetB[[#This Row],[Weather_Code]],Lookup_Tables!$E$9:$F$13,2,FALSE)</f>
        <v>Clear</v>
      </c>
      <c r="S870" s="10" t="str">
        <f>INDEX(Lookup_Tables!$I$10:$I$16,MATCH(Cleaned_datasetB[[#This Row],[Day_Code]],Lookup_Tables!$H$10:$H$16,0))</f>
        <v>Tuesday</v>
      </c>
      <c r="T870" s="10" t="str">
        <f>VLOOKUP(Cleaned_datasetB[[#This Row],[Month]], Lookup_Tables!$K$8:$L$19, 2, FALSE)</f>
        <v>February</v>
      </c>
      <c r="U870" s="10" t="str">
        <f>IF(AND(Cleaned_datasetB[[#This Row],[Day_Type]]="Weekday",Cleaned_datasetB[[#This Row],[Is_Holiday]]=FALSE),"Working Day","Non-Working Day")</f>
        <v>Working Day</v>
      </c>
    </row>
    <row r="871" spans="1:21">
      <c r="A871" s="10">
        <v>870</v>
      </c>
      <c r="B871" s="23">
        <v>40582</v>
      </c>
      <c r="C871" s="10">
        <v>1</v>
      </c>
      <c r="D871" s="10">
        <v>0</v>
      </c>
      <c r="E871" s="10">
        <v>2</v>
      </c>
      <c r="F871" s="10">
        <v>16</v>
      </c>
      <c r="G871" s="10" t="b">
        <v>0</v>
      </c>
      <c r="H871" s="10">
        <v>2</v>
      </c>
      <c r="I871" s="10" t="str">
        <f>IF(OR(Cleaned_datasetB[[#This Row],[Day_Code]]=0,Cleaned_datasetB[[#This Row],[Day_Code]]=6),"Weekend","Weekday")</f>
        <v>Weekday</v>
      </c>
      <c r="J871" s="10">
        <v>1</v>
      </c>
      <c r="K871" s="10">
        <v>0.22</v>
      </c>
      <c r="L871" s="51">
        <v>0.18179999999999999</v>
      </c>
      <c r="M871" s="10">
        <v>0.35</v>
      </c>
      <c r="N871" s="10">
        <v>0.52239999999999998</v>
      </c>
      <c r="O871" s="10">
        <v>4</v>
      </c>
      <c r="P871" s="10">
        <v>79</v>
      </c>
      <c r="Q871" s="10">
        <v>83</v>
      </c>
      <c r="R871" s="10" t="str">
        <f>VLOOKUP(Cleaned_datasetB[[#This Row],[Weather_Code]],Lookup_Tables!$E$9:$F$13,2,FALSE)</f>
        <v>Clear</v>
      </c>
      <c r="S871" s="10" t="str">
        <f>INDEX(Lookup_Tables!$I$10:$I$16,MATCH(Cleaned_datasetB[[#This Row],[Day_Code]],Lookup_Tables!$H$10:$H$16,0))</f>
        <v>Tuesday</v>
      </c>
      <c r="T871" s="10" t="str">
        <f>VLOOKUP(Cleaned_datasetB[[#This Row],[Month]], Lookup_Tables!$K$8:$L$19, 2, FALSE)</f>
        <v>February</v>
      </c>
      <c r="U871" s="10" t="str">
        <f>IF(AND(Cleaned_datasetB[[#This Row],[Day_Type]]="Weekday",Cleaned_datasetB[[#This Row],[Is_Holiday]]=FALSE),"Working Day","Non-Working Day")</f>
        <v>Working Day</v>
      </c>
    </row>
    <row r="872" spans="1:21">
      <c r="A872" s="10">
        <v>871</v>
      </c>
      <c r="B872" s="23">
        <v>40582</v>
      </c>
      <c r="C872" s="10">
        <v>1</v>
      </c>
      <c r="D872" s="10">
        <v>0</v>
      </c>
      <c r="E872" s="10">
        <v>2</v>
      </c>
      <c r="F872" s="10">
        <v>17</v>
      </c>
      <c r="G872" s="10" t="b">
        <v>0</v>
      </c>
      <c r="H872" s="10">
        <v>2</v>
      </c>
      <c r="I872" s="10" t="str">
        <f>IF(OR(Cleaned_datasetB[[#This Row],[Day_Code]]=0,Cleaned_datasetB[[#This Row],[Day_Code]]=6),"Weekend","Weekday")</f>
        <v>Weekday</v>
      </c>
      <c r="J872" s="10">
        <v>1</v>
      </c>
      <c r="K872" s="10">
        <v>0.22</v>
      </c>
      <c r="L872" s="51">
        <v>0.18179999999999999</v>
      </c>
      <c r="M872" s="10">
        <v>0.32</v>
      </c>
      <c r="N872" s="10">
        <v>0.58209999999999995</v>
      </c>
      <c r="O872" s="10">
        <v>4</v>
      </c>
      <c r="P872" s="10">
        <v>172</v>
      </c>
      <c r="Q872" s="10">
        <v>176</v>
      </c>
      <c r="R872" s="10" t="str">
        <f>VLOOKUP(Cleaned_datasetB[[#This Row],[Weather_Code]],Lookup_Tables!$E$9:$F$13,2,FALSE)</f>
        <v>Clear</v>
      </c>
      <c r="S872" s="10" t="str">
        <f>INDEX(Lookup_Tables!$I$10:$I$16,MATCH(Cleaned_datasetB[[#This Row],[Day_Code]],Lookup_Tables!$H$10:$H$16,0))</f>
        <v>Tuesday</v>
      </c>
      <c r="T872" s="10" t="str">
        <f>VLOOKUP(Cleaned_datasetB[[#This Row],[Month]], Lookup_Tables!$K$8:$L$19, 2, FALSE)</f>
        <v>February</v>
      </c>
      <c r="U872" s="10" t="str">
        <f>IF(AND(Cleaned_datasetB[[#This Row],[Day_Type]]="Weekday",Cleaned_datasetB[[#This Row],[Is_Holiday]]=FALSE),"Working Day","Non-Working Day")</f>
        <v>Working Day</v>
      </c>
    </row>
    <row r="873" spans="1:21">
      <c r="A873" s="10">
        <v>872</v>
      </c>
      <c r="B873" s="23">
        <v>40582</v>
      </c>
      <c r="C873" s="10">
        <v>1</v>
      </c>
      <c r="D873" s="10">
        <v>0</v>
      </c>
      <c r="E873" s="10">
        <v>2</v>
      </c>
      <c r="F873" s="10">
        <v>18</v>
      </c>
      <c r="G873" s="10" t="b">
        <v>0</v>
      </c>
      <c r="H873" s="10">
        <v>2</v>
      </c>
      <c r="I873" s="10" t="str">
        <f>IF(OR(Cleaned_datasetB[[#This Row],[Day_Code]]=0,Cleaned_datasetB[[#This Row],[Day_Code]]=6),"Weekend","Weekday")</f>
        <v>Weekday</v>
      </c>
      <c r="J873" s="10">
        <v>1</v>
      </c>
      <c r="K873" s="10">
        <v>0.2</v>
      </c>
      <c r="L873" s="51">
        <v>0.18179999999999999</v>
      </c>
      <c r="M873" s="10">
        <v>0.32</v>
      </c>
      <c r="N873" s="10">
        <v>0.3881</v>
      </c>
      <c r="O873" s="10">
        <v>1</v>
      </c>
      <c r="P873" s="10">
        <v>151</v>
      </c>
      <c r="Q873" s="10">
        <v>152</v>
      </c>
      <c r="R873" s="10" t="str">
        <f>VLOOKUP(Cleaned_datasetB[[#This Row],[Weather_Code]],Lookup_Tables!$E$9:$F$13,2,FALSE)</f>
        <v>Clear</v>
      </c>
      <c r="S873" s="10" t="str">
        <f>INDEX(Lookup_Tables!$I$10:$I$16,MATCH(Cleaned_datasetB[[#This Row],[Day_Code]],Lookup_Tables!$H$10:$H$16,0))</f>
        <v>Tuesday</v>
      </c>
      <c r="T873" s="10" t="str">
        <f>VLOOKUP(Cleaned_datasetB[[#This Row],[Month]], Lookup_Tables!$K$8:$L$19, 2, FALSE)</f>
        <v>February</v>
      </c>
      <c r="U873" s="10" t="str">
        <f>IF(AND(Cleaned_datasetB[[#This Row],[Day_Type]]="Weekday",Cleaned_datasetB[[#This Row],[Is_Holiday]]=FALSE),"Working Day","Non-Working Day")</f>
        <v>Working Day</v>
      </c>
    </row>
    <row r="874" spans="1:21">
      <c r="A874" s="10">
        <v>873</v>
      </c>
      <c r="B874" s="23">
        <v>40582</v>
      </c>
      <c r="C874" s="10">
        <v>1</v>
      </c>
      <c r="D874" s="10">
        <v>0</v>
      </c>
      <c r="E874" s="10">
        <v>2</v>
      </c>
      <c r="F874" s="10">
        <v>19</v>
      </c>
      <c r="G874" s="10" t="b">
        <v>0</v>
      </c>
      <c r="H874" s="10">
        <v>2</v>
      </c>
      <c r="I874" s="10" t="str">
        <f>IF(OR(Cleaned_datasetB[[#This Row],[Day_Code]]=0,Cleaned_datasetB[[#This Row],[Day_Code]]=6),"Weekend","Weekday")</f>
        <v>Weekday</v>
      </c>
      <c r="J874" s="10">
        <v>1</v>
      </c>
      <c r="K874" s="10">
        <v>0.16</v>
      </c>
      <c r="L874" s="51">
        <v>0.1212</v>
      </c>
      <c r="M874" s="10">
        <v>0.4</v>
      </c>
      <c r="N874" s="10">
        <v>0.4627</v>
      </c>
      <c r="O874" s="10">
        <v>1</v>
      </c>
      <c r="P874" s="10">
        <v>100</v>
      </c>
      <c r="Q874" s="10">
        <v>101</v>
      </c>
      <c r="R874" s="10" t="str">
        <f>VLOOKUP(Cleaned_datasetB[[#This Row],[Weather_Code]],Lookup_Tables!$E$9:$F$13,2,FALSE)</f>
        <v>Clear</v>
      </c>
      <c r="S874" s="10" t="str">
        <f>INDEX(Lookup_Tables!$I$10:$I$16,MATCH(Cleaned_datasetB[[#This Row],[Day_Code]],Lookup_Tables!$H$10:$H$16,0))</f>
        <v>Tuesday</v>
      </c>
      <c r="T874" s="10" t="str">
        <f>VLOOKUP(Cleaned_datasetB[[#This Row],[Month]], Lookup_Tables!$K$8:$L$19, 2, FALSE)</f>
        <v>February</v>
      </c>
      <c r="U874" s="10" t="str">
        <f>IF(AND(Cleaned_datasetB[[#This Row],[Day_Type]]="Weekday",Cleaned_datasetB[[#This Row],[Is_Holiday]]=FALSE),"Working Day","Non-Working Day")</f>
        <v>Working Day</v>
      </c>
    </row>
    <row r="875" spans="1:21">
      <c r="A875" s="10">
        <v>874</v>
      </c>
      <c r="B875" s="23">
        <v>40582</v>
      </c>
      <c r="C875" s="10">
        <v>1</v>
      </c>
      <c r="D875" s="10">
        <v>0</v>
      </c>
      <c r="E875" s="10">
        <v>2</v>
      </c>
      <c r="F875" s="10">
        <v>20</v>
      </c>
      <c r="G875" s="10" t="b">
        <v>0</v>
      </c>
      <c r="H875" s="10">
        <v>2</v>
      </c>
      <c r="I875" s="10" t="str">
        <f>IF(OR(Cleaned_datasetB[[#This Row],[Day_Code]]=0,Cleaned_datasetB[[#This Row],[Day_Code]]=6),"Weekend","Weekday")</f>
        <v>Weekday</v>
      </c>
      <c r="J875" s="10">
        <v>1</v>
      </c>
      <c r="K875" s="10">
        <v>0.16</v>
      </c>
      <c r="L875" s="51">
        <v>0.13639999999999999</v>
      </c>
      <c r="M875" s="10">
        <v>0.4</v>
      </c>
      <c r="N875" s="10">
        <v>0.32840000000000003</v>
      </c>
      <c r="O875" s="10">
        <v>3</v>
      </c>
      <c r="P875" s="10">
        <v>53</v>
      </c>
      <c r="Q875" s="10">
        <v>56</v>
      </c>
      <c r="R875" s="10" t="str">
        <f>VLOOKUP(Cleaned_datasetB[[#This Row],[Weather_Code]],Lookup_Tables!$E$9:$F$13,2,FALSE)</f>
        <v>Clear</v>
      </c>
      <c r="S875" s="10" t="str">
        <f>INDEX(Lookup_Tables!$I$10:$I$16,MATCH(Cleaned_datasetB[[#This Row],[Day_Code]],Lookup_Tables!$H$10:$H$16,0))</f>
        <v>Tuesday</v>
      </c>
      <c r="T875" s="10" t="str">
        <f>VLOOKUP(Cleaned_datasetB[[#This Row],[Month]], Lookup_Tables!$K$8:$L$19, 2, FALSE)</f>
        <v>February</v>
      </c>
      <c r="U875" s="10" t="str">
        <f>IF(AND(Cleaned_datasetB[[#This Row],[Day_Type]]="Weekday",Cleaned_datasetB[[#This Row],[Is_Holiday]]=FALSE),"Working Day","Non-Working Day")</f>
        <v>Working Day</v>
      </c>
    </row>
    <row r="876" spans="1:21">
      <c r="A876" s="10">
        <v>875</v>
      </c>
      <c r="B876" s="23">
        <v>40582</v>
      </c>
      <c r="C876" s="10">
        <v>1</v>
      </c>
      <c r="D876" s="10">
        <v>0</v>
      </c>
      <c r="E876" s="10">
        <v>2</v>
      </c>
      <c r="F876" s="10">
        <v>21</v>
      </c>
      <c r="G876" s="10" t="b">
        <v>0</v>
      </c>
      <c r="H876" s="10">
        <v>2</v>
      </c>
      <c r="I876" s="10" t="str">
        <f>IF(OR(Cleaned_datasetB[[#This Row],[Day_Code]]=0,Cleaned_datasetB[[#This Row],[Day_Code]]=6),"Weekend","Weekday")</f>
        <v>Weekday</v>
      </c>
      <c r="J876" s="10">
        <v>1</v>
      </c>
      <c r="K876" s="10">
        <v>0.14000000000000001</v>
      </c>
      <c r="L876" s="51">
        <v>0.1061</v>
      </c>
      <c r="M876" s="10">
        <v>0.33</v>
      </c>
      <c r="N876" s="10">
        <v>0.4627</v>
      </c>
      <c r="O876" s="10">
        <v>8</v>
      </c>
      <c r="P876" s="10">
        <v>46</v>
      </c>
      <c r="Q876" s="10">
        <v>54</v>
      </c>
      <c r="R876" s="10" t="str">
        <f>VLOOKUP(Cleaned_datasetB[[#This Row],[Weather_Code]],Lookup_Tables!$E$9:$F$13,2,FALSE)</f>
        <v>Clear</v>
      </c>
      <c r="S876" s="10" t="str">
        <f>INDEX(Lookup_Tables!$I$10:$I$16,MATCH(Cleaned_datasetB[[#This Row],[Day_Code]],Lookup_Tables!$H$10:$H$16,0))</f>
        <v>Tuesday</v>
      </c>
      <c r="T876" s="10" t="str">
        <f>VLOOKUP(Cleaned_datasetB[[#This Row],[Month]], Lookup_Tables!$K$8:$L$19, 2, FALSE)</f>
        <v>February</v>
      </c>
      <c r="U876" s="10" t="str">
        <f>IF(AND(Cleaned_datasetB[[#This Row],[Day_Type]]="Weekday",Cleaned_datasetB[[#This Row],[Is_Holiday]]=FALSE),"Working Day","Non-Working Day")</f>
        <v>Working Day</v>
      </c>
    </row>
    <row r="877" spans="1:21">
      <c r="A877" s="10">
        <v>876</v>
      </c>
      <c r="B877" s="23">
        <v>40582</v>
      </c>
      <c r="C877" s="10">
        <v>1</v>
      </c>
      <c r="D877" s="10">
        <v>0</v>
      </c>
      <c r="E877" s="10">
        <v>2</v>
      </c>
      <c r="F877" s="10">
        <v>22</v>
      </c>
      <c r="G877" s="10" t="b">
        <v>0</v>
      </c>
      <c r="H877" s="10">
        <v>2</v>
      </c>
      <c r="I877" s="10" t="str">
        <f>IF(OR(Cleaned_datasetB[[#This Row],[Day_Code]]=0,Cleaned_datasetB[[#This Row],[Day_Code]]=6),"Weekend","Weekday")</f>
        <v>Weekday</v>
      </c>
      <c r="J877" s="10">
        <v>1</v>
      </c>
      <c r="K877" s="10">
        <v>0.12</v>
      </c>
      <c r="L877" s="51">
        <v>0.1061</v>
      </c>
      <c r="M877" s="10">
        <v>0.33</v>
      </c>
      <c r="N877" s="10">
        <v>0.35820000000000002</v>
      </c>
      <c r="O877" s="10">
        <v>0</v>
      </c>
      <c r="P877" s="10">
        <v>29</v>
      </c>
      <c r="Q877" s="10">
        <v>29</v>
      </c>
      <c r="R877" s="10" t="str">
        <f>VLOOKUP(Cleaned_datasetB[[#This Row],[Weather_Code]],Lookup_Tables!$E$9:$F$13,2,FALSE)</f>
        <v>Clear</v>
      </c>
      <c r="S877" s="10" t="str">
        <f>INDEX(Lookup_Tables!$I$10:$I$16,MATCH(Cleaned_datasetB[[#This Row],[Day_Code]],Lookup_Tables!$H$10:$H$16,0))</f>
        <v>Tuesday</v>
      </c>
      <c r="T877" s="10" t="str">
        <f>VLOOKUP(Cleaned_datasetB[[#This Row],[Month]], Lookup_Tables!$K$8:$L$19, 2, FALSE)</f>
        <v>February</v>
      </c>
      <c r="U877" s="10" t="str">
        <f>IF(AND(Cleaned_datasetB[[#This Row],[Day_Type]]="Weekday",Cleaned_datasetB[[#This Row],[Is_Holiday]]=FALSE),"Working Day","Non-Working Day")</f>
        <v>Working Day</v>
      </c>
    </row>
    <row r="878" spans="1:21">
      <c r="A878" s="10">
        <v>877</v>
      </c>
      <c r="B878" s="23">
        <v>40582</v>
      </c>
      <c r="C878" s="10">
        <v>1</v>
      </c>
      <c r="D878" s="10">
        <v>0</v>
      </c>
      <c r="E878" s="10">
        <v>2</v>
      </c>
      <c r="F878" s="10">
        <v>23</v>
      </c>
      <c r="G878" s="10" t="b">
        <v>0</v>
      </c>
      <c r="H878" s="10">
        <v>2</v>
      </c>
      <c r="I878" s="10" t="str">
        <f>IF(OR(Cleaned_datasetB[[#This Row],[Day_Code]]=0,Cleaned_datasetB[[#This Row],[Day_Code]]=6),"Weekend","Weekday")</f>
        <v>Weekday</v>
      </c>
      <c r="J878" s="10">
        <v>1</v>
      </c>
      <c r="K878" s="10">
        <v>0.12</v>
      </c>
      <c r="L878" s="51">
        <v>0.1061</v>
      </c>
      <c r="M878" s="10">
        <v>0.33</v>
      </c>
      <c r="N878" s="10">
        <v>0.32840000000000003</v>
      </c>
      <c r="O878" s="10">
        <v>3</v>
      </c>
      <c r="P878" s="10">
        <v>9</v>
      </c>
      <c r="Q878" s="10">
        <v>12</v>
      </c>
      <c r="R878" s="10" t="str">
        <f>VLOOKUP(Cleaned_datasetB[[#This Row],[Weather_Code]],Lookup_Tables!$E$9:$F$13,2,FALSE)</f>
        <v>Clear</v>
      </c>
      <c r="S878" s="10" t="str">
        <f>INDEX(Lookup_Tables!$I$10:$I$16,MATCH(Cleaned_datasetB[[#This Row],[Day_Code]],Lookup_Tables!$H$10:$H$16,0))</f>
        <v>Tuesday</v>
      </c>
      <c r="T878" s="10" t="str">
        <f>VLOOKUP(Cleaned_datasetB[[#This Row],[Month]], Lookup_Tables!$K$8:$L$19, 2, FALSE)</f>
        <v>February</v>
      </c>
      <c r="U878" s="10" t="str">
        <f>IF(AND(Cleaned_datasetB[[#This Row],[Day_Type]]="Weekday",Cleaned_datasetB[[#This Row],[Is_Holiday]]=FALSE),"Working Day","Non-Working Day")</f>
        <v>Working Day</v>
      </c>
    </row>
    <row r="879" spans="1:21">
      <c r="A879" s="10">
        <v>878</v>
      </c>
      <c r="B879" s="23">
        <v>40583</v>
      </c>
      <c r="C879" s="10">
        <v>1</v>
      </c>
      <c r="D879" s="10">
        <v>0</v>
      </c>
      <c r="E879" s="10">
        <v>2</v>
      </c>
      <c r="F879" s="10">
        <v>0</v>
      </c>
      <c r="G879" s="10" t="b">
        <v>0</v>
      </c>
      <c r="H879" s="10">
        <v>3</v>
      </c>
      <c r="I879" s="10" t="str">
        <f>IF(OR(Cleaned_datasetB[[#This Row],[Day_Code]]=0,Cleaned_datasetB[[#This Row],[Day_Code]]=6),"Weekend","Weekday")</f>
        <v>Weekday</v>
      </c>
      <c r="J879" s="10">
        <v>1</v>
      </c>
      <c r="K879" s="10">
        <v>0.1</v>
      </c>
      <c r="L879" s="51">
        <v>7.5800000000000006E-2</v>
      </c>
      <c r="M879" s="10">
        <v>0.36</v>
      </c>
      <c r="N879" s="10">
        <v>0.35820000000000002</v>
      </c>
      <c r="O879" s="10">
        <v>0</v>
      </c>
      <c r="P879" s="10">
        <v>17</v>
      </c>
      <c r="Q879" s="10">
        <v>17</v>
      </c>
      <c r="R879" s="10" t="str">
        <f>VLOOKUP(Cleaned_datasetB[[#This Row],[Weather_Code]],Lookup_Tables!$E$9:$F$13,2,FALSE)</f>
        <v>Clear</v>
      </c>
      <c r="S879" s="10" t="str">
        <f>INDEX(Lookup_Tables!$I$10:$I$16,MATCH(Cleaned_datasetB[[#This Row],[Day_Code]],Lookup_Tables!$H$10:$H$16,0))</f>
        <v>Wednesday</v>
      </c>
      <c r="T879" s="10" t="str">
        <f>VLOOKUP(Cleaned_datasetB[[#This Row],[Month]], Lookup_Tables!$K$8:$L$19, 2, FALSE)</f>
        <v>February</v>
      </c>
      <c r="U879" s="10" t="str">
        <f>IF(AND(Cleaned_datasetB[[#This Row],[Day_Type]]="Weekday",Cleaned_datasetB[[#This Row],[Is_Holiday]]=FALSE),"Working Day","Non-Working Day")</f>
        <v>Working Day</v>
      </c>
    </row>
    <row r="880" spans="1:21">
      <c r="A880" s="10">
        <v>879</v>
      </c>
      <c r="B880" s="23">
        <v>40583</v>
      </c>
      <c r="C880" s="10">
        <v>1</v>
      </c>
      <c r="D880" s="10">
        <v>0</v>
      </c>
      <c r="E880" s="10">
        <v>2</v>
      </c>
      <c r="F880" s="10">
        <v>1</v>
      </c>
      <c r="G880" s="10" t="b">
        <v>0</v>
      </c>
      <c r="H880" s="10">
        <v>3</v>
      </c>
      <c r="I880" s="10" t="str">
        <f>IF(OR(Cleaned_datasetB[[#This Row],[Day_Code]]=0,Cleaned_datasetB[[#This Row],[Day_Code]]=6),"Weekend","Weekday")</f>
        <v>Weekday</v>
      </c>
      <c r="J880" s="10">
        <v>1</v>
      </c>
      <c r="K880" s="10">
        <v>0.1</v>
      </c>
      <c r="L880" s="51">
        <v>0.1061</v>
      </c>
      <c r="M880" s="10">
        <v>0.36</v>
      </c>
      <c r="N880" s="10">
        <v>0.22389999999999999</v>
      </c>
      <c r="O880" s="10">
        <v>0</v>
      </c>
      <c r="P880" s="10">
        <v>7</v>
      </c>
      <c r="Q880" s="10">
        <v>7</v>
      </c>
      <c r="R880" s="10" t="str">
        <f>VLOOKUP(Cleaned_datasetB[[#This Row],[Weather_Code]],Lookup_Tables!$E$9:$F$13,2,FALSE)</f>
        <v>Clear</v>
      </c>
      <c r="S880" s="10" t="str">
        <f>INDEX(Lookup_Tables!$I$10:$I$16,MATCH(Cleaned_datasetB[[#This Row],[Day_Code]],Lookup_Tables!$H$10:$H$16,0))</f>
        <v>Wednesday</v>
      </c>
      <c r="T880" s="10" t="str">
        <f>VLOOKUP(Cleaned_datasetB[[#This Row],[Month]], Lookup_Tables!$K$8:$L$19, 2, FALSE)</f>
        <v>February</v>
      </c>
      <c r="U880" s="10" t="str">
        <f>IF(AND(Cleaned_datasetB[[#This Row],[Day_Type]]="Weekday",Cleaned_datasetB[[#This Row],[Is_Holiday]]=FALSE),"Working Day","Non-Working Day")</f>
        <v>Working Day</v>
      </c>
    </row>
    <row r="881" spans="1:21">
      <c r="A881" s="10">
        <v>880</v>
      </c>
      <c r="B881" s="23">
        <v>40583</v>
      </c>
      <c r="C881" s="10">
        <v>1</v>
      </c>
      <c r="D881" s="10">
        <v>0</v>
      </c>
      <c r="E881" s="10">
        <v>2</v>
      </c>
      <c r="F881" s="10">
        <v>2</v>
      </c>
      <c r="G881" s="10" t="b">
        <v>0</v>
      </c>
      <c r="H881" s="10">
        <v>3</v>
      </c>
      <c r="I881" s="10" t="str">
        <f>IF(OR(Cleaned_datasetB[[#This Row],[Day_Code]]=0,Cleaned_datasetB[[#This Row],[Day_Code]]=6),"Weekend","Weekday")</f>
        <v>Weekday</v>
      </c>
      <c r="J881" s="10">
        <v>1</v>
      </c>
      <c r="K881" s="10">
        <v>0.08</v>
      </c>
      <c r="L881" s="51">
        <v>7.5800000000000006E-2</v>
      </c>
      <c r="M881" s="10">
        <v>0.38</v>
      </c>
      <c r="N881" s="10">
        <v>0.28360000000000002</v>
      </c>
      <c r="O881" s="10">
        <v>1</v>
      </c>
      <c r="P881" s="10">
        <v>2</v>
      </c>
      <c r="Q881" s="10">
        <v>3</v>
      </c>
      <c r="R881" s="10" t="str">
        <f>VLOOKUP(Cleaned_datasetB[[#This Row],[Weather_Code]],Lookup_Tables!$E$9:$F$13,2,FALSE)</f>
        <v>Clear</v>
      </c>
      <c r="S881" s="10" t="str">
        <f>INDEX(Lookup_Tables!$I$10:$I$16,MATCH(Cleaned_datasetB[[#This Row],[Day_Code]],Lookup_Tables!$H$10:$H$16,0))</f>
        <v>Wednesday</v>
      </c>
      <c r="T881" s="10" t="str">
        <f>VLOOKUP(Cleaned_datasetB[[#This Row],[Month]], Lookup_Tables!$K$8:$L$19, 2, FALSE)</f>
        <v>February</v>
      </c>
      <c r="U881" s="10" t="str">
        <f>IF(AND(Cleaned_datasetB[[#This Row],[Day_Type]]="Weekday",Cleaned_datasetB[[#This Row],[Is_Holiday]]=FALSE),"Working Day","Non-Working Day")</f>
        <v>Working Day</v>
      </c>
    </row>
    <row r="882" spans="1:21">
      <c r="A882" s="10">
        <v>881</v>
      </c>
      <c r="B882" s="23">
        <v>40583</v>
      </c>
      <c r="C882" s="10">
        <v>1</v>
      </c>
      <c r="D882" s="10">
        <v>0</v>
      </c>
      <c r="E882" s="10">
        <v>2</v>
      </c>
      <c r="F882" s="10">
        <v>3</v>
      </c>
      <c r="G882" s="10" t="b">
        <v>0</v>
      </c>
      <c r="H882" s="10">
        <v>3</v>
      </c>
      <c r="I882" s="10" t="str">
        <f>IF(OR(Cleaned_datasetB[[#This Row],[Day_Code]]=0,Cleaned_datasetB[[#This Row],[Day_Code]]=6),"Weekend","Weekday")</f>
        <v>Weekday</v>
      </c>
      <c r="J882" s="10">
        <v>1</v>
      </c>
      <c r="K882" s="10">
        <v>0.06</v>
      </c>
      <c r="L882" s="51">
        <v>7.5800000000000006E-2</v>
      </c>
      <c r="M882" s="10">
        <v>0.45</v>
      </c>
      <c r="N882" s="10">
        <v>0.1343</v>
      </c>
      <c r="O882" s="10">
        <v>0</v>
      </c>
      <c r="P882" s="10">
        <v>2</v>
      </c>
      <c r="Q882" s="10">
        <v>2</v>
      </c>
      <c r="R882" s="10" t="str">
        <f>VLOOKUP(Cleaned_datasetB[[#This Row],[Weather_Code]],Lookup_Tables!$E$9:$F$13,2,FALSE)</f>
        <v>Clear</v>
      </c>
      <c r="S882" s="10" t="str">
        <f>INDEX(Lookup_Tables!$I$10:$I$16,MATCH(Cleaned_datasetB[[#This Row],[Day_Code]],Lookup_Tables!$H$10:$H$16,0))</f>
        <v>Wednesday</v>
      </c>
      <c r="T882" s="10" t="str">
        <f>VLOOKUP(Cleaned_datasetB[[#This Row],[Month]], Lookup_Tables!$K$8:$L$19, 2, FALSE)</f>
        <v>February</v>
      </c>
      <c r="U882" s="10" t="str">
        <f>IF(AND(Cleaned_datasetB[[#This Row],[Day_Type]]="Weekday",Cleaned_datasetB[[#This Row],[Is_Holiday]]=FALSE),"Working Day","Non-Working Day")</f>
        <v>Working Day</v>
      </c>
    </row>
    <row r="883" spans="1:21">
      <c r="A883" s="10">
        <v>882</v>
      </c>
      <c r="B883" s="23">
        <v>40583</v>
      </c>
      <c r="C883" s="10">
        <v>1</v>
      </c>
      <c r="D883" s="10">
        <v>0</v>
      </c>
      <c r="E883" s="10">
        <v>2</v>
      </c>
      <c r="F883" s="10">
        <v>5</v>
      </c>
      <c r="G883" s="10" t="b">
        <v>0</v>
      </c>
      <c r="H883" s="10">
        <v>3</v>
      </c>
      <c r="I883" s="10" t="str">
        <f>IF(OR(Cleaned_datasetB[[#This Row],[Day_Code]]=0,Cleaned_datasetB[[#This Row],[Day_Code]]=6),"Weekend","Weekday")</f>
        <v>Weekday</v>
      </c>
      <c r="J883" s="10">
        <v>1</v>
      </c>
      <c r="K883" s="10">
        <v>0.06</v>
      </c>
      <c r="L883" s="51">
        <v>0.1061</v>
      </c>
      <c r="M883" s="10">
        <v>0.45</v>
      </c>
      <c r="N883" s="10">
        <v>0.1045</v>
      </c>
      <c r="O883" s="10">
        <v>0</v>
      </c>
      <c r="P883" s="10">
        <v>7</v>
      </c>
      <c r="Q883" s="10">
        <v>7</v>
      </c>
      <c r="R883" s="10" t="str">
        <f>VLOOKUP(Cleaned_datasetB[[#This Row],[Weather_Code]],Lookup_Tables!$E$9:$F$13,2,FALSE)</f>
        <v>Clear</v>
      </c>
      <c r="S883" s="10" t="str">
        <f>INDEX(Lookup_Tables!$I$10:$I$16,MATCH(Cleaned_datasetB[[#This Row],[Day_Code]],Lookup_Tables!$H$10:$H$16,0))</f>
        <v>Wednesday</v>
      </c>
      <c r="T883" s="10" t="str">
        <f>VLOOKUP(Cleaned_datasetB[[#This Row],[Month]], Lookup_Tables!$K$8:$L$19, 2, FALSE)</f>
        <v>February</v>
      </c>
      <c r="U883" s="10" t="str">
        <f>IF(AND(Cleaned_datasetB[[#This Row],[Day_Type]]="Weekday",Cleaned_datasetB[[#This Row],[Is_Holiday]]=FALSE),"Working Day","Non-Working Day")</f>
        <v>Working Day</v>
      </c>
    </row>
    <row r="884" spans="1:21">
      <c r="A884" s="10">
        <v>883</v>
      </c>
      <c r="B884" s="23">
        <v>40583</v>
      </c>
      <c r="C884" s="10">
        <v>1</v>
      </c>
      <c r="D884" s="10">
        <v>0</v>
      </c>
      <c r="E884" s="10">
        <v>2</v>
      </c>
      <c r="F884" s="10">
        <v>6</v>
      </c>
      <c r="G884" s="10" t="b">
        <v>0</v>
      </c>
      <c r="H884" s="10">
        <v>3</v>
      </c>
      <c r="I884" s="10" t="str">
        <f>IF(OR(Cleaned_datasetB[[#This Row],[Day_Code]]=0,Cleaned_datasetB[[#This Row],[Day_Code]]=6),"Weekend","Weekday")</f>
        <v>Weekday</v>
      </c>
      <c r="J884" s="10">
        <v>1</v>
      </c>
      <c r="K884" s="10">
        <v>0.06</v>
      </c>
      <c r="L884" s="51">
        <v>0.1515</v>
      </c>
      <c r="M884" s="10">
        <v>0.45</v>
      </c>
      <c r="N884" s="10">
        <v>0</v>
      </c>
      <c r="O884" s="10">
        <v>0</v>
      </c>
      <c r="P884" s="10">
        <v>43</v>
      </c>
      <c r="Q884" s="10">
        <v>43</v>
      </c>
      <c r="R884" s="10" t="str">
        <f>VLOOKUP(Cleaned_datasetB[[#This Row],[Weather_Code]],Lookup_Tables!$E$9:$F$13,2,FALSE)</f>
        <v>Clear</v>
      </c>
      <c r="S884" s="10" t="str">
        <f>INDEX(Lookup_Tables!$I$10:$I$16,MATCH(Cleaned_datasetB[[#This Row],[Day_Code]],Lookup_Tables!$H$10:$H$16,0))</f>
        <v>Wednesday</v>
      </c>
      <c r="T884" s="10" t="str">
        <f>VLOOKUP(Cleaned_datasetB[[#This Row],[Month]], Lookup_Tables!$K$8:$L$19, 2, FALSE)</f>
        <v>February</v>
      </c>
      <c r="U884" s="10" t="str">
        <f>IF(AND(Cleaned_datasetB[[#This Row],[Day_Type]]="Weekday",Cleaned_datasetB[[#This Row],[Is_Holiday]]=FALSE),"Working Day","Non-Working Day")</f>
        <v>Working Day</v>
      </c>
    </row>
    <row r="885" spans="1:21">
      <c r="A885" s="10">
        <v>884</v>
      </c>
      <c r="B885" s="23">
        <v>40583</v>
      </c>
      <c r="C885" s="10">
        <v>1</v>
      </c>
      <c r="D885" s="10">
        <v>0</v>
      </c>
      <c r="E885" s="10">
        <v>2</v>
      </c>
      <c r="F885" s="10">
        <v>7</v>
      </c>
      <c r="G885" s="10" t="b">
        <v>0</v>
      </c>
      <c r="H885" s="10">
        <v>3</v>
      </c>
      <c r="I885" s="10" t="str">
        <f>IF(OR(Cleaned_datasetB[[#This Row],[Day_Code]]=0,Cleaned_datasetB[[#This Row],[Day_Code]]=6),"Weekend","Weekday")</f>
        <v>Weekday</v>
      </c>
      <c r="J885" s="10">
        <v>1</v>
      </c>
      <c r="K885" s="10">
        <v>0.06</v>
      </c>
      <c r="L885" s="51">
        <v>0.1061</v>
      </c>
      <c r="M885" s="10">
        <v>0.49</v>
      </c>
      <c r="N885" s="10">
        <v>0.1045</v>
      </c>
      <c r="O885" s="10">
        <v>4</v>
      </c>
      <c r="P885" s="10">
        <v>95</v>
      </c>
      <c r="Q885" s="10">
        <v>99</v>
      </c>
      <c r="R885" s="10" t="str">
        <f>VLOOKUP(Cleaned_datasetB[[#This Row],[Weather_Code]],Lookup_Tables!$E$9:$F$13,2,FALSE)</f>
        <v>Clear</v>
      </c>
      <c r="S885" s="10" t="str">
        <f>INDEX(Lookup_Tables!$I$10:$I$16,MATCH(Cleaned_datasetB[[#This Row],[Day_Code]],Lookup_Tables!$H$10:$H$16,0))</f>
        <v>Wednesday</v>
      </c>
      <c r="T885" s="10" t="str">
        <f>VLOOKUP(Cleaned_datasetB[[#This Row],[Month]], Lookup_Tables!$K$8:$L$19, 2, FALSE)</f>
        <v>February</v>
      </c>
      <c r="U885" s="10" t="str">
        <f>IF(AND(Cleaned_datasetB[[#This Row],[Day_Type]]="Weekday",Cleaned_datasetB[[#This Row],[Is_Holiday]]=FALSE),"Working Day","Non-Working Day")</f>
        <v>Working Day</v>
      </c>
    </row>
    <row r="886" spans="1:21">
      <c r="A886" s="10">
        <v>885</v>
      </c>
      <c r="B886" s="23">
        <v>40583</v>
      </c>
      <c r="C886" s="10">
        <v>1</v>
      </c>
      <c r="D886" s="10">
        <v>0</v>
      </c>
      <c r="E886" s="10">
        <v>2</v>
      </c>
      <c r="F886" s="10">
        <v>8</v>
      </c>
      <c r="G886" s="10" t="b">
        <v>0</v>
      </c>
      <c r="H886" s="10">
        <v>3</v>
      </c>
      <c r="I886" s="10" t="str">
        <f>IF(OR(Cleaned_datasetB[[#This Row],[Day_Code]]=0,Cleaned_datasetB[[#This Row],[Day_Code]]=6),"Weekend","Weekday")</f>
        <v>Weekday</v>
      </c>
      <c r="J886" s="10">
        <v>1</v>
      </c>
      <c r="K886" s="10">
        <v>0.1</v>
      </c>
      <c r="L886" s="51">
        <v>0.13639999999999999</v>
      </c>
      <c r="M886" s="10">
        <v>0.42</v>
      </c>
      <c r="N886" s="10">
        <v>0</v>
      </c>
      <c r="O886" s="10">
        <v>1</v>
      </c>
      <c r="P886" s="10">
        <v>198</v>
      </c>
      <c r="Q886" s="10">
        <v>199</v>
      </c>
      <c r="R886" s="10" t="str">
        <f>VLOOKUP(Cleaned_datasetB[[#This Row],[Weather_Code]],Lookup_Tables!$E$9:$F$13,2,FALSE)</f>
        <v>Clear</v>
      </c>
      <c r="S886" s="10" t="str">
        <f>INDEX(Lookup_Tables!$I$10:$I$16,MATCH(Cleaned_datasetB[[#This Row],[Day_Code]],Lookup_Tables!$H$10:$H$16,0))</f>
        <v>Wednesday</v>
      </c>
      <c r="T886" s="10" t="str">
        <f>VLOOKUP(Cleaned_datasetB[[#This Row],[Month]], Lookup_Tables!$K$8:$L$19, 2, FALSE)</f>
        <v>February</v>
      </c>
      <c r="U886" s="10" t="str">
        <f>IF(AND(Cleaned_datasetB[[#This Row],[Day_Type]]="Weekday",Cleaned_datasetB[[#This Row],[Is_Holiday]]=FALSE),"Working Day","Non-Working Day")</f>
        <v>Working Day</v>
      </c>
    </row>
    <row r="887" spans="1:21">
      <c r="A887" s="10">
        <v>886</v>
      </c>
      <c r="B887" s="23">
        <v>40583</v>
      </c>
      <c r="C887" s="10">
        <v>1</v>
      </c>
      <c r="D887" s="10">
        <v>0</v>
      </c>
      <c r="E887" s="10">
        <v>2</v>
      </c>
      <c r="F887" s="10">
        <v>9</v>
      </c>
      <c r="G887" s="10" t="b">
        <v>0</v>
      </c>
      <c r="H887" s="10">
        <v>3</v>
      </c>
      <c r="I887" s="10" t="str">
        <f>IF(OR(Cleaned_datasetB[[#This Row],[Day_Code]]=0,Cleaned_datasetB[[#This Row],[Day_Code]]=6),"Weekend","Weekday")</f>
        <v>Weekday</v>
      </c>
      <c r="J887" s="10">
        <v>1</v>
      </c>
      <c r="K887" s="10">
        <v>0.12</v>
      </c>
      <c r="L887" s="51">
        <v>0.13639999999999999</v>
      </c>
      <c r="M887" s="10">
        <v>0.39</v>
      </c>
      <c r="N887" s="10">
        <v>0.16420000000000001</v>
      </c>
      <c r="O887" s="10">
        <v>4</v>
      </c>
      <c r="P887" s="10">
        <v>119</v>
      </c>
      <c r="Q887" s="10">
        <v>123</v>
      </c>
      <c r="R887" s="10" t="str">
        <f>VLOOKUP(Cleaned_datasetB[[#This Row],[Weather_Code]],Lookup_Tables!$E$9:$F$13,2,FALSE)</f>
        <v>Clear</v>
      </c>
      <c r="S887" s="10" t="str">
        <f>INDEX(Lookup_Tables!$I$10:$I$16,MATCH(Cleaned_datasetB[[#This Row],[Day_Code]],Lookup_Tables!$H$10:$H$16,0))</f>
        <v>Wednesday</v>
      </c>
      <c r="T887" s="10" t="str">
        <f>VLOOKUP(Cleaned_datasetB[[#This Row],[Month]], Lookup_Tables!$K$8:$L$19, 2, FALSE)</f>
        <v>February</v>
      </c>
      <c r="U887" s="10" t="str">
        <f>IF(AND(Cleaned_datasetB[[#This Row],[Day_Type]]="Weekday",Cleaned_datasetB[[#This Row],[Is_Holiday]]=FALSE),"Working Day","Non-Working Day")</f>
        <v>Working Day</v>
      </c>
    </row>
    <row r="888" spans="1:21">
      <c r="A888" s="10">
        <v>887</v>
      </c>
      <c r="B888" s="23">
        <v>40583</v>
      </c>
      <c r="C888" s="10">
        <v>1</v>
      </c>
      <c r="D888" s="10">
        <v>0</v>
      </c>
      <c r="E888" s="10">
        <v>2</v>
      </c>
      <c r="F888" s="10">
        <v>10</v>
      </c>
      <c r="G888" s="10" t="b">
        <v>0</v>
      </c>
      <c r="H888" s="10">
        <v>3</v>
      </c>
      <c r="I888" s="10" t="str">
        <f>IF(OR(Cleaned_datasetB[[#This Row],[Day_Code]]=0,Cleaned_datasetB[[#This Row],[Day_Code]]=6),"Weekend","Weekday")</f>
        <v>Weekday</v>
      </c>
      <c r="J888" s="10">
        <v>1</v>
      </c>
      <c r="K888" s="10">
        <v>0.14000000000000001</v>
      </c>
      <c r="L888" s="51">
        <v>0.18179999999999999</v>
      </c>
      <c r="M888" s="10">
        <v>0.36</v>
      </c>
      <c r="N888" s="10">
        <v>0</v>
      </c>
      <c r="O888" s="10">
        <v>8</v>
      </c>
      <c r="P888" s="10">
        <v>51</v>
      </c>
      <c r="Q888" s="10">
        <v>59</v>
      </c>
      <c r="R888" s="10" t="str">
        <f>VLOOKUP(Cleaned_datasetB[[#This Row],[Weather_Code]],Lookup_Tables!$E$9:$F$13,2,FALSE)</f>
        <v>Clear</v>
      </c>
      <c r="S888" s="10" t="str">
        <f>INDEX(Lookup_Tables!$I$10:$I$16,MATCH(Cleaned_datasetB[[#This Row],[Day_Code]],Lookup_Tables!$H$10:$H$16,0))</f>
        <v>Wednesday</v>
      </c>
      <c r="T888" s="10" t="str">
        <f>VLOOKUP(Cleaned_datasetB[[#This Row],[Month]], Lookup_Tables!$K$8:$L$19, 2, FALSE)</f>
        <v>February</v>
      </c>
      <c r="U888" s="10" t="str">
        <f>IF(AND(Cleaned_datasetB[[#This Row],[Day_Type]]="Weekday",Cleaned_datasetB[[#This Row],[Is_Holiday]]=FALSE),"Working Day","Non-Working Day")</f>
        <v>Working Day</v>
      </c>
    </row>
    <row r="889" spans="1:21">
      <c r="A889" s="10">
        <v>888</v>
      </c>
      <c r="B889" s="23">
        <v>40583</v>
      </c>
      <c r="C889" s="10">
        <v>1</v>
      </c>
      <c r="D889" s="10">
        <v>0</v>
      </c>
      <c r="E889" s="10">
        <v>2</v>
      </c>
      <c r="F889" s="10">
        <v>11</v>
      </c>
      <c r="G889" s="10" t="b">
        <v>0</v>
      </c>
      <c r="H889" s="10">
        <v>3</v>
      </c>
      <c r="I889" s="10" t="str">
        <f>IF(OR(Cleaned_datasetB[[#This Row],[Day_Code]]=0,Cleaned_datasetB[[#This Row],[Day_Code]]=6),"Weekend","Weekday")</f>
        <v>Weekday</v>
      </c>
      <c r="J889" s="10">
        <v>2</v>
      </c>
      <c r="K889" s="10">
        <v>0.14000000000000001</v>
      </c>
      <c r="L889" s="51">
        <v>0.1515</v>
      </c>
      <c r="M889" s="10">
        <v>0.43</v>
      </c>
      <c r="N889" s="10">
        <v>0.16420000000000001</v>
      </c>
      <c r="O889" s="10">
        <v>1</v>
      </c>
      <c r="P889" s="10">
        <v>40</v>
      </c>
      <c r="Q889" s="10">
        <v>41</v>
      </c>
      <c r="R889" s="10" t="str">
        <f>VLOOKUP(Cleaned_datasetB[[#This Row],[Weather_Code]],Lookup_Tables!$E$9:$F$13,2,FALSE)</f>
        <v>Cloudy</v>
      </c>
      <c r="S889" s="10" t="str">
        <f>INDEX(Lookup_Tables!$I$10:$I$16,MATCH(Cleaned_datasetB[[#This Row],[Day_Code]],Lookup_Tables!$H$10:$H$16,0))</f>
        <v>Wednesday</v>
      </c>
      <c r="T889" s="10" t="str">
        <f>VLOOKUP(Cleaned_datasetB[[#This Row],[Month]], Lookup_Tables!$K$8:$L$19, 2, FALSE)</f>
        <v>February</v>
      </c>
      <c r="U889" s="10" t="str">
        <f>IF(AND(Cleaned_datasetB[[#This Row],[Day_Type]]="Weekday",Cleaned_datasetB[[#This Row],[Is_Holiday]]=FALSE),"Working Day","Non-Working Day")</f>
        <v>Working Day</v>
      </c>
    </row>
    <row r="890" spans="1:21">
      <c r="A890" s="10">
        <v>889</v>
      </c>
      <c r="B890" s="23">
        <v>40583</v>
      </c>
      <c r="C890" s="10">
        <v>1</v>
      </c>
      <c r="D890" s="10">
        <v>0</v>
      </c>
      <c r="E890" s="10">
        <v>2</v>
      </c>
      <c r="F890" s="10">
        <v>12</v>
      </c>
      <c r="G890" s="10" t="b">
        <v>0</v>
      </c>
      <c r="H890" s="10">
        <v>3</v>
      </c>
      <c r="I890" s="10" t="str">
        <f>IF(OR(Cleaned_datasetB[[#This Row],[Day_Code]]=0,Cleaned_datasetB[[#This Row],[Day_Code]]=6),"Weekend","Weekday")</f>
        <v>Weekday</v>
      </c>
      <c r="J890" s="10">
        <v>2</v>
      </c>
      <c r="K890" s="10">
        <v>0.18</v>
      </c>
      <c r="L890" s="51">
        <v>0.18179999999999999</v>
      </c>
      <c r="M890" s="10">
        <v>0.4</v>
      </c>
      <c r="N890" s="10">
        <v>0.22389999999999999</v>
      </c>
      <c r="O890" s="10">
        <v>4</v>
      </c>
      <c r="P890" s="10">
        <v>57</v>
      </c>
      <c r="Q890" s="10">
        <v>61</v>
      </c>
      <c r="R890" s="10" t="str">
        <f>VLOOKUP(Cleaned_datasetB[[#This Row],[Weather_Code]],Lookup_Tables!$E$9:$F$13,2,FALSE)</f>
        <v>Cloudy</v>
      </c>
      <c r="S890" s="10" t="str">
        <f>INDEX(Lookup_Tables!$I$10:$I$16,MATCH(Cleaned_datasetB[[#This Row],[Day_Code]],Lookup_Tables!$H$10:$H$16,0))</f>
        <v>Wednesday</v>
      </c>
      <c r="T890" s="10" t="str">
        <f>VLOOKUP(Cleaned_datasetB[[#This Row],[Month]], Lookup_Tables!$K$8:$L$19, 2, FALSE)</f>
        <v>February</v>
      </c>
      <c r="U890" s="10" t="str">
        <f>IF(AND(Cleaned_datasetB[[#This Row],[Day_Type]]="Weekday",Cleaned_datasetB[[#This Row],[Is_Holiday]]=FALSE),"Working Day","Non-Working Day")</f>
        <v>Working Day</v>
      </c>
    </row>
    <row r="891" spans="1:21">
      <c r="A891" s="10">
        <v>890</v>
      </c>
      <c r="B891" s="23">
        <v>40583</v>
      </c>
      <c r="C891" s="10">
        <v>1</v>
      </c>
      <c r="D891" s="10">
        <v>0</v>
      </c>
      <c r="E891" s="10">
        <v>2</v>
      </c>
      <c r="F891" s="10">
        <v>13</v>
      </c>
      <c r="G891" s="10" t="b">
        <v>0</v>
      </c>
      <c r="H891" s="10">
        <v>3</v>
      </c>
      <c r="I891" s="10" t="str">
        <f>IF(OR(Cleaned_datasetB[[#This Row],[Day_Code]]=0,Cleaned_datasetB[[#This Row],[Day_Code]]=6),"Weekend","Weekday")</f>
        <v>Weekday</v>
      </c>
      <c r="J891" s="10">
        <v>1</v>
      </c>
      <c r="K891" s="10">
        <v>0.18</v>
      </c>
      <c r="L891" s="51">
        <v>0.16669999999999999</v>
      </c>
      <c r="M891" s="10">
        <v>0.4</v>
      </c>
      <c r="N891" s="10">
        <v>0.25369999999999998</v>
      </c>
      <c r="O891" s="10">
        <v>2</v>
      </c>
      <c r="P891" s="10">
        <v>67</v>
      </c>
      <c r="Q891" s="10">
        <v>69</v>
      </c>
      <c r="R891" s="10" t="str">
        <f>VLOOKUP(Cleaned_datasetB[[#This Row],[Weather_Code]],Lookup_Tables!$E$9:$F$13,2,FALSE)</f>
        <v>Clear</v>
      </c>
      <c r="S891" s="10" t="str">
        <f>INDEX(Lookup_Tables!$I$10:$I$16,MATCH(Cleaned_datasetB[[#This Row],[Day_Code]],Lookup_Tables!$H$10:$H$16,0))</f>
        <v>Wednesday</v>
      </c>
      <c r="T891" s="10" t="str">
        <f>VLOOKUP(Cleaned_datasetB[[#This Row],[Month]], Lookup_Tables!$K$8:$L$19, 2, FALSE)</f>
        <v>February</v>
      </c>
      <c r="U891" s="10" t="str">
        <f>IF(AND(Cleaned_datasetB[[#This Row],[Day_Type]]="Weekday",Cleaned_datasetB[[#This Row],[Is_Holiday]]=FALSE),"Working Day","Non-Working Day")</f>
        <v>Working Day</v>
      </c>
    </row>
    <row r="892" spans="1:21">
      <c r="A892" s="10">
        <v>891</v>
      </c>
      <c r="B892" s="23">
        <v>40583</v>
      </c>
      <c r="C892" s="10">
        <v>1</v>
      </c>
      <c r="D892" s="10">
        <v>0</v>
      </c>
      <c r="E892" s="10">
        <v>2</v>
      </c>
      <c r="F892" s="10">
        <v>14</v>
      </c>
      <c r="G892" s="10" t="b">
        <v>0</v>
      </c>
      <c r="H892" s="10">
        <v>3</v>
      </c>
      <c r="I892" s="10" t="str">
        <f>IF(OR(Cleaned_datasetB[[#This Row],[Day_Code]]=0,Cleaned_datasetB[[#This Row],[Day_Code]]=6),"Weekend","Weekday")</f>
        <v>Weekday</v>
      </c>
      <c r="J892" s="10">
        <v>1</v>
      </c>
      <c r="K892" s="10">
        <v>0.2</v>
      </c>
      <c r="L892" s="51">
        <v>0.18179999999999999</v>
      </c>
      <c r="M892" s="10">
        <v>0.34</v>
      </c>
      <c r="N892" s="10">
        <v>0.29849999999999999</v>
      </c>
      <c r="O892" s="10">
        <v>2</v>
      </c>
      <c r="P892" s="10">
        <v>56</v>
      </c>
      <c r="Q892" s="10">
        <v>58</v>
      </c>
      <c r="R892" s="10" t="str">
        <f>VLOOKUP(Cleaned_datasetB[[#This Row],[Weather_Code]],Lookup_Tables!$E$9:$F$13,2,FALSE)</f>
        <v>Clear</v>
      </c>
      <c r="S892" s="10" t="str">
        <f>INDEX(Lookup_Tables!$I$10:$I$16,MATCH(Cleaned_datasetB[[#This Row],[Day_Code]],Lookup_Tables!$H$10:$H$16,0))</f>
        <v>Wednesday</v>
      </c>
      <c r="T892" s="10" t="str">
        <f>VLOOKUP(Cleaned_datasetB[[#This Row],[Month]], Lookup_Tables!$K$8:$L$19, 2, FALSE)</f>
        <v>February</v>
      </c>
      <c r="U892" s="10" t="str">
        <f>IF(AND(Cleaned_datasetB[[#This Row],[Day_Type]]="Weekday",Cleaned_datasetB[[#This Row],[Is_Holiday]]=FALSE),"Working Day","Non-Working Day")</f>
        <v>Working Day</v>
      </c>
    </row>
    <row r="893" spans="1:21">
      <c r="A893" s="10">
        <v>892</v>
      </c>
      <c r="B893" s="23">
        <v>40583</v>
      </c>
      <c r="C893" s="10">
        <v>1</v>
      </c>
      <c r="D893" s="10">
        <v>0</v>
      </c>
      <c r="E893" s="10">
        <v>2</v>
      </c>
      <c r="F893" s="10">
        <v>15</v>
      </c>
      <c r="G893" s="10" t="b">
        <v>0</v>
      </c>
      <c r="H893" s="10">
        <v>3</v>
      </c>
      <c r="I893" s="10" t="str">
        <f>IF(OR(Cleaned_datasetB[[#This Row],[Day_Code]]=0,Cleaned_datasetB[[#This Row],[Day_Code]]=6),"Weekend","Weekday")</f>
        <v>Weekday</v>
      </c>
      <c r="J893" s="10">
        <v>2</v>
      </c>
      <c r="K893" s="10">
        <v>0.2</v>
      </c>
      <c r="L893" s="51">
        <v>0.18179999999999999</v>
      </c>
      <c r="M893" s="10">
        <v>0.34</v>
      </c>
      <c r="N893" s="10">
        <v>0.28360000000000002</v>
      </c>
      <c r="O893" s="10">
        <v>3</v>
      </c>
      <c r="P893" s="10">
        <v>61</v>
      </c>
      <c r="Q893" s="10">
        <v>64</v>
      </c>
      <c r="R893" s="10" t="str">
        <f>VLOOKUP(Cleaned_datasetB[[#This Row],[Weather_Code]],Lookup_Tables!$E$9:$F$13,2,FALSE)</f>
        <v>Cloudy</v>
      </c>
      <c r="S893" s="10" t="str">
        <f>INDEX(Lookup_Tables!$I$10:$I$16,MATCH(Cleaned_datasetB[[#This Row],[Day_Code]],Lookup_Tables!$H$10:$H$16,0))</f>
        <v>Wednesday</v>
      </c>
      <c r="T893" s="10" t="str">
        <f>VLOOKUP(Cleaned_datasetB[[#This Row],[Month]], Lookup_Tables!$K$8:$L$19, 2, FALSE)</f>
        <v>February</v>
      </c>
      <c r="U893" s="10" t="str">
        <f>IF(AND(Cleaned_datasetB[[#This Row],[Day_Type]]="Weekday",Cleaned_datasetB[[#This Row],[Is_Holiday]]=FALSE),"Working Day","Non-Working Day")</f>
        <v>Working Day</v>
      </c>
    </row>
    <row r="894" spans="1:21">
      <c r="A894" s="10">
        <v>893</v>
      </c>
      <c r="B894" s="23">
        <v>40583</v>
      </c>
      <c r="C894" s="10">
        <v>1</v>
      </c>
      <c r="D894" s="10">
        <v>0</v>
      </c>
      <c r="E894" s="10">
        <v>2</v>
      </c>
      <c r="F894" s="10">
        <v>16</v>
      </c>
      <c r="G894" s="10" t="b">
        <v>0</v>
      </c>
      <c r="H894" s="10">
        <v>3</v>
      </c>
      <c r="I894" s="10" t="str">
        <f>IF(OR(Cleaned_datasetB[[#This Row],[Day_Code]]=0,Cleaned_datasetB[[#This Row],[Day_Code]]=6),"Weekend","Weekday")</f>
        <v>Weekday</v>
      </c>
      <c r="J894" s="10">
        <v>2</v>
      </c>
      <c r="K894" s="10">
        <v>0.2</v>
      </c>
      <c r="L894" s="51">
        <v>0.19700000000000001</v>
      </c>
      <c r="M894" s="10">
        <v>0.37</v>
      </c>
      <c r="N894" s="10">
        <v>0.25369999999999998</v>
      </c>
      <c r="O894" s="10">
        <v>7</v>
      </c>
      <c r="P894" s="10">
        <v>72</v>
      </c>
      <c r="Q894" s="10">
        <v>79</v>
      </c>
      <c r="R894" s="10" t="str">
        <f>VLOOKUP(Cleaned_datasetB[[#This Row],[Weather_Code]],Lookup_Tables!$E$9:$F$13,2,FALSE)</f>
        <v>Cloudy</v>
      </c>
      <c r="S894" s="10" t="str">
        <f>INDEX(Lookup_Tables!$I$10:$I$16,MATCH(Cleaned_datasetB[[#This Row],[Day_Code]],Lookup_Tables!$H$10:$H$16,0))</f>
        <v>Wednesday</v>
      </c>
      <c r="T894" s="10" t="str">
        <f>VLOOKUP(Cleaned_datasetB[[#This Row],[Month]], Lookup_Tables!$K$8:$L$19, 2, FALSE)</f>
        <v>February</v>
      </c>
      <c r="U894" s="10" t="str">
        <f>IF(AND(Cleaned_datasetB[[#This Row],[Day_Type]]="Weekday",Cleaned_datasetB[[#This Row],[Is_Holiday]]=FALSE),"Working Day","Non-Working Day")</f>
        <v>Working Day</v>
      </c>
    </row>
    <row r="895" spans="1:21">
      <c r="A895" s="10">
        <v>894</v>
      </c>
      <c r="B895" s="23">
        <v>40583</v>
      </c>
      <c r="C895" s="10">
        <v>1</v>
      </c>
      <c r="D895" s="10">
        <v>0</v>
      </c>
      <c r="E895" s="10">
        <v>2</v>
      </c>
      <c r="F895" s="10">
        <v>17</v>
      </c>
      <c r="G895" s="10" t="b">
        <v>0</v>
      </c>
      <c r="H895" s="10">
        <v>3</v>
      </c>
      <c r="I895" s="10" t="str">
        <f>IF(OR(Cleaned_datasetB[[#This Row],[Day_Code]]=0,Cleaned_datasetB[[#This Row],[Day_Code]]=6),"Weekend","Weekday")</f>
        <v>Weekday</v>
      </c>
      <c r="J895" s="10">
        <v>2</v>
      </c>
      <c r="K895" s="10">
        <v>0.2</v>
      </c>
      <c r="L895" s="51">
        <v>0.19700000000000001</v>
      </c>
      <c r="M895" s="10">
        <v>0.34</v>
      </c>
      <c r="N895" s="10">
        <v>0.25369999999999998</v>
      </c>
      <c r="O895" s="10">
        <v>9</v>
      </c>
      <c r="P895" s="10">
        <v>157</v>
      </c>
      <c r="Q895" s="10">
        <v>166</v>
      </c>
      <c r="R895" s="10" t="str">
        <f>VLOOKUP(Cleaned_datasetB[[#This Row],[Weather_Code]],Lookup_Tables!$E$9:$F$13,2,FALSE)</f>
        <v>Cloudy</v>
      </c>
      <c r="S895" s="10" t="str">
        <f>INDEX(Lookup_Tables!$I$10:$I$16,MATCH(Cleaned_datasetB[[#This Row],[Day_Code]],Lookup_Tables!$H$10:$H$16,0))</f>
        <v>Wednesday</v>
      </c>
      <c r="T895" s="10" t="str">
        <f>VLOOKUP(Cleaned_datasetB[[#This Row],[Month]], Lookup_Tables!$K$8:$L$19, 2, FALSE)</f>
        <v>February</v>
      </c>
      <c r="U895" s="10" t="str">
        <f>IF(AND(Cleaned_datasetB[[#This Row],[Day_Type]]="Weekday",Cleaned_datasetB[[#This Row],[Is_Holiday]]=FALSE),"Working Day","Non-Working Day")</f>
        <v>Working Day</v>
      </c>
    </row>
    <row r="896" spans="1:21">
      <c r="A896" s="10">
        <v>895</v>
      </c>
      <c r="B896" s="23">
        <v>40583</v>
      </c>
      <c r="C896" s="10">
        <v>1</v>
      </c>
      <c r="D896" s="10">
        <v>0</v>
      </c>
      <c r="E896" s="10">
        <v>2</v>
      </c>
      <c r="F896" s="10">
        <v>18</v>
      </c>
      <c r="G896" s="10" t="b">
        <v>0</v>
      </c>
      <c r="H896" s="10">
        <v>3</v>
      </c>
      <c r="I896" s="10" t="str">
        <f>IF(OR(Cleaned_datasetB[[#This Row],[Day_Code]]=0,Cleaned_datasetB[[#This Row],[Day_Code]]=6),"Weekend","Weekday")</f>
        <v>Weekday</v>
      </c>
      <c r="J896" s="10">
        <v>2</v>
      </c>
      <c r="K896" s="10">
        <v>0.18</v>
      </c>
      <c r="L896" s="51">
        <v>0.16669999999999999</v>
      </c>
      <c r="M896" s="10">
        <v>0.47</v>
      </c>
      <c r="N896" s="10">
        <v>0.29849999999999999</v>
      </c>
      <c r="O896" s="10">
        <v>2</v>
      </c>
      <c r="P896" s="10">
        <v>168</v>
      </c>
      <c r="Q896" s="10">
        <v>170</v>
      </c>
      <c r="R896" s="10" t="str">
        <f>VLOOKUP(Cleaned_datasetB[[#This Row],[Weather_Code]],Lookup_Tables!$E$9:$F$13,2,FALSE)</f>
        <v>Cloudy</v>
      </c>
      <c r="S896" s="10" t="str">
        <f>INDEX(Lookup_Tables!$I$10:$I$16,MATCH(Cleaned_datasetB[[#This Row],[Day_Code]],Lookup_Tables!$H$10:$H$16,0))</f>
        <v>Wednesday</v>
      </c>
      <c r="T896" s="10" t="str">
        <f>VLOOKUP(Cleaned_datasetB[[#This Row],[Month]], Lookup_Tables!$K$8:$L$19, 2, FALSE)</f>
        <v>February</v>
      </c>
      <c r="U896" s="10" t="str">
        <f>IF(AND(Cleaned_datasetB[[#This Row],[Day_Type]]="Weekday",Cleaned_datasetB[[#This Row],[Is_Holiday]]=FALSE),"Working Day","Non-Working Day")</f>
        <v>Working Day</v>
      </c>
    </row>
    <row r="897" spans="1:21">
      <c r="A897" s="10">
        <v>896</v>
      </c>
      <c r="B897" s="23">
        <v>40583</v>
      </c>
      <c r="C897" s="10">
        <v>1</v>
      </c>
      <c r="D897" s="10">
        <v>0</v>
      </c>
      <c r="E897" s="10">
        <v>2</v>
      </c>
      <c r="F897" s="10">
        <v>19</v>
      </c>
      <c r="G897" s="10" t="b">
        <v>0</v>
      </c>
      <c r="H897" s="10">
        <v>3</v>
      </c>
      <c r="I897" s="10" t="str">
        <f>IF(OR(Cleaned_datasetB[[#This Row],[Day_Code]]=0,Cleaned_datasetB[[#This Row],[Day_Code]]=6),"Weekend","Weekday")</f>
        <v>Weekday</v>
      </c>
      <c r="J897" s="10">
        <v>3</v>
      </c>
      <c r="K897" s="10">
        <v>0.14000000000000001</v>
      </c>
      <c r="L897" s="51">
        <v>0.1212</v>
      </c>
      <c r="M897" s="10">
        <v>0.86</v>
      </c>
      <c r="N897" s="10">
        <v>0.25369999999999998</v>
      </c>
      <c r="O897" s="10">
        <v>1</v>
      </c>
      <c r="P897" s="10">
        <v>87</v>
      </c>
      <c r="Q897" s="10">
        <v>88</v>
      </c>
      <c r="R897" s="10" t="str">
        <f>VLOOKUP(Cleaned_datasetB[[#This Row],[Weather_Code]],Lookup_Tables!$E$9:$F$13,2,FALSE)</f>
        <v>Light Rain</v>
      </c>
      <c r="S897" s="10" t="str">
        <f>INDEX(Lookup_Tables!$I$10:$I$16,MATCH(Cleaned_datasetB[[#This Row],[Day_Code]],Lookup_Tables!$H$10:$H$16,0))</f>
        <v>Wednesday</v>
      </c>
      <c r="T897" s="10" t="str">
        <f>VLOOKUP(Cleaned_datasetB[[#This Row],[Month]], Lookup_Tables!$K$8:$L$19, 2, FALSE)</f>
        <v>February</v>
      </c>
      <c r="U897" s="10" t="str">
        <f>IF(AND(Cleaned_datasetB[[#This Row],[Day_Type]]="Weekday",Cleaned_datasetB[[#This Row],[Is_Holiday]]=FALSE),"Working Day","Non-Working Day")</f>
        <v>Working Day</v>
      </c>
    </row>
    <row r="898" spans="1:21">
      <c r="A898" s="10">
        <v>897</v>
      </c>
      <c r="B898" s="23">
        <v>40583</v>
      </c>
      <c r="C898" s="10">
        <v>1</v>
      </c>
      <c r="D898" s="10">
        <v>0</v>
      </c>
      <c r="E898" s="10">
        <v>2</v>
      </c>
      <c r="F898" s="10">
        <v>20</v>
      </c>
      <c r="G898" s="10" t="b">
        <v>0</v>
      </c>
      <c r="H898" s="10">
        <v>3</v>
      </c>
      <c r="I898" s="10" t="str">
        <f>IF(OR(Cleaned_datasetB[[#This Row],[Day_Code]]=0,Cleaned_datasetB[[#This Row],[Day_Code]]=6),"Weekend","Weekday")</f>
        <v>Weekday</v>
      </c>
      <c r="J898" s="10">
        <v>3</v>
      </c>
      <c r="K898" s="10">
        <v>0.14000000000000001</v>
      </c>
      <c r="L898" s="51">
        <v>0.1515</v>
      </c>
      <c r="M898" s="10">
        <v>0.86</v>
      </c>
      <c r="N898" s="10">
        <v>0.16420000000000001</v>
      </c>
      <c r="O898" s="10">
        <v>0</v>
      </c>
      <c r="P898" s="10">
        <v>84</v>
      </c>
      <c r="Q898" s="10">
        <v>84</v>
      </c>
      <c r="R898" s="10" t="str">
        <f>VLOOKUP(Cleaned_datasetB[[#This Row],[Weather_Code]],Lookup_Tables!$E$9:$F$13,2,FALSE)</f>
        <v>Light Rain</v>
      </c>
      <c r="S898" s="10" t="str">
        <f>INDEX(Lookup_Tables!$I$10:$I$16,MATCH(Cleaned_datasetB[[#This Row],[Day_Code]],Lookup_Tables!$H$10:$H$16,0))</f>
        <v>Wednesday</v>
      </c>
      <c r="T898" s="10" t="str">
        <f>VLOOKUP(Cleaned_datasetB[[#This Row],[Month]], Lookup_Tables!$K$8:$L$19, 2, FALSE)</f>
        <v>February</v>
      </c>
      <c r="U898" s="10" t="str">
        <f>IF(AND(Cleaned_datasetB[[#This Row],[Day_Type]]="Weekday",Cleaned_datasetB[[#This Row],[Is_Holiday]]=FALSE),"Working Day","Non-Working Day")</f>
        <v>Working Day</v>
      </c>
    </row>
    <row r="899" spans="1:21">
      <c r="A899" s="10">
        <v>898</v>
      </c>
      <c r="B899" s="23">
        <v>40583</v>
      </c>
      <c r="C899" s="10">
        <v>1</v>
      </c>
      <c r="D899" s="10">
        <v>0</v>
      </c>
      <c r="E899" s="10">
        <v>2</v>
      </c>
      <c r="F899" s="10">
        <v>21</v>
      </c>
      <c r="G899" s="10" t="b">
        <v>0</v>
      </c>
      <c r="H899" s="10">
        <v>3</v>
      </c>
      <c r="I899" s="10" t="str">
        <f>IF(OR(Cleaned_datasetB[[#This Row],[Day_Code]]=0,Cleaned_datasetB[[#This Row],[Day_Code]]=6),"Weekend","Weekday")</f>
        <v>Weekday</v>
      </c>
      <c r="J899" s="10">
        <v>2</v>
      </c>
      <c r="K899" s="10">
        <v>0.14000000000000001</v>
      </c>
      <c r="L899" s="51">
        <v>0.1515</v>
      </c>
      <c r="M899" s="10">
        <v>0.86</v>
      </c>
      <c r="N899" s="10">
        <v>0.16420000000000001</v>
      </c>
      <c r="O899" s="10">
        <v>0</v>
      </c>
      <c r="P899" s="10">
        <v>83</v>
      </c>
      <c r="Q899" s="10">
        <v>83</v>
      </c>
      <c r="R899" s="10" t="str">
        <f>VLOOKUP(Cleaned_datasetB[[#This Row],[Weather_Code]],Lookup_Tables!$E$9:$F$13,2,FALSE)</f>
        <v>Cloudy</v>
      </c>
      <c r="S899" s="10" t="str">
        <f>INDEX(Lookup_Tables!$I$10:$I$16,MATCH(Cleaned_datasetB[[#This Row],[Day_Code]],Lookup_Tables!$H$10:$H$16,0))</f>
        <v>Wednesday</v>
      </c>
      <c r="T899" s="10" t="str">
        <f>VLOOKUP(Cleaned_datasetB[[#This Row],[Month]], Lookup_Tables!$K$8:$L$19, 2, FALSE)</f>
        <v>February</v>
      </c>
      <c r="U899" s="10" t="str">
        <f>IF(AND(Cleaned_datasetB[[#This Row],[Day_Type]]="Weekday",Cleaned_datasetB[[#This Row],[Is_Holiday]]=FALSE),"Working Day","Non-Working Day")</f>
        <v>Working Day</v>
      </c>
    </row>
    <row r="900" spans="1:21">
      <c r="A900" s="10">
        <v>899</v>
      </c>
      <c r="B900" s="23">
        <v>40583</v>
      </c>
      <c r="C900" s="10">
        <v>1</v>
      </c>
      <c r="D900" s="10">
        <v>0</v>
      </c>
      <c r="E900" s="10">
        <v>2</v>
      </c>
      <c r="F900" s="10">
        <v>22</v>
      </c>
      <c r="G900" s="10" t="b">
        <v>0</v>
      </c>
      <c r="H900" s="10">
        <v>3</v>
      </c>
      <c r="I900" s="10" t="str">
        <f>IF(OR(Cleaned_datasetB[[#This Row],[Day_Code]]=0,Cleaned_datasetB[[#This Row],[Day_Code]]=6),"Weekend","Weekday")</f>
        <v>Weekday</v>
      </c>
      <c r="J900" s="10">
        <v>3</v>
      </c>
      <c r="K900" s="10">
        <v>0.16</v>
      </c>
      <c r="L900" s="51">
        <v>0.16669999999999999</v>
      </c>
      <c r="M900" s="10">
        <v>0.8</v>
      </c>
      <c r="N900" s="10">
        <v>0.16420000000000001</v>
      </c>
      <c r="O900" s="10">
        <v>4</v>
      </c>
      <c r="P900" s="10">
        <v>42</v>
      </c>
      <c r="Q900" s="10">
        <v>46</v>
      </c>
      <c r="R900" s="10" t="str">
        <f>VLOOKUP(Cleaned_datasetB[[#This Row],[Weather_Code]],Lookup_Tables!$E$9:$F$13,2,FALSE)</f>
        <v>Light Rain</v>
      </c>
      <c r="S900" s="10" t="str">
        <f>INDEX(Lookup_Tables!$I$10:$I$16,MATCH(Cleaned_datasetB[[#This Row],[Day_Code]],Lookup_Tables!$H$10:$H$16,0))</f>
        <v>Wednesday</v>
      </c>
      <c r="T900" s="10" t="str">
        <f>VLOOKUP(Cleaned_datasetB[[#This Row],[Month]], Lookup_Tables!$K$8:$L$19, 2, FALSE)</f>
        <v>February</v>
      </c>
      <c r="U900" s="10" t="str">
        <f>IF(AND(Cleaned_datasetB[[#This Row],[Day_Type]]="Weekday",Cleaned_datasetB[[#This Row],[Is_Holiday]]=FALSE),"Working Day","Non-Working Day")</f>
        <v>Working Day</v>
      </c>
    </row>
    <row r="901" spans="1:21">
      <c r="A901" s="10">
        <v>900</v>
      </c>
      <c r="B901" s="23">
        <v>40583</v>
      </c>
      <c r="C901" s="10">
        <v>1</v>
      </c>
      <c r="D901" s="10">
        <v>0</v>
      </c>
      <c r="E901" s="10">
        <v>2</v>
      </c>
      <c r="F901" s="10">
        <v>23</v>
      </c>
      <c r="G901" s="10" t="b">
        <v>0</v>
      </c>
      <c r="H901" s="10">
        <v>3</v>
      </c>
      <c r="I901" s="10" t="str">
        <f>IF(OR(Cleaned_datasetB[[#This Row],[Day_Code]]=0,Cleaned_datasetB[[#This Row],[Day_Code]]=6),"Weekend","Weekday")</f>
        <v>Weekday</v>
      </c>
      <c r="J901" s="10">
        <v>3</v>
      </c>
      <c r="K901" s="10">
        <v>0.16</v>
      </c>
      <c r="L901" s="51">
        <v>0.1515</v>
      </c>
      <c r="M901" s="10">
        <v>0.8</v>
      </c>
      <c r="N901" s="10">
        <v>0.19400000000000001</v>
      </c>
      <c r="O901" s="10">
        <v>0</v>
      </c>
      <c r="P901" s="10">
        <v>37</v>
      </c>
      <c r="Q901" s="10">
        <v>37</v>
      </c>
      <c r="R901" s="10" t="str">
        <f>VLOOKUP(Cleaned_datasetB[[#This Row],[Weather_Code]],Lookup_Tables!$E$9:$F$13,2,FALSE)</f>
        <v>Light Rain</v>
      </c>
      <c r="S901" s="10" t="str">
        <f>INDEX(Lookup_Tables!$I$10:$I$16,MATCH(Cleaned_datasetB[[#This Row],[Day_Code]],Lookup_Tables!$H$10:$H$16,0))</f>
        <v>Wednesday</v>
      </c>
      <c r="T901" s="10" t="str">
        <f>VLOOKUP(Cleaned_datasetB[[#This Row],[Month]], Lookup_Tables!$K$8:$L$19, 2, FALSE)</f>
        <v>February</v>
      </c>
      <c r="U901" s="10" t="str">
        <f>IF(AND(Cleaned_datasetB[[#This Row],[Day_Type]]="Weekday",Cleaned_datasetB[[#This Row],[Is_Holiday]]=FALSE),"Working Day","Non-Working Day")</f>
        <v>Working Day</v>
      </c>
    </row>
    <row r="902" spans="1:21">
      <c r="A902" s="10">
        <v>901</v>
      </c>
      <c r="B902" s="23">
        <v>40584</v>
      </c>
      <c r="C902" s="10">
        <v>1</v>
      </c>
      <c r="D902" s="10">
        <v>0</v>
      </c>
      <c r="E902" s="10">
        <v>2</v>
      </c>
      <c r="F902" s="10">
        <v>0</v>
      </c>
      <c r="G902" s="10" t="b">
        <v>0</v>
      </c>
      <c r="H902" s="10">
        <v>4</v>
      </c>
      <c r="I902" s="10" t="str">
        <f>IF(OR(Cleaned_datasetB[[#This Row],[Day_Code]]=0,Cleaned_datasetB[[#This Row],[Day_Code]]=6),"Weekend","Weekday")</f>
        <v>Weekday</v>
      </c>
      <c r="J902" s="10">
        <v>3</v>
      </c>
      <c r="K902" s="10">
        <v>0.14000000000000001</v>
      </c>
      <c r="L902" s="51">
        <v>0.13639999999999999</v>
      </c>
      <c r="M902" s="10">
        <v>0.86</v>
      </c>
      <c r="N902" s="10">
        <v>0.19400000000000001</v>
      </c>
      <c r="O902" s="10">
        <v>0</v>
      </c>
      <c r="P902" s="10">
        <v>16</v>
      </c>
      <c r="Q902" s="10">
        <v>16</v>
      </c>
      <c r="R902" s="10" t="str">
        <f>VLOOKUP(Cleaned_datasetB[[#This Row],[Weather_Code]],Lookup_Tables!$E$9:$F$13,2,FALSE)</f>
        <v>Light Rain</v>
      </c>
      <c r="S902" s="10" t="str">
        <f>INDEX(Lookup_Tables!$I$10:$I$16,MATCH(Cleaned_datasetB[[#This Row],[Day_Code]],Lookup_Tables!$H$10:$H$16,0))</f>
        <v>Thursday</v>
      </c>
      <c r="T902" s="10" t="str">
        <f>VLOOKUP(Cleaned_datasetB[[#This Row],[Month]], Lookup_Tables!$K$8:$L$19, 2, FALSE)</f>
        <v>February</v>
      </c>
      <c r="U902" s="10" t="str">
        <f>IF(AND(Cleaned_datasetB[[#This Row],[Day_Type]]="Weekday",Cleaned_datasetB[[#This Row],[Is_Holiday]]=FALSE),"Working Day","Non-Working Day")</f>
        <v>Working Day</v>
      </c>
    </row>
    <row r="903" spans="1:21">
      <c r="A903" s="10">
        <v>902</v>
      </c>
      <c r="B903" s="23">
        <v>40584</v>
      </c>
      <c r="C903" s="10">
        <v>1</v>
      </c>
      <c r="D903" s="10">
        <v>0</v>
      </c>
      <c r="E903" s="10">
        <v>2</v>
      </c>
      <c r="F903" s="10">
        <v>1</v>
      </c>
      <c r="G903" s="10" t="b">
        <v>0</v>
      </c>
      <c r="H903" s="10">
        <v>4</v>
      </c>
      <c r="I903" s="10" t="str">
        <f>IF(OR(Cleaned_datasetB[[#This Row],[Day_Code]]=0,Cleaned_datasetB[[#This Row],[Day_Code]]=6),"Weekend","Weekday")</f>
        <v>Weekday</v>
      </c>
      <c r="J903" s="10">
        <v>3</v>
      </c>
      <c r="K903" s="10">
        <v>0.14000000000000001</v>
      </c>
      <c r="L903" s="51">
        <v>0.1515</v>
      </c>
      <c r="M903" s="10">
        <v>0.8</v>
      </c>
      <c r="N903" s="10">
        <v>0.1343</v>
      </c>
      <c r="O903" s="10">
        <v>0</v>
      </c>
      <c r="P903" s="10">
        <v>7</v>
      </c>
      <c r="Q903" s="10">
        <v>7</v>
      </c>
      <c r="R903" s="10" t="str">
        <f>VLOOKUP(Cleaned_datasetB[[#This Row],[Weather_Code]],Lookup_Tables!$E$9:$F$13,2,FALSE)</f>
        <v>Light Rain</v>
      </c>
      <c r="S903" s="10" t="str">
        <f>INDEX(Lookup_Tables!$I$10:$I$16,MATCH(Cleaned_datasetB[[#This Row],[Day_Code]],Lookup_Tables!$H$10:$H$16,0))</f>
        <v>Thursday</v>
      </c>
      <c r="T903" s="10" t="str">
        <f>VLOOKUP(Cleaned_datasetB[[#This Row],[Month]], Lookup_Tables!$K$8:$L$19, 2, FALSE)</f>
        <v>February</v>
      </c>
      <c r="U903" s="10" t="str">
        <f>IF(AND(Cleaned_datasetB[[#This Row],[Day_Type]]="Weekday",Cleaned_datasetB[[#This Row],[Is_Holiday]]=FALSE),"Working Day","Non-Working Day")</f>
        <v>Working Day</v>
      </c>
    </row>
    <row r="904" spans="1:21">
      <c r="A904" s="10">
        <v>903</v>
      </c>
      <c r="B904" s="23">
        <v>40584</v>
      </c>
      <c r="C904" s="10">
        <v>1</v>
      </c>
      <c r="D904" s="10">
        <v>0</v>
      </c>
      <c r="E904" s="10">
        <v>2</v>
      </c>
      <c r="F904" s="10">
        <v>2</v>
      </c>
      <c r="G904" s="10" t="b">
        <v>0</v>
      </c>
      <c r="H904" s="10">
        <v>4</v>
      </c>
      <c r="I904" s="10" t="str">
        <f>IF(OR(Cleaned_datasetB[[#This Row],[Day_Code]]=0,Cleaned_datasetB[[#This Row],[Day_Code]]=6),"Weekend","Weekday")</f>
        <v>Weekday</v>
      </c>
      <c r="J904" s="10">
        <v>3</v>
      </c>
      <c r="K904" s="10">
        <v>0.14000000000000001</v>
      </c>
      <c r="L904" s="51">
        <v>0.1515</v>
      </c>
      <c r="M904" s="10">
        <v>0.8</v>
      </c>
      <c r="N904" s="10">
        <v>0.1343</v>
      </c>
      <c r="O904" s="10">
        <v>0</v>
      </c>
      <c r="P904" s="10">
        <v>3</v>
      </c>
      <c r="Q904" s="10">
        <v>3</v>
      </c>
      <c r="R904" s="10" t="str">
        <f>VLOOKUP(Cleaned_datasetB[[#This Row],[Weather_Code]],Lookup_Tables!$E$9:$F$13,2,FALSE)</f>
        <v>Light Rain</v>
      </c>
      <c r="S904" s="10" t="str">
        <f>INDEX(Lookup_Tables!$I$10:$I$16,MATCH(Cleaned_datasetB[[#This Row],[Day_Code]],Lookup_Tables!$H$10:$H$16,0))</f>
        <v>Thursday</v>
      </c>
      <c r="T904" s="10" t="str">
        <f>VLOOKUP(Cleaned_datasetB[[#This Row],[Month]], Lookup_Tables!$K$8:$L$19, 2, FALSE)</f>
        <v>February</v>
      </c>
      <c r="U904" s="10" t="str">
        <f>IF(AND(Cleaned_datasetB[[#This Row],[Day_Type]]="Weekday",Cleaned_datasetB[[#This Row],[Is_Holiday]]=FALSE),"Working Day","Non-Working Day")</f>
        <v>Working Day</v>
      </c>
    </row>
    <row r="905" spans="1:21">
      <c r="A905" s="10">
        <v>904</v>
      </c>
      <c r="B905" s="23">
        <v>40584</v>
      </c>
      <c r="C905" s="10">
        <v>1</v>
      </c>
      <c r="D905" s="10">
        <v>0</v>
      </c>
      <c r="E905" s="10">
        <v>2</v>
      </c>
      <c r="F905" s="10">
        <v>4</v>
      </c>
      <c r="G905" s="10" t="b">
        <v>0</v>
      </c>
      <c r="H905" s="10">
        <v>4</v>
      </c>
      <c r="I905" s="10" t="str">
        <f>IF(OR(Cleaned_datasetB[[#This Row],[Day_Code]]=0,Cleaned_datasetB[[#This Row],[Day_Code]]=6),"Weekend","Weekday")</f>
        <v>Weekday</v>
      </c>
      <c r="J905" s="10">
        <v>2</v>
      </c>
      <c r="K905" s="10">
        <v>0.14000000000000001</v>
      </c>
      <c r="L905" s="51">
        <v>0.13639999999999999</v>
      </c>
      <c r="M905" s="10">
        <v>0.59</v>
      </c>
      <c r="N905" s="10">
        <v>0.22389999999999999</v>
      </c>
      <c r="O905" s="10">
        <v>0</v>
      </c>
      <c r="P905" s="10">
        <v>1</v>
      </c>
      <c r="Q905" s="10">
        <v>1</v>
      </c>
      <c r="R905" s="10" t="str">
        <f>VLOOKUP(Cleaned_datasetB[[#This Row],[Weather_Code]],Lookup_Tables!$E$9:$F$13,2,FALSE)</f>
        <v>Cloudy</v>
      </c>
      <c r="S905" s="10" t="str">
        <f>INDEX(Lookup_Tables!$I$10:$I$16,MATCH(Cleaned_datasetB[[#This Row],[Day_Code]],Lookup_Tables!$H$10:$H$16,0))</f>
        <v>Thursday</v>
      </c>
      <c r="T905" s="10" t="str">
        <f>VLOOKUP(Cleaned_datasetB[[#This Row],[Month]], Lookup_Tables!$K$8:$L$19, 2, FALSE)</f>
        <v>February</v>
      </c>
      <c r="U905" s="10" t="str">
        <f>IF(AND(Cleaned_datasetB[[#This Row],[Day_Type]]="Weekday",Cleaned_datasetB[[#This Row],[Is_Holiday]]=FALSE),"Working Day","Non-Working Day")</f>
        <v>Working Day</v>
      </c>
    </row>
    <row r="906" spans="1:21">
      <c r="A906" s="10">
        <v>905</v>
      </c>
      <c r="B906" s="23">
        <v>40584</v>
      </c>
      <c r="C906" s="10">
        <v>1</v>
      </c>
      <c r="D906" s="10">
        <v>0</v>
      </c>
      <c r="E906" s="10">
        <v>2</v>
      </c>
      <c r="F906" s="10">
        <v>5</v>
      </c>
      <c r="G906" s="10" t="b">
        <v>0</v>
      </c>
      <c r="H906" s="10">
        <v>4</v>
      </c>
      <c r="I906" s="10" t="str">
        <f>IF(OR(Cleaned_datasetB[[#This Row],[Day_Code]]=0,Cleaned_datasetB[[#This Row],[Day_Code]]=6),"Weekend","Weekday")</f>
        <v>Weekday</v>
      </c>
      <c r="J906" s="10">
        <v>2</v>
      </c>
      <c r="K906" s="10">
        <v>0.12</v>
      </c>
      <c r="L906" s="51">
        <v>0.1212</v>
      </c>
      <c r="M906" s="10">
        <v>0.5</v>
      </c>
      <c r="N906" s="10">
        <v>0.22389999999999999</v>
      </c>
      <c r="O906" s="10">
        <v>0</v>
      </c>
      <c r="P906" s="10">
        <v>6</v>
      </c>
      <c r="Q906" s="10">
        <v>6</v>
      </c>
      <c r="R906" s="10" t="str">
        <f>VLOOKUP(Cleaned_datasetB[[#This Row],[Weather_Code]],Lookup_Tables!$E$9:$F$13,2,FALSE)</f>
        <v>Cloudy</v>
      </c>
      <c r="S906" s="10" t="str">
        <f>INDEX(Lookup_Tables!$I$10:$I$16,MATCH(Cleaned_datasetB[[#This Row],[Day_Code]],Lookup_Tables!$H$10:$H$16,0))</f>
        <v>Thursday</v>
      </c>
      <c r="T906" s="10" t="str">
        <f>VLOOKUP(Cleaned_datasetB[[#This Row],[Month]], Lookup_Tables!$K$8:$L$19, 2, FALSE)</f>
        <v>February</v>
      </c>
      <c r="U906" s="10" t="str">
        <f>IF(AND(Cleaned_datasetB[[#This Row],[Day_Type]]="Weekday",Cleaned_datasetB[[#This Row],[Is_Holiday]]=FALSE),"Working Day","Non-Working Day")</f>
        <v>Working Day</v>
      </c>
    </row>
    <row r="907" spans="1:21">
      <c r="A907" s="10">
        <v>906</v>
      </c>
      <c r="B907" s="23">
        <v>40584</v>
      </c>
      <c r="C907" s="10">
        <v>1</v>
      </c>
      <c r="D907" s="10">
        <v>0</v>
      </c>
      <c r="E907" s="10">
        <v>2</v>
      </c>
      <c r="F907" s="10">
        <v>6</v>
      </c>
      <c r="G907" s="10" t="b">
        <v>0</v>
      </c>
      <c r="H907" s="10">
        <v>4</v>
      </c>
      <c r="I907" s="10" t="str">
        <f>IF(OR(Cleaned_datasetB[[#This Row],[Day_Code]]=0,Cleaned_datasetB[[#This Row],[Day_Code]]=6),"Weekend","Weekday")</f>
        <v>Weekday</v>
      </c>
      <c r="J907" s="10">
        <v>2</v>
      </c>
      <c r="K907" s="10">
        <v>0.12</v>
      </c>
      <c r="L907" s="51">
        <v>0.1212</v>
      </c>
      <c r="M907" s="10">
        <v>0.54</v>
      </c>
      <c r="N907" s="10">
        <v>0.28360000000000002</v>
      </c>
      <c r="O907" s="10">
        <v>0</v>
      </c>
      <c r="P907" s="10">
        <v>26</v>
      </c>
      <c r="Q907" s="10">
        <v>26</v>
      </c>
      <c r="R907" s="10" t="str">
        <f>VLOOKUP(Cleaned_datasetB[[#This Row],[Weather_Code]],Lookup_Tables!$E$9:$F$13,2,FALSE)</f>
        <v>Cloudy</v>
      </c>
      <c r="S907" s="10" t="str">
        <f>INDEX(Lookup_Tables!$I$10:$I$16,MATCH(Cleaned_datasetB[[#This Row],[Day_Code]],Lookup_Tables!$H$10:$H$16,0))</f>
        <v>Thursday</v>
      </c>
      <c r="T907" s="10" t="str">
        <f>VLOOKUP(Cleaned_datasetB[[#This Row],[Month]], Lookup_Tables!$K$8:$L$19, 2, FALSE)</f>
        <v>February</v>
      </c>
      <c r="U907" s="10" t="str">
        <f>IF(AND(Cleaned_datasetB[[#This Row],[Day_Type]]="Weekday",Cleaned_datasetB[[#This Row],[Is_Holiday]]=FALSE),"Working Day","Non-Working Day")</f>
        <v>Working Day</v>
      </c>
    </row>
    <row r="908" spans="1:21">
      <c r="A908" s="10">
        <v>907</v>
      </c>
      <c r="B908" s="23">
        <v>40584</v>
      </c>
      <c r="C908" s="10">
        <v>1</v>
      </c>
      <c r="D908" s="10">
        <v>0</v>
      </c>
      <c r="E908" s="10">
        <v>2</v>
      </c>
      <c r="F908" s="10">
        <v>7</v>
      </c>
      <c r="G908" s="10" t="b">
        <v>0</v>
      </c>
      <c r="H908" s="10">
        <v>4</v>
      </c>
      <c r="I908" s="10" t="str">
        <f>IF(OR(Cleaned_datasetB[[#This Row],[Day_Code]]=0,Cleaned_datasetB[[#This Row],[Day_Code]]=6),"Weekend","Weekday")</f>
        <v>Weekday</v>
      </c>
      <c r="J908" s="10">
        <v>1</v>
      </c>
      <c r="K908" s="10">
        <v>0.1</v>
      </c>
      <c r="L908" s="51">
        <v>7.5800000000000006E-2</v>
      </c>
      <c r="M908" s="10">
        <v>0.5</v>
      </c>
      <c r="N908" s="10">
        <v>0.41789999999999999</v>
      </c>
      <c r="O908" s="10">
        <v>0</v>
      </c>
      <c r="P908" s="10">
        <v>99</v>
      </c>
      <c r="Q908" s="10">
        <v>99</v>
      </c>
      <c r="R908" s="10" t="str">
        <f>VLOOKUP(Cleaned_datasetB[[#This Row],[Weather_Code]],Lookup_Tables!$E$9:$F$13,2,FALSE)</f>
        <v>Clear</v>
      </c>
      <c r="S908" s="10" t="str">
        <f>INDEX(Lookup_Tables!$I$10:$I$16,MATCH(Cleaned_datasetB[[#This Row],[Day_Code]],Lookup_Tables!$H$10:$H$16,0))</f>
        <v>Thursday</v>
      </c>
      <c r="T908" s="10" t="str">
        <f>VLOOKUP(Cleaned_datasetB[[#This Row],[Month]], Lookup_Tables!$K$8:$L$19, 2, FALSE)</f>
        <v>February</v>
      </c>
      <c r="U908" s="10" t="str">
        <f>IF(AND(Cleaned_datasetB[[#This Row],[Day_Type]]="Weekday",Cleaned_datasetB[[#This Row],[Is_Holiday]]=FALSE),"Working Day","Non-Working Day")</f>
        <v>Working Day</v>
      </c>
    </row>
    <row r="909" spans="1:21">
      <c r="A909" s="10">
        <v>908</v>
      </c>
      <c r="B909" s="23">
        <v>40584</v>
      </c>
      <c r="C909" s="10">
        <v>1</v>
      </c>
      <c r="D909" s="10">
        <v>0</v>
      </c>
      <c r="E909" s="10">
        <v>2</v>
      </c>
      <c r="F909" s="10">
        <v>8</v>
      </c>
      <c r="G909" s="10" t="b">
        <v>0</v>
      </c>
      <c r="H909" s="10">
        <v>4</v>
      </c>
      <c r="I909" s="10" t="str">
        <f>IF(OR(Cleaned_datasetB[[#This Row],[Day_Code]]=0,Cleaned_datasetB[[#This Row],[Day_Code]]=6),"Weekend","Weekday")</f>
        <v>Weekday</v>
      </c>
      <c r="J909" s="10">
        <v>1</v>
      </c>
      <c r="K909" s="10">
        <v>0.1</v>
      </c>
      <c r="L909" s="51">
        <v>7.5800000000000006E-2</v>
      </c>
      <c r="M909" s="10">
        <v>0.49</v>
      </c>
      <c r="N909" s="10">
        <v>0.32840000000000003</v>
      </c>
      <c r="O909" s="10">
        <v>5</v>
      </c>
      <c r="P909" s="10">
        <v>173</v>
      </c>
      <c r="Q909" s="10">
        <v>178</v>
      </c>
      <c r="R909" s="10" t="str">
        <f>VLOOKUP(Cleaned_datasetB[[#This Row],[Weather_Code]],Lookup_Tables!$E$9:$F$13,2,FALSE)</f>
        <v>Clear</v>
      </c>
      <c r="S909" s="10" t="str">
        <f>INDEX(Lookup_Tables!$I$10:$I$16,MATCH(Cleaned_datasetB[[#This Row],[Day_Code]],Lookup_Tables!$H$10:$H$16,0))</f>
        <v>Thursday</v>
      </c>
      <c r="T909" s="10" t="str">
        <f>VLOOKUP(Cleaned_datasetB[[#This Row],[Month]], Lookup_Tables!$K$8:$L$19, 2, FALSE)</f>
        <v>February</v>
      </c>
      <c r="U909" s="10" t="str">
        <f>IF(AND(Cleaned_datasetB[[#This Row],[Day_Type]]="Weekday",Cleaned_datasetB[[#This Row],[Is_Holiday]]=FALSE),"Working Day","Non-Working Day")</f>
        <v>Working Day</v>
      </c>
    </row>
    <row r="910" spans="1:21">
      <c r="A910" s="10">
        <v>909</v>
      </c>
      <c r="B910" s="23">
        <v>40584</v>
      </c>
      <c r="C910" s="10">
        <v>1</v>
      </c>
      <c r="D910" s="10">
        <v>0</v>
      </c>
      <c r="E910" s="10">
        <v>2</v>
      </c>
      <c r="F910" s="10">
        <v>9</v>
      </c>
      <c r="G910" s="10" t="b">
        <v>0</v>
      </c>
      <c r="H910" s="10">
        <v>4</v>
      </c>
      <c r="I910" s="10" t="str">
        <f>IF(OR(Cleaned_datasetB[[#This Row],[Day_Code]]=0,Cleaned_datasetB[[#This Row],[Day_Code]]=6),"Weekend","Weekday")</f>
        <v>Weekday</v>
      </c>
      <c r="J910" s="10">
        <v>1</v>
      </c>
      <c r="K910" s="10">
        <v>0.12</v>
      </c>
      <c r="L910" s="51">
        <v>0.1061</v>
      </c>
      <c r="M910" s="10">
        <v>0.42</v>
      </c>
      <c r="N910" s="10">
        <v>0.35820000000000002</v>
      </c>
      <c r="O910" s="10">
        <v>1</v>
      </c>
      <c r="P910" s="10">
        <v>121</v>
      </c>
      <c r="Q910" s="10">
        <v>122</v>
      </c>
      <c r="R910" s="10" t="str">
        <f>VLOOKUP(Cleaned_datasetB[[#This Row],[Weather_Code]],Lookup_Tables!$E$9:$F$13,2,FALSE)</f>
        <v>Clear</v>
      </c>
      <c r="S910" s="10" t="str">
        <f>INDEX(Lookup_Tables!$I$10:$I$16,MATCH(Cleaned_datasetB[[#This Row],[Day_Code]],Lookup_Tables!$H$10:$H$16,0))</f>
        <v>Thursday</v>
      </c>
      <c r="T910" s="10" t="str">
        <f>VLOOKUP(Cleaned_datasetB[[#This Row],[Month]], Lookup_Tables!$K$8:$L$19, 2, FALSE)</f>
        <v>February</v>
      </c>
      <c r="U910" s="10" t="str">
        <f>IF(AND(Cleaned_datasetB[[#This Row],[Day_Type]]="Weekday",Cleaned_datasetB[[#This Row],[Is_Holiday]]=FALSE),"Working Day","Non-Working Day")</f>
        <v>Working Day</v>
      </c>
    </row>
    <row r="911" spans="1:21">
      <c r="A911" s="10">
        <v>910</v>
      </c>
      <c r="B911" s="23">
        <v>40584</v>
      </c>
      <c r="C911" s="10">
        <v>1</v>
      </c>
      <c r="D911" s="10">
        <v>0</v>
      </c>
      <c r="E911" s="10">
        <v>2</v>
      </c>
      <c r="F911" s="10">
        <v>10</v>
      </c>
      <c r="G911" s="10" t="b">
        <v>0</v>
      </c>
      <c r="H911" s="10">
        <v>4</v>
      </c>
      <c r="I911" s="10" t="str">
        <f>IF(OR(Cleaned_datasetB[[#This Row],[Day_Code]]=0,Cleaned_datasetB[[#This Row],[Day_Code]]=6),"Weekend","Weekday")</f>
        <v>Weekday</v>
      </c>
      <c r="J911" s="10">
        <v>1</v>
      </c>
      <c r="K911" s="10">
        <v>0.12</v>
      </c>
      <c r="L911" s="51">
        <v>0.1061</v>
      </c>
      <c r="M911" s="10">
        <v>0.42</v>
      </c>
      <c r="N911" s="10">
        <v>0.29849999999999999</v>
      </c>
      <c r="O911" s="10">
        <v>1</v>
      </c>
      <c r="P911" s="10">
        <v>34</v>
      </c>
      <c r="Q911" s="10">
        <v>35</v>
      </c>
      <c r="R911" s="10" t="str">
        <f>VLOOKUP(Cleaned_datasetB[[#This Row],[Weather_Code]],Lookup_Tables!$E$9:$F$13,2,FALSE)</f>
        <v>Clear</v>
      </c>
      <c r="S911" s="10" t="str">
        <f>INDEX(Lookup_Tables!$I$10:$I$16,MATCH(Cleaned_datasetB[[#This Row],[Day_Code]],Lookup_Tables!$H$10:$H$16,0))</f>
        <v>Thursday</v>
      </c>
      <c r="T911" s="10" t="str">
        <f>VLOOKUP(Cleaned_datasetB[[#This Row],[Month]], Lookup_Tables!$K$8:$L$19, 2, FALSE)</f>
        <v>February</v>
      </c>
      <c r="U911" s="10" t="str">
        <f>IF(AND(Cleaned_datasetB[[#This Row],[Day_Type]]="Weekday",Cleaned_datasetB[[#This Row],[Is_Holiday]]=FALSE),"Working Day","Non-Working Day")</f>
        <v>Working Day</v>
      </c>
    </row>
    <row r="912" spans="1:21">
      <c r="A912" s="10">
        <v>911</v>
      </c>
      <c r="B912" s="23">
        <v>40584</v>
      </c>
      <c r="C912" s="10">
        <v>1</v>
      </c>
      <c r="D912" s="10">
        <v>0</v>
      </c>
      <c r="E912" s="10">
        <v>2</v>
      </c>
      <c r="F912" s="10">
        <v>11</v>
      </c>
      <c r="G912" s="10" t="b">
        <v>0</v>
      </c>
      <c r="H912" s="10">
        <v>4</v>
      </c>
      <c r="I912" s="10" t="str">
        <f>IF(OR(Cleaned_datasetB[[#This Row],[Day_Code]]=0,Cleaned_datasetB[[#This Row],[Day_Code]]=6),"Weekend","Weekday")</f>
        <v>Weekday</v>
      </c>
      <c r="J912" s="10">
        <v>1</v>
      </c>
      <c r="K912" s="10">
        <v>0.14000000000000001</v>
      </c>
      <c r="L912" s="51">
        <v>0.1212</v>
      </c>
      <c r="M912" s="10">
        <v>0.39</v>
      </c>
      <c r="N912" s="10">
        <v>0.35820000000000002</v>
      </c>
      <c r="O912" s="10">
        <v>1</v>
      </c>
      <c r="P912" s="10">
        <v>44</v>
      </c>
      <c r="Q912" s="10">
        <v>45</v>
      </c>
      <c r="R912" s="10" t="str">
        <f>VLOOKUP(Cleaned_datasetB[[#This Row],[Weather_Code]],Lookup_Tables!$E$9:$F$13,2,FALSE)</f>
        <v>Clear</v>
      </c>
      <c r="S912" s="10" t="str">
        <f>INDEX(Lookup_Tables!$I$10:$I$16,MATCH(Cleaned_datasetB[[#This Row],[Day_Code]],Lookup_Tables!$H$10:$H$16,0))</f>
        <v>Thursday</v>
      </c>
      <c r="T912" s="10" t="str">
        <f>VLOOKUP(Cleaned_datasetB[[#This Row],[Month]], Lookup_Tables!$K$8:$L$19, 2, FALSE)</f>
        <v>February</v>
      </c>
      <c r="U912" s="10" t="str">
        <f>IF(AND(Cleaned_datasetB[[#This Row],[Day_Type]]="Weekday",Cleaned_datasetB[[#This Row],[Is_Holiday]]=FALSE),"Working Day","Non-Working Day")</f>
        <v>Working Day</v>
      </c>
    </row>
    <row r="913" spans="1:21">
      <c r="A913" s="10">
        <v>912</v>
      </c>
      <c r="B913" s="23">
        <v>40584</v>
      </c>
      <c r="C913" s="10">
        <v>1</v>
      </c>
      <c r="D913" s="10">
        <v>0</v>
      </c>
      <c r="E913" s="10">
        <v>2</v>
      </c>
      <c r="F913" s="10">
        <v>12</v>
      </c>
      <c r="G913" s="10" t="b">
        <v>0</v>
      </c>
      <c r="H913" s="10">
        <v>4</v>
      </c>
      <c r="I913" s="10" t="str">
        <f>IF(OR(Cleaned_datasetB[[#This Row],[Day_Code]]=0,Cleaned_datasetB[[#This Row],[Day_Code]]=6),"Weekend","Weekday")</f>
        <v>Weekday</v>
      </c>
      <c r="J913" s="10">
        <v>1</v>
      </c>
      <c r="K913" s="10">
        <v>0.16</v>
      </c>
      <c r="L913" s="51">
        <v>0.13639999999999999</v>
      </c>
      <c r="M913" s="10">
        <v>0.34</v>
      </c>
      <c r="N913" s="10">
        <v>0.3881</v>
      </c>
      <c r="O913" s="10">
        <v>4</v>
      </c>
      <c r="P913" s="10">
        <v>65</v>
      </c>
      <c r="Q913" s="10">
        <v>69</v>
      </c>
      <c r="R913" s="10" t="str">
        <f>VLOOKUP(Cleaned_datasetB[[#This Row],[Weather_Code]],Lookup_Tables!$E$9:$F$13,2,FALSE)</f>
        <v>Clear</v>
      </c>
      <c r="S913" s="10" t="str">
        <f>INDEX(Lookup_Tables!$I$10:$I$16,MATCH(Cleaned_datasetB[[#This Row],[Day_Code]],Lookup_Tables!$H$10:$H$16,0))</f>
        <v>Thursday</v>
      </c>
      <c r="T913" s="10" t="str">
        <f>VLOOKUP(Cleaned_datasetB[[#This Row],[Month]], Lookup_Tables!$K$8:$L$19, 2, FALSE)</f>
        <v>February</v>
      </c>
      <c r="U913" s="10" t="str">
        <f>IF(AND(Cleaned_datasetB[[#This Row],[Day_Type]]="Weekday",Cleaned_datasetB[[#This Row],[Is_Holiday]]=FALSE),"Working Day","Non-Working Day")</f>
        <v>Working Day</v>
      </c>
    </row>
    <row r="914" spans="1:21">
      <c r="A914" s="10">
        <v>913</v>
      </c>
      <c r="B914" s="23">
        <v>40584</v>
      </c>
      <c r="C914" s="10">
        <v>1</v>
      </c>
      <c r="D914" s="10">
        <v>0</v>
      </c>
      <c r="E914" s="10">
        <v>2</v>
      </c>
      <c r="F914" s="10">
        <v>13</v>
      </c>
      <c r="G914" s="10" t="b">
        <v>0</v>
      </c>
      <c r="H914" s="10">
        <v>4</v>
      </c>
      <c r="I914" s="10" t="str">
        <f>IF(OR(Cleaned_datasetB[[#This Row],[Day_Code]]=0,Cleaned_datasetB[[#This Row],[Day_Code]]=6),"Weekend","Weekday")</f>
        <v>Weekday</v>
      </c>
      <c r="J914" s="10">
        <v>1</v>
      </c>
      <c r="K914" s="10">
        <v>0.18</v>
      </c>
      <c r="L914" s="51">
        <v>0.16669999999999999</v>
      </c>
      <c r="M914" s="10">
        <v>0.28999999999999998</v>
      </c>
      <c r="N914" s="10">
        <v>0.29849999999999999</v>
      </c>
      <c r="O914" s="10">
        <v>3</v>
      </c>
      <c r="P914" s="10">
        <v>59</v>
      </c>
      <c r="Q914" s="10">
        <v>62</v>
      </c>
      <c r="R914" s="10" t="str">
        <f>VLOOKUP(Cleaned_datasetB[[#This Row],[Weather_Code]],Lookup_Tables!$E$9:$F$13,2,FALSE)</f>
        <v>Clear</v>
      </c>
      <c r="S914" s="10" t="str">
        <f>INDEX(Lookup_Tables!$I$10:$I$16,MATCH(Cleaned_datasetB[[#This Row],[Day_Code]],Lookup_Tables!$H$10:$H$16,0))</f>
        <v>Thursday</v>
      </c>
      <c r="T914" s="10" t="str">
        <f>VLOOKUP(Cleaned_datasetB[[#This Row],[Month]], Lookup_Tables!$K$8:$L$19, 2, FALSE)</f>
        <v>February</v>
      </c>
      <c r="U914" s="10" t="str">
        <f>IF(AND(Cleaned_datasetB[[#This Row],[Day_Type]]="Weekday",Cleaned_datasetB[[#This Row],[Is_Holiday]]=FALSE),"Working Day","Non-Working Day")</f>
        <v>Working Day</v>
      </c>
    </row>
    <row r="915" spans="1:21">
      <c r="A915" s="10">
        <v>914</v>
      </c>
      <c r="B915" s="23">
        <v>40584</v>
      </c>
      <c r="C915" s="10">
        <v>1</v>
      </c>
      <c r="D915" s="10">
        <v>0</v>
      </c>
      <c r="E915" s="10">
        <v>2</v>
      </c>
      <c r="F915" s="10">
        <v>14</v>
      </c>
      <c r="G915" s="10" t="b">
        <v>0</v>
      </c>
      <c r="H915" s="10">
        <v>4</v>
      </c>
      <c r="I915" s="10" t="str">
        <f>IF(OR(Cleaned_datasetB[[#This Row],[Day_Code]]=0,Cleaned_datasetB[[#This Row],[Day_Code]]=6),"Weekend","Weekday")</f>
        <v>Weekday</v>
      </c>
      <c r="J915" s="10">
        <v>1</v>
      </c>
      <c r="K915" s="10">
        <v>0.2</v>
      </c>
      <c r="L915" s="51">
        <v>0.18179999999999999</v>
      </c>
      <c r="M915" s="10">
        <v>0.27</v>
      </c>
      <c r="N915" s="10">
        <v>0.28360000000000002</v>
      </c>
      <c r="O915" s="10">
        <v>6</v>
      </c>
      <c r="P915" s="10">
        <v>42</v>
      </c>
      <c r="Q915" s="10">
        <v>48</v>
      </c>
      <c r="R915" s="10" t="str">
        <f>VLOOKUP(Cleaned_datasetB[[#This Row],[Weather_Code]],Lookup_Tables!$E$9:$F$13,2,FALSE)</f>
        <v>Clear</v>
      </c>
      <c r="S915" s="10" t="str">
        <f>INDEX(Lookup_Tables!$I$10:$I$16,MATCH(Cleaned_datasetB[[#This Row],[Day_Code]],Lookup_Tables!$H$10:$H$16,0))</f>
        <v>Thursday</v>
      </c>
      <c r="T915" s="10" t="str">
        <f>VLOOKUP(Cleaned_datasetB[[#This Row],[Month]], Lookup_Tables!$K$8:$L$19, 2, FALSE)</f>
        <v>February</v>
      </c>
      <c r="U915" s="10" t="str">
        <f>IF(AND(Cleaned_datasetB[[#This Row],[Day_Type]]="Weekday",Cleaned_datasetB[[#This Row],[Is_Holiday]]=FALSE),"Working Day","Non-Working Day")</f>
        <v>Working Day</v>
      </c>
    </row>
    <row r="916" spans="1:21">
      <c r="A916" s="10">
        <v>915</v>
      </c>
      <c r="B916" s="23">
        <v>40584</v>
      </c>
      <c r="C916" s="10">
        <v>1</v>
      </c>
      <c r="D916" s="10">
        <v>0</v>
      </c>
      <c r="E916" s="10">
        <v>2</v>
      </c>
      <c r="F916" s="10">
        <v>15</v>
      </c>
      <c r="G916" s="10" t="b">
        <v>0</v>
      </c>
      <c r="H916" s="10">
        <v>4</v>
      </c>
      <c r="I916" s="10" t="str">
        <f>IF(OR(Cleaned_datasetB[[#This Row],[Day_Code]]=0,Cleaned_datasetB[[#This Row],[Day_Code]]=6),"Weekend","Weekday")</f>
        <v>Weekday</v>
      </c>
      <c r="J916" s="10">
        <v>1</v>
      </c>
      <c r="K916" s="10">
        <v>0.2</v>
      </c>
      <c r="L916" s="51">
        <v>0.19700000000000001</v>
      </c>
      <c r="M916" s="10">
        <v>0.25</v>
      </c>
      <c r="N916" s="10">
        <v>0.25369999999999998</v>
      </c>
      <c r="O916" s="10">
        <v>0</v>
      </c>
      <c r="P916" s="10">
        <v>50</v>
      </c>
      <c r="Q916" s="10">
        <v>50</v>
      </c>
      <c r="R916" s="10" t="str">
        <f>VLOOKUP(Cleaned_datasetB[[#This Row],[Weather_Code]],Lookup_Tables!$E$9:$F$13,2,FALSE)</f>
        <v>Clear</v>
      </c>
      <c r="S916" s="10" t="str">
        <f>INDEX(Lookup_Tables!$I$10:$I$16,MATCH(Cleaned_datasetB[[#This Row],[Day_Code]],Lookup_Tables!$H$10:$H$16,0))</f>
        <v>Thursday</v>
      </c>
      <c r="T916" s="10" t="str">
        <f>VLOOKUP(Cleaned_datasetB[[#This Row],[Month]], Lookup_Tables!$K$8:$L$19, 2, FALSE)</f>
        <v>February</v>
      </c>
      <c r="U916" s="10" t="str">
        <f>IF(AND(Cleaned_datasetB[[#This Row],[Day_Type]]="Weekday",Cleaned_datasetB[[#This Row],[Is_Holiday]]=FALSE),"Working Day","Non-Working Day")</f>
        <v>Working Day</v>
      </c>
    </row>
    <row r="917" spans="1:21">
      <c r="A917" s="10">
        <v>916</v>
      </c>
      <c r="B917" s="23">
        <v>40584</v>
      </c>
      <c r="C917" s="10">
        <v>1</v>
      </c>
      <c r="D917" s="10">
        <v>0</v>
      </c>
      <c r="E917" s="10">
        <v>2</v>
      </c>
      <c r="F917" s="10">
        <v>16</v>
      </c>
      <c r="G917" s="10" t="b">
        <v>0</v>
      </c>
      <c r="H917" s="10">
        <v>4</v>
      </c>
      <c r="I917" s="10" t="str">
        <f>IF(OR(Cleaned_datasetB[[#This Row],[Day_Code]]=0,Cleaned_datasetB[[#This Row],[Day_Code]]=6),"Weekend","Weekday")</f>
        <v>Weekday</v>
      </c>
      <c r="J917" s="10">
        <v>1</v>
      </c>
      <c r="K917" s="10">
        <v>0.2</v>
      </c>
      <c r="L917" s="51">
        <v>0.18179999999999999</v>
      </c>
      <c r="M917" s="10">
        <v>0.27</v>
      </c>
      <c r="N917" s="10">
        <v>0.29849999999999999</v>
      </c>
      <c r="O917" s="10">
        <v>4</v>
      </c>
      <c r="P917" s="10">
        <v>76</v>
      </c>
      <c r="Q917" s="10">
        <v>80</v>
      </c>
      <c r="R917" s="10" t="str">
        <f>VLOOKUP(Cleaned_datasetB[[#This Row],[Weather_Code]],Lookup_Tables!$E$9:$F$13,2,FALSE)</f>
        <v>Clear</v>
      </c>
      <c r="S917" s="10" t="str">
        <f>INDEX(Lookup_Tables!$I$10:$I$16,MATCH(Cleaned_datasetB[[#This Row],[Day_Code]],Lookup_Tables!$H$10:$H$16,0))</f>
        <v>Thursday</v>
      </c>
      <c r="T917" s="10" t="str">
        <f>VLOOKUP(Cleaned_datasetB[[#This Row],[Month]], Lookup_Tables!$K$8:$L$19, 2, FALSE)</f>
        <v>February</v>
      </c>
      <c r="U917" s="10" t="str">
        <f>IF(AND(Cleaned_datasetB[[#This Row],[Day_Type]]="Weekday",Cleaned_datasetB[[#This Row],[Is_Holiday]]=FALSE),"Working Day","Non-Working Day")</f>
        <v>Working Day</v>
      </c>
    </row>
    <row r="918" spans="1:21">
      <c r="A918" s="10">
        <v>917</v>
      </c>
      <c r="B918" s="23">
        <v>40584</v>
      </c>
      <c r="C918" s="10">
        <v>1</v>
      </c>
      <c r="D918" s="10">
        <v>0</v>
      </c>
      <c r="E918" s="10">
        <v>2</v>
      </c>
      <c r="F918" s="10">
        <v>17</v>
      </c>
      <c r="G918" s="10" t="b">
        <v>0</v>
      </c>
      <c r="H918" s="10">
        <v>4</v>
      </c>
      <c r="I918" s="10" t="str">
        <f>IF(OR(Cleaned_datasetB[[#This Row],[Day_Code]]=0,Cleaned_datasetB[[#This Row],[Day_Code]]=6),"Weekend","Weekday")</f>
        <v>Weekday</v>
      </c>
      <c r="J918" s="10">
        <v>1</v>
      </c>
      <c r="K918" s="10">
        <v>0.18</v>
      </c>
      <c r="L918" s="51">
        <v>0.18179999999999999</v>
      </c>
      <c r="M918" s="10">
        <v>0.26</v>
      </c>
      <c r="N918" s="10">
        <v>0.19400000000000001</v>
      </c>
      <c r="O918" s="10">
        <v>6</v>
      </c>
      <c r="P918" s="10">
        <v>159</v>
      </c>
      <c r="Q918" s="10">
        <v>165</v>
      </c>
      <c r="R918" s="10" t="str">
        <f>VLOOKUP(Cleaned_datasetB[[#This Row],[Weather_Code]],Lookup_Tables!$E$9:$F$13,2,FALSE)</f>
        <v>Clear</v>
      </c>
      <c r="S918" s="10" t="str">
        <f>INDEX(Lookup_Tables!$I$10:$I$16,MATCH(Cleaned_datasetB[[#This Row],[Day_Code]],Lookup_Tables!$H$10:$H$16,0))</f>
        <v>Thursday</v>
      </c>
      <c r="T918" s="10" t="str">
        <f>VLOOKUP(Cleaned_datasetB[[#This Row],[Month]], Lookup_Tables!$K$8:$L$19, 2, FALSE)</f>
        <v>February</v>
      </c>
      <c r="U918" s="10" t="str">
        <f>IF(AND(Cleaned_datasetB[[#This Row],[Day_Type]]="Weekday",Cleaned_datasetB[[#This Row],[Is_Holiday]]=FALSE),"Working Day","Non-Working Day")</f>
        <v>Working Day</v>
      </c>
    </row>
    <row r="919" spans="1:21">
      <c r="A919" s="10">
        <v>918</v>
      </c>
      <c r="B919" s="23">
        <v>40584</v>
      </c>
      <c r="C919" s="10">
        <v>1</v>
      </c>
      <c r="D919" s="10">
        <v>0</v>
      </c>
      <c r="E919" s="10">
        <v>2</v>
      </c>
      <c r="F919" s="10">
        <v>18</v>
      </c>
      <c r="G919" s="10" t="b">
        <v>0</v>
      </c>
      <c r="H919" s="10">
        <v>4</v>
      </c>
      <c r="I919" s="10" t="str">
        <f>IF(OR(Cleaned_datasetB[[#This Row],[Day_Code]]=0,Cleaned_datasetB[[#This Row],[Day_Code]]=6),"Weekend","Weekday")</f>
        <v>Weekday</v>
      </c>
      <c r="J919" s="10">
        <v>1</v>
      </c>
      <c r="K919" s="10">
        <v>0.16</v>
      </c>
      <c r="L919" s="51">
        <v>0.18179999999999999</v>
      </c>
      <c r="M919" s="10">
        <v>0.28000000000000003</v>
      </c>
      <c r="N919" s="10">
        <v>0.1343</v>
      </c>
      <c r="O919" s="10">
        <v>3</v>
      </c>
      <c r="P919" s="10">
        <v>157</v>
      </c>
      <c r="Q919" s="10">
        <v>160</v>
      </c>
      <c r="R919" s="10" t="str">
        <f>VLOOKUP(Cleaned_datasetB[[#This Row],[Weather_Code]],Lookup_Tables!$E$9:$F$13,2,FALSE)</f>
        <v>Clear</v>
      </c>
      <c r="S919" s="10" t="str">
        <f>INDEX(Lookup_Tables!$I$10:$I$16,MATCH(Cleaned_datasetB[[#This Row],[Day_Code]],Lookup_Tables!$H$10:$H$16,0))</f>
        <v>Thursday</v>
      </c>
      <c r="T919" s="10" t="str">
        <f>VLOOKUP(Cleaned_datasetB[[#This Row],[Month]], Lookup_Tables!$K$8:$L$19, 2, FALSE)</f>
        <v>February</v>
      </c>
      <c r="U919" s="10" t="str">
        <f>IF(AND(Cleaned_datasetB[[#This Row],[Day_Type]]="Weekday",Cleaned_datasetB[[#This Row],[Is_Holiday]]=FALSE),"Working Day","Non-Working Day")</f>
        <v>Working Day</v>
      </c>
    </row>
    <row r="920" spans="1:21">
      <c r="A920" s="10">
        <v>919</v>
      </c>
      <c r="B920" s="23">
        <v>40584</v>
      </c>
      <c r="C920" s="10">
        <v>1</v>
      </c>
      <c r="D920" s="10">
        <v>0</v>
      </c>
      <c r="E920" s="10">
        <v>2</v>
      </c>
      <c r="F920" s="10">
        <v>19</v>
      </c>
      <c r="G920" s="10" t="b">
        <v>0</v>
      </c>
      <c r="H920" s="10">
        <v>4</v>
      </c>
      <c r="I920" s="10" t="str">
        <f>IF(OR(Cleaned_datasetB[[#This Row],[Day_Code]]=0,Cleaned_datasetB[[#This Row],[Day_Code]]=6),"Weekend","Weekday")</f>
        <v>Weekday</v>
      </c>
      <c r="J920" s="10">
        <v>1</v>
      </c>
      <c r="K920" s="10">
        <v>0.14000000000000001</v>
      </c>
      <c r="L920" s="51">
        <v>0.16669999999999999</v>
      </c>
      <c r="M920" s="10">
        <v>0.28000000000000003</v>
      </c>
      <c r="N920" s="10">
        <v>0.1045</v>
      </c>
      <c r="O920" s="10">
        <v>2</v>
      </c>
      <c r="P920" s="10">
        <v>110</v>
      </c>
      <c r="Q920" s="10">
        <v>112</v>
      </c>
      <c r="R920" s="10" t="str">
        <f>VLOOKUP(Cleaned_datasetB[[#This Row],[Weather_Code]],Lookup_Tables!$E$9:$F$13,2,FALSE)</f>
        <v>Clear</v>
      </c>
      <c r="S920" s="10" t="str">
        <f>INDEX(Lookup_Tables!$I$10:$I$16,MATCH(Cleaned_datasetB[[#This Row],[Day_Code]],Lookup_Tables!$H$10:$H$16,0))</f>
        <v>Thursday</v>
      </c>
      <c r="T920" s="10" t="str">
        <f>VLOOKUP(Cleaned_datasetB[[#This Row],[Month]], Lookup_Tables!$K$8:$L$19, 2, FALSE)</f>
        <v>February</v>
      </c>
      <c r="U920" s="10" t="str">
        <f>IF(AND(Cleaned_datasetB[[#This Row],[Day_Type]]="Weekday",Cleaned_datasetB[[#This Row],[Is_Holiday]]=FALSE),"Working Day","Non-Working Day")</f>
        <v>Working Day</v>
      </c>
    </row>
    <row r="921" spans="1:21">
      <c r="A921" s="10">
        <v>920</v>
      </c>
      <c r="B921" s="23">
        <v>40584</v>
      </c>
      <c r="C921" s="10">
        <v>1</v>
      </c>
      <c r="D921" s="10">
        <v>0</v>
      </c>
      <c r="E921" s="10">
        <v>2</v>
      </c>
      <c r="F921" s="10">
        <v>20</v>
      </c>
      <c r="G921" s="10" t="b">
        <v>0</v>
      </c>
      <c r="H921" s="10">
        <v>4</v>
      </c>
      <c r="I921" s="10" t="str">
        <f>IF(OR(Cleaned_datasetB[[#This Row],[Day_Code]]=0,Cleaned_datasetB[[#This Row],[Day_Code]]=6),"Weekend","Weekday")</f>
        <v>Weekday</v>
      </c>
      <c r="J921" s="10">
        <v>1</v>
      </c>
      <c r="K921" s="10">
        <v>0.14000000000000001</v>
      </c>
      <c r="L921" s="51">
        <v>0.18179999999999999</v>
      </c>
      <c r="M921" s="10">
        <v>0.31</v>
      </c>
      <c r="N921" s="10">
        <v>8.9599999999999999E-2</v>
      </c>
      <c r="O921" s="10">
        <v>4</v>
      </c>
      <c r="P921" s="10">
        <v>93</v>
      </c>
      <c r="Q921" s="10">
        <v>97</v>
      </c>
      <c r="R921" s="10" t="str">
        <f>VLOOKUP(Cleaned_datasetB[[#This Row],[Weather_Code]],Lookup_Tables!$E$9:$F$13,2,FALSE)</f>
        <v>Clear</v>
      </c>
      <c r="S921" s="10" t="str">
        <f>INDEX(Lookup_Tables!$I$10:$I$16,MATCH(Cleaned_datasetB[[#This Row],[Day_Code]],Lookup_Tables!$H$10:$H$16,0))</f>
        <v>Thursday</v>
      </c>
      <c r="T921" s="10" t="str">
        <f>VLOOKUP(Cleaned_datasetB[[#This Row],[Month]], Lookup_Tables!$K$8:$L$19, 2, FALSE)</f>
        <v>February</v>
      </c>
      <c r="U921" s="10" t="str">
        <f>IF(AND(Cleaned_datasetB[[#This Row],[Day_Type]]="Weekday",Cleaned_datasetB[[#This Row],[Is_Holiday]]=FALSE),"Working Day","Non-Working Day")</f>
        <v>Working Day</v>
      </c>
    </row>
    <row r="922" spans="1:21">
      <c r="A922" s="10">
        <v>921</v>
      </c>
      <c r="B922" s="23">
        <v>40584</v>
      </c>
      <c r="C922" s="10">
        <v>1</v>
      </c>
      <c r="D922" s="10">
        <v>0</v>
      </c>
      <c r="E922" s="10">
        <v>2</v>
      </c>
      <c r="F922" s="10">
        <v>21</v>
      </c>
      <c r="G922" s="10" t="b">
        <v>0</v>
      </c>
      <c r="H922" s="10">
        <v>4</v>
      </c>
      <c r="I922" s="10" t="str">
        <f>IF(OR(Cleaned_datasetB[[#This Row],[Day_Code]]=0,Cleaned_datasetB[[#This Row],[Day_Code]]=6),"Weekend","Weekday")</f>
        <v>Weekday</v>
      </c>
      <c r="J922" s="10">
        <v>1</v>
      </c>
      <c r="K922" s="10">
        <v>0.14000000000000001</v>
      </c>
      <c r="L922" s="51">
        <v>0.21210000000000001</v>
      </c>
      <c r="M922" s="10">
        <v>0.39</v>
      </c>
      <c r="N922" s="10">
        <v>0</v>
      </c>
      <c r="O922" s="10">
        <v>2</v>
      </c>
      <c r="P922" s="10">
        <v>70</v>
      </c>
      <c r="Q922" s="10">
        <v>72</v>
      </c>
      <c r="R922" s="10" t="str">
        <f>VLOOKUP(Cleaned_datasetB[[#This Row],[Weather_Code]],Lookup_Tables!$E$9:$F$13,2,FALSE)</f>
        <v>Clear</v>
      </c>
      <c r="S922" s="10" t="str">
        <f>INDEX(Lookup_Tables!$I$10:$I$16,MATCH(Cleaned_datasetB[[#This Row],[Day_Code]],Lookup_Tables!$H$10:$H$16,0))</f>
        <v>Thursday</v>
      </c>
      <c r="T922" s="10" t="str">
        <f>VLOOKUP(Cleaned_datasetB[[#This Row],[Month]], Lookup_Tables!$K$8:$L$19, 2, FALSE)</f>
        <v>February</v>
      </c>
      <c r="U922" s="10" t="str">
        <f>IF(AND(Cleaned_datasetB[[#This Row],[Day_Type]]="Weekday",Cleaned_datasetB[[#This Row],[Is_Holiday]]=FALSE),"Working Day","Non-Working Day")</f>
        <v>Working Day</v>
      </c>
    </row>
    <row r="923" spans="1:21">
      <c r="A923" s="10">
        <v>922</v>
      </c>
      <c r="B923" s="23">
        <v>40584</v>
      </c>
      <c r="C923" s="10">
        <v>1</v>
      </c>
      <c r="D923" s="10">
        <v>0</v>
      </c>
      <c r="E923" s="10">
        <v>2</v>
      </c>
      <c r="F923" s="10">
        <v>22</v>
      </c>
      <c r="G923" s="10" t="b">
        <v>0</v>
      </c>
      <c r="H923" s="10">
        <v>4</v>
      </c>
      <c r="I923" s="10" t="str">
        <f>IF(OR(Cleaned_datasetB[[#This Row],[Day_Code]]=0,Cleaned_datasetB[[#This Row],[Day_Code]]=6),"Weekend","Weekday")</f>
        <v>Weekday</v>
      </c>
      <c r="J923" s="10">
        <v>1</v>
      </c>
      <c r="K923" s="10">
        <v>0.12</v>
      </c>
      <c r="L923" s="51">
        <v>0.19700000000000001</v>
      </c>
      <c r="M923" s="10">
        <v>0.39</v>
      </c>
      <c r="N923" s="10">
        <v>0</v>
      </c>
      <c r="O923" s="10">
        <v>4</v>
      </c>
      <c r="P923" s="10">
        <v>47</v>
      </c>
      <c r="Q923" s="10">
        <v>51</v>
      </c>
      <c r="R923" s="10" t="str">
        <f>VLOOKUP(Cleaned_datasetB[[#This Row],[Weather_Code]],Lookup_Tables!$E$9:$F$13,2,FALSE)</f>
        <v>Clear</v>
      </c>
      <c r="S923" s="10" t="str">
        <f>INDEX(Lookup_Tables!$I$10:$I$16,MATCH(Cleaned_datasetB[[#This Row],[Day_Code]],Lookup_Tables!$H$10:$H$16,0))</f>
        <v>Thursday</v>
      </c>
      <c r="T923" s="10" t="str">
        <f>VLOOKUP(Cleaned_datasetB[[#This Row],[Month]], Lookup_Tables!$K$8:$L$19, 2, FALSE)</f>
        <v>February</v>
      </c>
      <c r="U923" s="10" t="str">
        <f>IF(AND(Cleaned_datasetB[[#This Row],[Day_Type]]="Weekday",Cleaned_datasetB[[#This Row],[Is_Holiday]]=FALSE),"Working Day","Non-Working Day")</f>
        <v>Working Day</v>
      </c>
    </row>
    <row r="924" spans="1:21">
      <c r="A924" s="10">
        <v>923</v>
      </c>
      <c r="B924" s="23">
        <v>40584</v>
      </c>
      <c r="C924" s="10">
        <v>1</v>
      </c>
      <c r="D924" s="10">
        <v>0</v>
      </c>
      <c r="E924" s="10">
        <v>2</v>
      </c>
      <c r="F924" s="10">
        <v>23</v>
      </c>
      <c r="G924" s="10" t="b">
        <v>0</v>
      </c>
      <c r="H924" s="10">
        <v>4</v>
      </c>
      <c r="I924" s="10" t="str">
        <f>IF(OR(Cleaned_datasetB[[#This Row],[Day_Code]]=0,Cleaned_datasetB[[#This Row],[Day_Code]]=6),"Weekend","Weekday")</f>
        <v>Weekday</v>
      </c>
      <c r="J924" s="10">
        <v>1</v>
      </c>
      <c r="K924" s="10">
        <v>0.12</v>
      </c>
      <c r="L924" s="51">
        <v>0.1515</v>
      </c>
      <c r="M924" s="10">
        <v>0.42</v>
      </c>
      <c r="N924" s="10">
        <v>0.1045</v>
      </c>
      <c r="O924" s="10">
        <v>1</v>
      </c>
      <c r="P924" s="10">
        <v>33</v>
      </c>
      <c r="Q924" s="10">
        <v>34</v>
      </c>
      <c r="R924" s="10" t="str">
        <f>VLOOKUP(Cleaned_datasetB[[#This Row],[Weather_Code]],Lookup_Tables!$E$9:$F$13,2,FALSE)</f>
        <v>Clear</v>
      </c>
      <c r="S924" s="10" t="str">
        <f>INDEX(Lookup_Tables!$I$10:$I$16,MATCH(Cleaned_datasetB[[#This Row],[Day_Code]],Lookup_Tables!$H$10:$H$16,0))</f>
        <v>Thursday</v>
      </c>
      <c r="T924" s="10" t="str">
        <f>VLOOKUP(Cleaned_datasetB[[#This Row],[Month]], Lookup_Tables!$K$8:$L$19, 2, FALSE)</f>
        <v>February</v>
      </c>
      <c r="U924" s="10" t="str">
        <f>IF(AND(Cleaned_datasetB[[#This Row],[Day_Type]]="Weekday",Cleaned_datasetB[[#This Row],[Is_Holiday]]=FALSE),"Working Day","Non-Working Day")</f>
        <v>Working Day</v>
      </c>
    </row>
    <row r="925" spans="1:21">
      <c r="A925" s="10">
        <v>924</v>
      </c>
      <c r="B925" s="23">
        <v>40585</v>
      </c>
      <c r="C925" s="10">
        <v>1</v>
      </c>
      <c r="D925" s="10">
        <v>0</v>
      </c>
      <c r="E925" s="10">
        <v>2</v>
      </c>
      <c r="F925" s="10">
        <v>0</v>
      </c>
      <c r="G925" s="10" t="b">
        <v>0</v>
      </c>
      <c r="H925" s="10">
        <v>5</v>
      </c>
      <c r="I925" s="10" t="str">
        <f>IF(OR(Cleaned_datasetB[[#This Row],[Day_Code]]=0,Cleaned_datasetB[[#This Row],[Day_Code]]=6),"Weekend","Weekday")</f>
        <v>Weekday</v>
      </c>
      <c r="J925" s="10">
        <v>1</v>
      </c>
      <c r="K925" s="10">
        <v>0.1</v>
      </c>
      <c r="L925" s="51">
        <v>0.13639999999999999</v>
      </c>
      <c r="M925" s="10">
        <v>0.49</v>
      </c>
      <c r="N925" s="10">
        <v>0.1045</v>
      </c>
      <c r="O925" s="10">
        <v>2</v>
      </c>
      <c r="P925" s="10">
        <v>12</v>
      </c>
      <c r="Q925" s="10">
        <v>14</v>
      </c>
      <c r="R925" s="10" t="str">
        <f>VLOOKUP(Cleaned_datasetB[[#This Row],[Weather_Code]],Lookup_Tables!$E$9:$F$13,2,FALSE)</f>
        <v>Clear</v>
      </c>
      <c r="S925" s="10" t="str">
        <f>INDEX(Lookup_Tables!$I$10:$I$16,MATCH(Cleaned_datasetB[[#This Row],[Day_Code]],Lookup_Tables!$H$10:$H$16,0))</f>
        <v>Friday</v>
      </c>
      <c r="T925" s="10" t="str">
        <f>VLOOKUP(Cleaned_datasetB[[#This Row],[Month]], Lookup_Tables!$K$8:$L$19, 2, FALSE)</f>
        <v>February</v>
      </c>
      <c r="U925" s="10" t="str">
        <f>IF(AND(Cleaned_datasetB[[#This Row],[Day_Type]]="Weekday",Cleaned_datasetB[[#This Row],[Is_Holiday]]=FALSE),"Working Day","Non-Working Day")</f>
        <v>Working Day</v>
      </c>
    </row>
    <row r="926" spans="1:21">
      <c r="A926" s="10">
        <v>925</v>
      </c>
      <c r="B926" s="23">
        <v>40585</v>
      </c>
      <c r="C926" s="10">
        <v>1</v>
      </c>
      <c r="D926" s="10">
        <v>0</v>
      </c>
      <c r="E926" s="10">
        <v>2</v>
      </c>
      <c r="F926" s="10">
        <v>1</v>
      </c>
      <c r="G926" s="10" t="b">
        <v>0</v>
      </c>
      <c r="H926" s="10">
        <v>5</v>
      </c>
      <c r="I926" s="10" t="str">
        <f>IF(OR(Cleaned_datasetB[[#This Row],[Day_Code]]=0,Cleaned_datasetB[[#This Row],[Day_Code]]=6),"Weekend","Weekday")</f>
        <v>Weekday</v>
      </c>
      <c r="J926" s="10">
        <v>1</v>
      </c>
      <c r="K926" s="10">
        <v>0.1</v>
      </c>
      <c r="L926" s="51">
        <v>0.13639999999999999</v>
      </c>
      <c r="M926" s="10">
        <v>0.54</v>
      </c>
      <c r="N926" s="10">
        <v>8.9599999999999999E-2</v>
      </c>
      <c r="O926" s="10">
        <v>1</v>
      </c>
      <c r="P926" s="10">
        <v>6</v>
      </c>
      <c r="Q926" s="10">
        <v>7</v>
      </c>
      <c r="R926" s="10" t="str">
        <f>VLOOKUP(Cleaned_datasetB[[#This Row],[Weather_Code]],Lookup_Tables!$E$9:$F$13,2,FALSE)</f>
        <v>Clear</v>
      </c>
      <c r="S926" s="10" t="str">
        <f>INDEX(Lookup_Tables!$I$10:$I$16,MATCH(Cleaned_datasetB[[#This Row],[Day_Code]],Lookup_Tables!$H$10:$H$16,0))</f>
        <v>Friday</v>
      </c>
      <c r="T926" s="10" t="str">
        <f>VLOOKUP(Cleaned_datasetB[[#This Row],[Month]], Lookup_Tables!$K$8:$L$19, 2, FALSE)</f>
        <v>February</v>
      </c>
      <c r="U926" s="10" t="str">
        <f>IF(AND(Cleaned_datasetB[[#This Row],[Day_Type]]="Weekday",Cleaned_datasetB[[#This Row],[Is_Holiday]]=FALSE),"Working Day","Non-Working Day")</f>
        <v>Working Day</v>
      </c>
    </row>
    <row r="927" spans="1:21">
      <c r="A927" s="10">
        <v>926</v>
      </c>
      <c r="B927" s="23">
        <v>40585</v>
      </c>
      <c r="C927" s="10">
        <v>1</v>
      </c>
      <c r="D927" s="10">
        <v>0</v>
      </c>
      <c r="E927" s="10">
        <v>2</v>
      </c>
      <c r="F927" s="10">
        <v>2</v>
      </c>
      <c r="G927" s="10" t="b">
        <v>0</v>
      </c>
      <c r="H927" s="10">
        <v>5</v>
      </c>
      <c r="I927" s="10" t="str">
        <f>IF(OR(Cleaned_datasetB[[#This Row],[Day_Code]]=0,Cleaned_datasetB[[#This Row],[Day_Code]]=6),"Weekend","Weekday")</f>
        <v>Weekday</v>
      </c>
      <c r="J927" s="10">
        <v>1</v>
      </c>
      <c r="K927" s="10">
        <v>0.1</v>
      </c>
      <c r="L927" s="51">
        <v>0.13639999999999999</v>
      </c>
      <c r="M927" s="10">
        <v>0.54</v>
      </c>
      <c r="N927" s="10">
        <v>8.9599999999999999E-2</v>
      </c>
      <c r="O927" s="10">
        <v>0</v>
      </c>
      <c r="P927" s="10">
        <v>3</v>
      </c>
      <c r="Q927" s="10">
        <v>3</v>
      </c>
      <c r="R927" s="10" t="str">
        <f>VLOOKUP(Cleaned_datasetB[[#This Row],[Weather_Code]],Lookup_Tables!$E$9:$F$13,2,FALSE)</f>
        <v>Clear</v>
      </c>
      <c r="S927" s="10" t="str">
        <f>INDEX(Lookup_Tables!$I$10:$I$16,MATCH(Cleaned_datasetB[[#This Row],[Day_Code]],Lookup_Tables!$H$10:$H$16,0))</f>
        <v>Friday</v>
      </c>
      <c r="T927" s="10" t="str">
        <f>VLOOKUP(Cleaned_datasetB[[#This Row],[Month]], Lookup_Tables!$K$8:$L$19, 2, FALSE)</f>
        <v>February</v>
      </c>
      <c r="U927" s="10" t="str">
        <f>IF(AND(Cleaned_datasetB[[#This Row],[Day_Type]]="Weekday",Cleaned_datasetB[[#This Row],[Is_Holiday]]=FALSE),"Working Day","Non-Working Day")</f>
        <v>Working Day</v>
      </c>
    </row>
    <row r="928" spans="1:21">
      <c r="A928" s="10">
        <v>927</v>
      </c>
      <c r="B928" s="23">
        <v>40585</v>
      </c>
      <c r="C928" s="10">
        <v>1</v>
      </c>
      <c r="D928" s="10">
        <v>0</v>
      </c>
      <c r="E928" s="10">
        <v>2</v>
      </c>
      <c r="F928" s="10">
        <v>5</v>
      </c>
      <c r="G928" s="10" t="b">
        <v>0</v>
      </c>
      <c r="H928" s="10">
        <v>5</v>
      </c>
      <c r="I928" s="10" t="str">
        <f>IF(OR(Cleaned_datasetB[[#This Row],[Day_Code]]=0,Cleaned_datasetB[[#This Row],[Day_Code]]=6),"Weekend","Weekday")</f>
        <v>Weekday</v>
      </c>
      <c r="J928" s="10">
        <v>1</v>
      </c>
      <c r="K928" s="10">
        <v>0.08</v>
      </c>
      <c r="L928" s="51">
        <v>0.1212</v>
      </c>
      <c r="M928" s="10">
        <v>0.63</v>
      </c>
      <c r="N928" s="10">
        <v>8.9599999999999999E-2</v>
      </c>
      <c r="O928" s="10">
        <v>0</v>
      </c>
      <c r="P928" s="10">
        <v>4</v>
      </c>
      <c r="Q928" s="10">
        <v>4</v>
      </c>
      <c r="R928" s="10" t="str">
        <f>VLOOKUP(Cleaned_datasetB[[#This Row],[Weather_Code]],Lookup_Tables!$E$9:$F$13,2,FALSE)</f>
        <v>Clear</v>
      </c>
      <c r="S928" s="10" t="str">
        <f>INDEX(Lookup_Tables!$I$10:$I$16,MATCH(Cleaned_datasetB[[#This Row],[Day_Code]],Lookup_Tables!$H$10:$H$16,0))</f>
        <v>Friday</v>
      </c>
      <c r="T928" s="10" t="str">
        <f>VLOOKUP(Cleaned_datasetB[[#This Row],[Month]], Lookup_Tables!$K$8:$L$19, 2, FALSE)</f>
        <v>February</v>
      </c>
      <c r="U928" s="10" t="str">
        <f>IF(AND(Cleaned_datasetB[[#This Row],[Day_Type]]="Weekday",Cleaned_datasetB[[#This Row],[Is_Holiday]]=FALSE),"Working Day","Non-Working Day")</f>
        <v>Working Day</v>
      </c>
    </row>
    <row r="929" spans="1:21">
      <c r="A929" s="10">
        <v>928</v>
      </c>
      <c r="B929" s="23">
        <v>40585</v>
      </c>
      <c r="C929" s="10">
        <v>1</v>
      </c>
      <c r="D929" s="10">
        <v>0</v>
      </c>
      <c r="E929" s="10">
        <v>2</v>
      </c>
      <c r="F929" s="10">
        <v>6</v>
      </c>
      <c r="G929" s="10" t="b">
        <v>0</v>
      </c>
      <c r="H929" s="10">
        <v>5</v>
      </c>
      <c r="I929" s="10" t="str">
        <f>IF(OR(Cleaned_datasetB[[#This Row],[Day_Code]]=0,Cleaned_datasetB[[#This Row],[Day_Code]]=6),"Weekend","Weekday")</f>
        <v>Weekday</v>
      </c>
      <c r="J929" s="10">
        <v>1</v>
      </c>
      <c r="K929" s="10">
        <v>0.1</v>
      </c>
      <c r="L929" s="51">
        <v>0.18179999999999999</v>
      </c>
      <c r="M929" s="10">
        <v>0.68</v>
      </c>
      <c r="N929" s="10">
        <v>0</v>
      </c>
      <c r="O929" s="10">
        <v>1</v>
      </c>
      <c r="P929" s="10">
        <v>23</v>
      </c>
      <c r="Q929" s="10">
        <v>24</v>
      </c>
      <c r="R929" s="10" t="str">
        <f>VLOOKUP(Cleaned_datasetB[[#This Row],[Weather_Code]],Lookup_Tables!$E$9:$F$13,2,FALSE)</f>
        <v>Clear</v>
      </c>
      <c r="S929" s="10" t="str">
        <f>INDEX(Lookup_Tables!$I$10:$I$16,MATCH(Cleaned_datasetB[[#This Row],[Day_Code]],Lookup_Tables!$H$10:$H$16,0))</f>
        <v>Friday</v>
      </c>
      <c r="T929" s="10" t="str">
        <f>VLOOKUP(Cleaned_datasetB[[#This Row],[Month]], Lookup_Tables!$K$8:$L$19, 2, FALSE)</f>
        <v>February</v>
      </c>
      <c r="U929" s="10" t="str">
        <f>IF(AND(Cleaned_datasetB[[#This Row],[Day_Type]]="Weekday",Cleaned_datasetB[[#This Row],[Is_Holiday]]=FALSE),"Working Day","Non-Working Day")</f>
        <v>Working Day</v>
      </c>
    </row>
    <row r="930" spans="1:21">
      <c r="A930" s="10">
        <v>929</v>
      </c>
      <c r="B930" s="23">
        <v>40585</v>
      </c>
      <c r="C930" s="10">
        <v>1</v>
      </c>
      <c r="D930" s="10">
        <v>0</v>
      </c>
      <c r="E930" s="10">
        <v>2</v>
      </c>
      <c r="F930" s="10">
        <v>7</v>
      </c>
      <c r="G930" s="10" t="b">
        <v>0</v>
      </c>
      <c r="H930" s="10">
        <v>5</v>
      </c>
      <c r="I930" s="10" t="str">
        <f>IF(OR(Cleaned_datasetB[[#This Row],[Day_Code]]=0,Cleaned_datasetB[[#This Row],[Day_Code]]=6),"Weekend","Weekday")</f>
        <v>Weekday</v>
      </c>
      <c r="J930" s="10">
        <v>1</v>
      </c>
      <c r="K930" s="10">
        <v>0.08</v>
      </c>
      <c r="L930" s="51">
        <v>0.16669999999999999</v>
      </c>
      <c r="M930" s="10">
        <v>0.73</v>
      </c>
      <c r="N930" s="10">
        <v>0</v>
      </c>
      <c r="O930" s="10">
        <v>1</v>
      </c>
      <c r="P930" s="10">
        <v>73</v>
      </c>
      <c r="Q930" s="10">
        <v>74</v>
      </c>
      <c r="R930" s="10" t="str">
        <f>VLOOKUP(Cleaned_datasetB[[#This Row],[Weather_Code]],Lookup_Tables!$E$9:$F$13,2,FALSE)</f>
        <v>Clear</v>
      </c>
      <c r="S930" s="10" t="str">
        <f>INDEX(Lookup_Tables!$I$10:$I$16,MATCH(Cleaned_datasetB[[#This Row],[Day_Code]],Lookup_Tables!$H$10:$H$16,0))</f>
        <v>Friday</v>
      </c>
      <c r="T930" s="10" t="str">
        <f>VLOOKUP(Cleaned_datasetB[[#This Row],[Month]], Lookup_Tables!$K$8:$L$19, 2, FALSE)</f>
        <v>February</v>
      </c>
      <c r="U930" s="10" t="str">
        <f>IF(AND(Cleaned_datasetB[[#This Row],[Day_Type]]="Weekday",Cleaned_datasetB[[#This Row],[Is_Holiday]]=FALSE),"Working Day","Non-Working Day")</f>
        <v>Working Day</v>
      </c>
    </row>
    <row r="931" spans="1:21">
      <c r="A931" s="10">
        <v>930</v>
      </c>
      <c r="B931" s="23">
        <v>40585</v>
      </c>
      <c r="C931" s="10">
        <v>1</v>
      </c>
      <c r="D931" s="10">
        <v>0</v>
      </c>
      <c r="E931" s="10">
        <v>2</v>
      </c>
      <c r="F931" s="10">
        <v>8</v>
      </c>
      <c r="G931" s="10" t="b">
        <v>0</v>
      </c>
      <c r="H931" s="10">
        <v>5</v>
      </c>
      <c r="I931" s="10" t="str">
        <f>IF(OR(Cleaned_datasetB[[#This Row],[Day_Code]]=0,Cleaned_datasetB[[#This Row],[Day_Code]]=6),"Weekend","Weekday")</f>
        <v>Weekday</v>
      </c>
      <c r="J931" s="10">
        <v>1</v>
      </c>
      <c r="K931" s="10">
        <v>0.1</v>
      </c>
      <c r="L931" s="51">
        <v>0.1212</v>
      </c>
      <c r="M931" s="10">
        <v>0.74</v>
      </c>
      <c r="N931" s="10">
        <v>0.16420000000000001</v>
      </c>
      <c r="O931" s="10">
        <v>4</v>
      </c>
      <c r="P931" s="10">
        <v>212</v>
      </c>
      <c r="Q931" s="10">
        <v>216</v>
      </c>
      <c r="R931" s="10" t="str">
        <f>VLOOKUP(Cleaned_datasetB[[#This Row],[Weather_Code]],Lookup_Tables!$E$9:$F$13,2,FALSE)</f>
        <v>Clear</v>
      </c>
      <c r="S931" s="10" t="str">
        <f>INDEX(Lookup_Tables!$I$10:$I$16,MATCH(Cleaned_datasetB[[#This Row],[Day_Code]],Lookup_Tables!$H$10:$H$16,0))</f>
        <v>Friday</v>
      </c>
      <c r="T931" s="10" t="str">
        <f>VLOOKUP(Cleaned_datasetB[[#This Row],[Month]], Lookup_Tables!$K$8:$L$19, 2, FALSE)</f>
        <v>February</v>
      </c>
      <c r="U931" s="10" t="str">
        <f>IF(AND(Cleaned_datasetB[[#This Row],[Day_Type]]="Weekday",Cleaned_datasetB[[#This Row],[Is_Holiday]]=FALSE),"Working Day","Non-Working Day")</f>
        <v>Working Day</v>
      </c>
    </row>
    <row r="932" spans="1:21">
      <c r="A932" s="10">
        <v>931</v>
      </c>
      <c r="B932" s="23">
        <v>40585</v>
      </c>
      <c r="C932" s="10">
        <v>1</v>
      </c>
      <c r="D932" s="10">
        <v>0</v>
      </c>
      <c r="E932" s="10">
        <v>2</v>
      </c>
      <c r="F932" s="10">
        <v>9</v>
      </c>
      <c r="G932" s="10" t="b">
        <v>0</v>
      </c>
      <c r="H932" s="10">
        <v>5</v>
      </c>
      <c r="I932" s="10" t="str">
        <f>IF(OR(Cleaned_datasetB[[#This Row],[Day_Code]]=0,Cleaned_datasetB[[#This Row],[Day_Code]]=6),"Weekend","Weekday")</f>
        <v>Weekday</v>
      </c>
      <c r="J932" s="10">
        <v>1</v>
      </c>
      <c r="K932" s="10">
        <v>0.12</v>
      </c>
      <c r="L932" s="51">
        <v>0.1212</v>
      </c>
      <c r="M932" s="10">
        <v>0.74</v>
      </c>
      <c r="N932" s="10">
        <v>0.22389999999999999</v>
      </c>
      <c r="O932" s="10">
        <v>8</v>
      </c>
      <c r="P932" s="10">
        <v>132</v>
      </c>
      <c r="Q932" s="10">
        <v>140</v>
      </c>
      <c r="R932" s="10" t="str">
        <f>VLOOKUP(Cleaned_datasetB[[#This Row],[Weather_Code]],Lookup_Tables!$E$9:$F$13,2,FALSE)</f>
        <v>Clear</v>
      </c>
      <c r="S932" s="10" t="str">
        <f>INDEX(Lookup_Tables!$I$10:$I$16,MATCH(Cleaned_datasetB[[#This Row],[Day_Code]],Lookup_Tables!$H$10:$H$16,0))</f>
        <v>Friday</v>
      </c>
      <c r="T932" s="10" t="str">
        <f>VLOOKUP(Cleaned_datasetB[[#This Row],[Month]], Lookup_Tables!$K$8:$L$19, 2, FALSE)</f>
        <v>February</v>
      </c>
      <c r="U932" s="10" t="str">
        <f>IF(AND(Cleaned_datasetB[[#This Row],[Day_Type]]="Weekday",Cleaned_datasetB[[#This Row],[Is_Holiday]]=FALSE),"Working Day","Non-Working Day")</f>
        <v>Working Day</v>
      </c>
    </row>
    <row r="933" spans="1:21">
      <c r="A933" s="10">
        <v>932</v>
      </c>
      <c r="B933" s="23">
        <v>40585</v>
      </c>
      <c r="C933" s="10">
        <v>1</v>
      </c>
      <c r="D933" s="10">
        <v>0</v>
      </c>
      <c r="E933" s="10">
        <v>2</v>
      </c>
      <c r="F933" s="10">
        <v>10</v>
      </c>
      <c r="G933" s="10" t="b">
        <v>0</v>
      </c>
      <c r="H933" s="10">
        <v>5</v>
      </c>
      <c r="I933" s="10" t="str">
        <f>IF(OR(Cleaned_datasetB[[#This Row],[Day_Code]]=0,Cleaned_datasetB[[#This Row],[Day_Code]]=6),"Weekend","Weekday")</f>
        <v>Weekday</v>
      </c>
      <c r="J933" s="10">
        <v>1</v>
      </c>
      <c r="K933" s="10">
        <v>0.14000000000000001</v>
      </c>
      <c r="L933" s="51">
        <v>0.13639999999999999</v>
      </c>
      <c r="M933" s="10">
        <v>0.69</v>
      </c>
      <c r="N933" s="10">
        <v>0.19400000000000001</v>
      </c>
      <c r="O933" s="10">
        <v>5</v>
      </c>
      <c r="P933" s="10">
        <v>39</v>
      </c>
      <c r="Q933" s="10">
        <v>44</v>
      </c>
      <c r="R933" s="10" t="str">
        <f>VLOOKUP(Cleaned_datasetB[[#This Row],[Weather_Code]],Lookup_Tables!$E$9:$F$13,2,FALSE)</f>
        <v>Clear</v>
      </c>
      <c r="S933" s="10" t="str">
        <f>INDEX(Lookup_Tables!$I$10:$I$16,MATCH(Cleaned_datasetB[[#This Row],[Day_Code]],Lookup_Tables!$H$10:$H$16,0))</f>
        <v>Friday</v>
      </c>
      <c r="T933" s="10" t="str">
        <f>VLOOKUP(Cleaned_datasetB[[#This Row],[Month]], Lookup_Tables!$K$8:$L$19, 2, FALSE)</f>
        <v>February</v>
      </c>
      <c r="U933" s="10" t="str">
        <f>IF(AND(Cleaned_datasetB[[#This Row],[Day_Type]]="Weekday",Cleaned_datasetB[[#This Row],[Is_Holiday]]=FALSE),"Working Day","Non-Working Day")</f>
        <v>Working Day</v>
      </c>
    </row>
    <row r="934" spans="1:21">
      <c r="A934" s="10">
        <v>933</v>
      </c>
      <c r="B934" s="23">
        <v>40585</v>
      </c>
      <c r="C934" s="10">
        <v>1</v>
      </c>
      <c r="D934" s="10">
        <v>0</v>
      </c>
      <c r="E934" s="10">
        <v>2</v>
      </c>
      <c r="F934" s="10">
        <v>11</v>
      </c>
      <c r="G934" s="10" t="b">
        <v>0</v>
      </c>
      <c r="H934" s="10">
        <v>5</v>
      </c>
      <c r="I934" s="10" t="str">
        <f>IF(OR(Cleaned_datasetB[[#This Row],[Day_Code]]=0,Cleaned_datasetB[[#This Row],[Day_Code]]=6),"Weekend","Weekday")</f>
        <v>Weekday</v>
      </c>
      <c r="J934" s="10">
        <v>1</v>
      </c>
      <c r="K934" s="10">
        <v>0.22</v>
      </c>
      <c r="L934" s="51">
        <v>0.2273</v>
      </c>
      <c r="M934" s="10">
        <v>0.47</v>
      </c>
      <c r="N934" s="10">
        <v>0.1343</v>
      </c>
      <c r="O934" s="10">
        <v>12</v>
      </c>
      <c r="P934" s="10">
        <v>52</v>
      </c>
      <c r="Q934" s="10">
        <v>64</v>
      </c>
      <c r="R934" s="10" t="str">
        <f>VLOOKUP(Cleaned_datasetB[[#This Row],[Weather_Code]],Lookup_Tables!$E$9:$F$13,2,FALSE)</f>
        <v>Clear</v>
      </c>
      <c r="S934" s="10" t="str">
        <f>INDEX(Lookup_Tables!$I$10:$I$16,MATCH(Cleaned_datasetB[[#This Row],[Day_Code]],Lookup_Tables!$H$10:$H$16,0))</f>
        <v>Friday</v>
      </c>
      <c r="T934" s="10" t="str">
        <f>VLOOKUP(Cleaned_datasetB[[#This Row],[Month]], Lookup_Tables!$K$8:$L$19, 2, FALSE)</f>
        <v>February</v>
      </c>
      <c r="U934" s="10" t="str">
        <f>IF(AND(Cleaned_datasetB[[#This Row],[Day_Type]]="Weekday",Cleaned_datasetB[[#This Row],[Is_Holiday]]=FALSE),"Working Day","Non-Working Day")</f>
        <v>Working Day</v>
      </c>
    </row>
    <row r="935" spans="1:21">
      <c r="A935" s="10">
        <v>934</v>
      </c>
      <c r="B935" s="23">
        <v>40585</v>
      </c>
      <c r="C935" s="10">
        <v>1</v>
      </c>
      <c r="D935" s="10">
        <v>0</v>
      </c>
      <c r="E935" s="10">
        <v>2</v>
      </c>
      <c r="F935" s="10">
        <v>12</v>
      </c>
      <c r="G935" s="10" t="b">
        <v>0</v>
      </c>
      <c r="H935" s="10">
        <v>5</v>
      </c>
      <c r="I935" s="10" t="str">
        <f>IF(OR(Cleaned_datasetB[[#This Row],[Day_Code]]=0,Cleaned_datasetB[[#This Row],[Day_Code]]=6),"Weekend","Weekday")</f>
        <v>Weekday</v>
      </c>
      <c r="J935" s="10">
        <v>1</v>
      </c>
      <c r="K935" s="10">
        <v>0.22</v>
      </c>
      <c r="L935" s="51">
        <v>0.2273</v>
      </c>
      <c r="M935" s="10">
        <v>0.47</v>
      </c>
      <c r="N935" s="10">
        <v>0.1343</v>
      </c>
      <c r="O935" s="10">
        <v>7</v>
      </c>
      <c r="P935" s="10">
        <v>64</v>
      </c>
      <c r="Q935" s="10">
        <v>71</v>
      </c>
      <c r="R935" s="10" t="str">
        <f>VLOOKUP(Cleaned_datasetB[[#This Row],[Weather_Code]],Lookup_Tables!$E$9:$F$13,2,FALSE)</f>
        <v>Clear</v>
      </c>
      <c r="S935" s="10" t="str">
        <f>INDEX(Lookup_Tables!$I$10:$I$16,MATCH(Cleaned_datasetB[[#This Row],[Day_Code]],Lookup_Tables!$H$10:$H$16,0))</f>
        <v>Friday</v>
      </c>
      <c r="T935" s="10" t="str">
        <f>VLOOKUP(Cleaned_datasetB[[#This Row],[Month]], Lookup_Tables!$K$8:$L$19, 2, FALSE)</f>
        <v>February</v>
      </c>
      <c r="U935" s="10" t="str">
        <f>IF(AND(Cleaned_datasetB[[#This Row],[Day_Type]]="Weekday",Cleaned_datasetB[[#This Row],[Is_Holiday]]=FALSE),"Working Day","Non-Working Day")</f>
        <v>Working Day</v>
      </c>
    </row>
    <row r="936" spans="1:21">
      <c r="A936" s="10">
        <v>935</v>
      </c>
      <c r="B936" s="23">
        <v>40585</v>
      </c>
      <c r="C936" s="10">
        <v>1</v>
      </c>
      <c r="D936" s="10">
        <v>0</v>
      </c>
      <c r="E936" s="10">
        <v>2</v>
      </c>
      <c r="F936" s="10">
        <v>13</v>
      </c>
      <c r="G936" s="10" t="b">
        <v>0</v>
      </c>
      <c r="H936" s="10">
        <v>5</v>
      </c>
      <c r="I936" s="10" t="str">
        <f>IF(OR(Cleaned_datasetB[[#This Row],[Day_Code]]=0,Cleaned_datasetB[[#This Row],[Day_Code]]=6),"Weekend","Weekday")</f>
        <v>Weekday</v>
      </c>
      <c r="J936" s="10">
        <v>1</v>
      </c>
      <c r="K936" s="10">
        <v>0.24</v>
      </c>
      <c r="L936" s="51">
        <v>0.2273</v>
      </c>
      <c r="M936" s="10">
        <v>0.35</v>
      </c>
      <c r="N936" s="10">
        <v>0.19400000000000001</v>
      </c>
      <c r="O936" s="10">
        <v>21</v>
      </c>
      <c r="P936" s="10">
        <v>89</v>
      </c>
      <c r="Q936" s="10">
        <v>110</v>
      </c>
      <c r="R936" s="10" t="str">
        <f>VLOOKUP(Cleaned_datasetB[[#This Row],[Weather_Code]],Lookup_Tables!$E$9:$F$13,2,FALSE)</f>
        <v>Clear</v>
      </c>
      <c r="S936" s="10" t="str">
        <f>INDEX(Lookup_Tables!$I$10:$I$16,MATCH(Cleaned_datasetB[[#This Row],[Day_Code]],Lookup_Tables!$H$10:$H$16,0))</f>
        <v>Friday</v>
      </c>
      <c r="T936" s="10" t="str">
        <f>VLOOKUP(Cleaned_datasetB[[#This Row],[Month]], Lookup_Tables!$K$8:$L$19, 2, FALSE)</f>
        <v>February</v>
      </c>
      <c r="U936" s="10" t="str">
        <f>IF(AND(Cleaned_datasetB[[#This Row],[Day_Type]]="Weekday",Cleaned_datasetB[[#This Row],[Is_Holiday]]=FALSE),"Working Day","Non-Working Day")</f>
        <v>Working Day</v>
      </c>
    </row>
    <row r="937" spans="1:21">
      <c r="A937" s="10">
        <v>936</v>
      </c>
      <c r="B937" s="23">
        <v>40585</v>
      </c>
      <c r="C937" s="10">
        <v>1</v>
      </c>
      <c r="D937" s="10">
        <v>0</v>
      </c>
      <c r="E937" s="10">
        <v>2</v>
      </c>
      <c r="F937" s="10">
        <v>14</v>
      </c>
      <c r="G937" s="10" t="b">
        <v>0</v>
      </c>
      <c r="H937" s="10">
        <v>5</v>
      </c>
      <c r="I937" s="10" t="str">
        <f>IF(OR(Cleaned_datasetB[[#This Row],[Day_Code]]=0,Cleaned_datasetB[[#This Row],[Day_Code]]=6),"Weekend","Weekday")</f>
        <v>Weekday</v>
      </c>
      <c r="J937" s="10">
        <v>1</v>
      </c>
      <c r="K937" s="10">
        <v>0.3</v>
      </c>
      <c r="L937" s="51">
        <v>0.28789999999999999</v>
      </c>
      <c r="M937" s="10">
        <v>0.26</v>
      </c>
      <c r="N937" s="10">
        <v>0.25369999999999998</v>
      </c>
      <c r="O937" s="10">
        <v>17</v>
      </c>
      <c r="P937" s="10">
        <v>67</v>
      </c>
      <c r="Q937" s="10">
        <v>84</v>
      </c>
      <c r="R937" s="10" t="str">
        <f>VLOOKUP(Cleaned_datasetB[[#This Row],[Weather_Code]],Lookup_Tables!$E$9:$F$13,2,FALSE)</f>
        <v>Clear</v>
      </c>
      <c r="S937" s="10" t="str">
        <f>INDEX(Lookup_Tables!$I$10:$I$16,MATCH(Cleaned_datasetB[[#This Row],[Day_Code]],Lookup_Tables!$H$10:$H$16,0))</f>
        <v>Friday</v>
      </c>
      <c r="T937" s="10" t="str">
        <f>VLOOKUP(Cleaned_datasetB[[#This Row],[Month]], Lookup_Tables!$K$8:$L$19, 2, FALSE)</f>
        <v>February</v>
      </c>
      <c r="U937" s="10" t="str">
        <f>IF(AND(Cleaned_datasetB[[#This Row],[Day_Type]]="Weekday",Cleaned_datasetB[[#This Row],[Is_Holiday]]=FALSE),"Working Day","Non-Working Day")</f>
        <v>Working Day</v>
      </c>
    </row>
    <row r="938" spans="1:21">
      <c r="A938" s="10">
        <v>937</v>
      </c>
      <c r="B938" s="23">
        <v>40585</v>
      </c>
      <c r="C938" s="10">
        <v>1</v>
      </c>
      <c r="D938" s="10">
        <v>0</v>
      </c>
      <c r="E938" s="10">
        <v>2</v>
      </c>
      <c r="F938" s="10">
        <v>15</v>
      </c>
      <c r="G938" s="10" t="b">
        <v>0</v>
      </c>
      <c r="H938" s="10">
        <v>5</v>
      </c>
      <c r="I938" s="10" t="str">
        <f>IF(OR(Cleaned_datasetB[[#This Row],[Day_Code]]=0,Cleaned_datasetB[[#This Row],[Day_Code]]=6),"Weekend","Weekday")</f>
        <v>Weekday</v>
      </c>
      <c r="J938" s="10">
        <v>1</v>
      </c>
      <c r="K938" s="10">
        <v>0.32</v>
      </c>
      <c r="L938" s="51">
        <v>0.31819999999999998</v>
      </c>
      <c r="M938" s="10">
        <v>0.21</v>
      </c>
      <c r="N938" s="10">
        <v>0.16420000000000001</v>
      </c>
      <c r="O938" s="10">
        <v>12</v>
      </c>
      <c r="P938" s="10">
        <v>62</v>
      </c>
      <c r="Q938" s="10">
        <v>74</v>
      </c>
      <c r="R938" s="10" t="str">
        <f>VLOOKUP(Cleaned_datasetB[[#This Row],[Weather_Code]],Lookup_Tables!$E$9:$F$13,2,FALSE)</f>
        <v>Clear</v>
      </c>
      <c r="S938" s="10" t="str">
        <f>INDEX(Lookup_Tables!$I$10:$I$16,MATCH(Cleaned_datasetB[[#This Row],[Day_Code]],Lookup_Tables!$H$10:$H$16,0))</f>
        <v>Friday</v>
      </c>
      <c r="T938" s="10" t="str">
        <f>VLOOKUP(Cleaned_datasetB[[#This Row],[Month]], Lookup_Tables!$K$8:$L$19, 2, FALSE)</f>
        <v>February</v>
      </c>
      <c r="U938" s="10" t="str">
        <f>IF(AND(Cleaned_datasetB[[#This Row],[Day_Type]]="Weekday",Cleaned_datasetB[[#This Row],[Is_Holiday]]=FALSE),"Working Day","Non-Working Day")</f>
        <v>Working Day</v>
      </c>
    </row>
    <row r="939" spans="1:21">
      <c r="A939" s="10">
        <v>938</v>
      </c>
      <c r="B939" s="23">
        <v>40585</v>
      </c>
      <c r="C939" s="10">
        <v>1</v>
      </c>
      <c r="D939" s="10">
        <v>0</v>
      </c>
      <c r="E939" s="10">
        <v>2</v>
      </c>
      <c r="F939" s="10">
        <v>16</v>
      </c>
      <c r="G939" s="10" t="b">
        <v>0</v>
      </c>
      <c r="H939" s="10">
        <v>5</v>
      </c>
      <c r="I939" s="10" t="str">
        <f>IF(OR(Cleaned_datasetB[[#This Row],[Day_Code]]=0,Cleaned_datasetB[[#This Row],[Day_Code]]=6),"Weekend","Weekday")</f>
        <v>Weekday</v>
      </c>
      <c r="J939" s="10">
        <v>1</v>
      </c>
      <c r="K939" s="10">
        <v>0.3</v>
      </c>
      <c r="L939" s="51">
        <v>0.28789999999999999</v>
      </c>
      <c r="M939" s="10">
        <v>0.28000000000000003</v>
      </c>
      <c r="N939" s="10">
        <v>0.19400000000000001</v>
      </c>
      <c r="O939" s="10">
        <v>14</v>
      </c>
      <c r="P939" s="10">
        <v>111</v>
      </c>
      <c r="Q939" s="10">
        <v>125</v>
      </c>
      <c r="R939" s="10" t="str">
        <f>VLOOKUP(Cleaned_datasetB[[#This Row],[Weather_Code]],Lookup_Tables!$E$9:$F$13,2,FALSE)</f>
        <v>Clear</v>
      </c>
      <c r="S939" s="10" t="str">
        <f>INDEX(Lookup_Tables!$I$10:$I$16,MATCH(Cleaned_datasetB[[#This Row],[Day_Code]],Lookup_Tables!$H$10:$H$16,0))</f>
        <v>Friday</v>
      </c>
      <c r="T939" s="10" t="str">
        <f>VLOOKUP(Cleaned_datasetB[[#This Row],[Month]], Lookup_Tables!$K$8:$L$19, 2, FALSE)</f>
        <v>February</v>
      </c>
      <c r="U939" s="10" t="str">
        <f>IF(AND(Cleaned_datasetB[[#This Row],[Day_Type]]="Weekday",Cleaned_datasetB[[#This Row],[Is_Holiday]]=FALSE),"Working Day","Non-Working Day")</f>
        <v>Working Day</v>
      </c>
    </row>
    <row r="940" spans="1:21">
      <c r="A940" s="10">
        <v>939</v>
      </c>
      <c r="B940" s="23">
        <v>40585</v>
      </c>
      <c r="C940" s="10">
        <v>1</v>
      </c>
      <c r="D940" s="10">
        <v>0</v>
      </c>
      <c r="E940" s="10">
        <v>2</v>
      </c>
      <c r="F940" s="10">
        <v>17</v>
      </c>
      <c r="G940" s="10" t="b">
        <v>0</v>
      </c>
      <c r="H940" s="10">
        <v>5</v>
      </c>
      <c r="I940" s="10" t="str">
        <f>IF(OR(Cleaned_datasetB[[#This Row],[Day_Code]]=0,Cleaned_datasetB[[#This Row],[Day_Code]]=6),"Weekend","Weekday")</f>
        <v>Weekday</v>
      </c>
      <c r="J940" s="10">
        <v>1</v>
      </c>
      <c r="K940" s="10">
        <v>0.3</v>
      </c>
      <c r="L940" s="51">
        <v>0.33329999999999999</v>
      </c>
      <c r="M940" s="10">
        <v>0.24</v>
      </c>
      <c r="N940" s="10">
        <v>0</v>
      </c>
      <c r="O940" s="10">
        <v>18</v>
      </c>
      <c r="P940" s="10">
        <v>193</v>
      </c>
      <c r="Q940" s="10">
        <v>211</v>
      </c>
      <c r="R940" s="10" t="str">
        <f>VLOOKUP(Cleaned_datasetB[[#This Row],[Weather_Code]],Lookup_Tables!$E$9:$F$13,2,FALSE)</f>
        <v>Clear</v>
      </c>
      <c r="S940" s="10" t="str">
        <f>INDEX(Lookup_Tables!$I$10:$I$16,MATCH(Cleaned_datasetB[[#This Row],[Day_Code]],Lookup_Tables!$H$10:$H$16,0))</f>
        <v>Friday</v>
      </c>
      <c r="T940" s="10" t="str">
        <f>VLOOKUP(Cleaned_datasetB[[#This Row],[Month]], Lookup_Tables!$K$8:$L$19, 2, FALSE)</f>
        <v>February</v>
      </c>
      <c r="U940" s="10" t="str">
        <f>IF(AND(Cleaned_datasetB[[#This Row],[Day_Type]]="Weekday",Cleaned_datasetB[[#This Row],[Is_Holiday]]=FALSE),"Working Day","Non-Working Day")</f>
        <v>Working Day</v>
      </c>
    </row>
    <row r="941" spans="1:21">
      <c r="A941" s="10">
        <v>940</v>
      </c>
      <c r="B941" s="23">
        <v>40585</v>
      </c>
      <c r="C941" s="10">
        <v>1</v>
      </c>
      <c r="D941" s="10">
        <v>0</v>
      </c>
      <c r="E941" s="10">
        <v>2</v>
      </c>
      <c r="F941" s="10">
        <v>18</v>
      </c>
      <c r="G941" s="10" t="b">
        <v>0</v>
      </c>
      <c r="H941" s="10">
        <v>5</v>
      </c>
      <c r="I941" s="10" t="str">
        <f>IF(OR(Cleaned_datasetB[[#This Row],[Day_Code]]=0,Cleaned_datasetB[[#This Row],[Day_Code]]=6),"Weekend","Weekday")</f>
        <v>Weekday</v>
      </c>
      <c r="J941" s="10">
        <v>1</v>
      </c>
      <c r="K941" s="10">
        <v>0.28000000000000003</v>
      </c>
      <c r="L941" s="51">
        <v>0.31819999999999998</v>
      </c>
      <c r="M941" s="10">
        <v>0.28000000000000003</v>
      </c>
      <c r="N941" s="10">
        <v>0</v>
      </c>
      <c r="O941" s="10">
        <v>9</v>
      </c>
      <c r="P941" s="10">
        <v>165</v>
      </c>
      <c r="Q941" s="10">
        <v>174</v>
      </c>
      <c r="R941" s="10" t="str">
        <f>VLOOKUP(Cleaned_datasetB[[#This Row],[Weather_Code]],Lookup_Tables!$E$9:$F$13,2,FALSE)</f>
        <v>Clear</v>
      </c>
      <c r="S941" s="10" t="str">
        <f>INDEX(Lookup_Tables!$I$10:$I$16,MATCH(Cleaned_datasetB[[#This Row],[Day_Code]],Lookup_Tables!$H$10:$H$16,0))</f>
        <v>Friday</v>
      </c>
      <c r="T941" s="10" t="str">
        <f>VLOOKUP(Cleaned_datasetB[[#This Row],[Month]], Lookup_Tables!$K$8:$L$19, 2, FALSE)</f>
        <v>February</v>
      </c>
      <c r="U941" s="10" t="str">
        <f>IF(AND(Cleaned_datasetB[[#This Row],[Day_Type]]="Weekday",Cleaned_datasetB[[#This Row],[Is_Holiday]]=FALSE),"Working Day","Non-Working Day")</f>
        <v>Working Day</v>
      </c>
    </row>
    <row r="942" spans="1:21">
      <c r="A942" s="10">
        <v>941</v>
      </c>
      <c r="B942" s="23">
        <v>40585</v>
      </c>
      <c r="C942" s="10">
        <v>1</v>
      </c>
      <c r="D942" s="10">
        <v>0</v>
      </c>
      <c r="E942" s="10">
        <v>2</v>
      </c>
      <c r="F942" s="10">
        <v>19</v>
      </c>
      <c r="G942" s="10" t="b">
        <v>0</v>
      </c>
      <c r="H942" s="10">
        <v>5</v>
      </c>
      <c r="I942" s="10" t="str">
        <f>IF(OR(Cleaned_datasetB[[#This Row],[Day_Code]]=0,Cleaned_datasetB[[#This Row],[Day_Code]]=6),"Weekend","Weekday")</f>
        <v>Weekday</v>
      </c>
      <c r="J942" s="10">
        <v>1</v>
      </c>
      <c r="K942" s="10">
        <v>0.26</v>
      </c>
      <c r="L942" s="51">
        <v>0.30299999999999999</v>
      </c>
      <c r="M942" s="10">
        <v>0.33</v>
      </c>
      <c r="N942" s="10">
        <v>0</v>
      </c>
      <c r="O942" s="10">
        <v>7</v>
      </c>
      <c r="P942" s="10">
        <v>94</v>
      </c>
      <c r="Q942" s="10">
        <v>101</v>
      </c>
      <c r="R942" s="10" t="str">
        <f>VLOOKUP(Cleaned_datasetB[[#This Row],[Weather_Code]],Lookup_Tables!$E$9:$F$13,2,FALSE)</f>
        <v>Clear</v>
      </c>
      <c r="S942" s="10" t="str">
        <f>INDEX(Lookup_Tables!$I$10:$I$16,MATCH(Cleaned_datasetB[[#This Row],[Day_Code]],Lookup_Tables!$H$10:$H$16,0))</f>
        <v>Friday</v>
      </c>
      <c r="T942" s="10" t="str">
        <f>VLOOKUP(Cleaned_datasetB[[#This Row],[Month]], Lookup_Tables!$K$8:$L$19, 2, FALSE)</f>
        <v>February</v>
      </c>
      <c r="U942" s="10" t="str">
        <f>IF(AND(Cleaned_datasetB[[#This Row],[Day_Type]]="Weekday",Cleaned_datasetB[[#This Row],[Is_Holiday]]=FALSE),"Working Day","Non-Working Day")</f>
        <v>Working Day</v>
      </c>
    </row>
    <row r="943" spans="1:21">
      <c r="A943" s="10">
        <v>942</v>
      </c>
      <c r="B943" s="23">
        <v>40585</v>
      </c>
      <c r="C943" s="10">
        <v>1</v>
      </c>
      <c r="D943" s="10">
        <v>0</v>
      </c>
      <c r="E943" s="10">
        <v>2</v>
      </c>
      <c r="F943" s="10">
        <v>20</v>
      </c>
      <c r="G943" s="10" t="b">
        <v>0</v>
      </c>
      <c r="H943" s="10">
        <v>5</v>
      </c>
      <c r="I943" s="10" t="str">
        <f>IF(OR(Cleaned_datasetB[[#This Row],[Day_Code]]=0,Cleaned_datasetB[[#This Row],[Day_Code]]=6),"Weekend","Weekday")</f>
        <v>Weekday</v>
      </c>
      <c r="J943" s="10">
        <v>1</v>
      </c>
      <c r="K943" s="10">
        <v>0.22</v>
      </c>
      <c r="L943" s="51">
        <v>0.2273</v>
      </c>
      <c r="M943" s="10">
        <v>0.55000000000000004</v>
      </c>
      <c r="N943" s="10">
        <v>0.1343</v>
      </c>
      <c r="O943" s="10">
        <v>2</v>
      </c>
      <c r="P943" s="10">
        <v>61</v>
      </c>
      <c r="Q943" s="10">
        <v>63</v>
      </c>
      <c r="R943" s="10" t="str">
        <f>VLOOKUP(Cleaned_datasetB[[#This Row],[Weather_Code]],Lookup_Tables!$E$9:$F$13,2,FALSE)</f>
        <v>Clear</v>
      </c>
      <c r="S943" s="10" t="str">
        <f>INDEX(Lookup_Tables!$I$10:$I$16,MATCH(Cleaned_datasetB[[#This Row],[Day_Code]],Lookup_Tables!$H$10:$H$16,0))</f>
        <v>Friday</v>
      </c>
      <c r="T943" s="10" t="str">
        <f>VLOOKUP(Cleaned_datasetB[[#This Row],[Month]], Lookup_Tables!$K$8:$L$19, 2, FALSE)</f>
        <v>February</v>
      </c>
      <c r="U943" s="10" t="str">
        <f>IF(AND(Cleaned_datasetB[[#This Row],[Day_Type]]="Weekday",Cleaned_datasetB[[#This Row],[Is_Holiday]]=FALSE),"Working Day","Non-Working Day")</f>
        <v>Working Day</v>
      </c>
    </row>
    <row r="944" spans="1:21">
      <c r="A944" s="10">
        <v>943</v>
      </c>
      <c r="B944" s="23">
        <v>40585</v>
      </c>
      <c r="C944" s="10">
        <v>1</v>
      </c>
      <c r="D944" s="10">
        <v>0</v>
      </c>
      <c r="E944" s="10">
        <v>2</v>
      </c>
      <c r="F944" s="10">
        <v>21</v>
      </c>
      <c r="G944" s="10" t="b">
        <v>0</v>
      </c>
      <c r="H944" s="10">
        <v>5</v>
      </c>
      <c r="I944" s="10" t="str">
        <f>IF(OR(Cleaned_datasetB[[#This Row],[Day_Code]]=0,Cleaned_datasetB[[#This Row],[Day_Code]]=6),"Weekend","Weekday")</f>
        <v>Weekday</v>
      </c>
      <c r="J944" s="10">
        <v>1</v>
      </c>
      <c r="K944" s="10">
        <v>0.2</v>
      </c>
      <c r="L944" s="51">
        <v>0.21210000000000001</v>
      </c>
      <c r="M944" s="10">
        <v>0.59</v>
      </c>
      <c r="N944" s="10">
        <v>0.1343</v>
      </c>
      <c r="O944" s="10">
        <v>1</v>
      </c>
      <c r="P944" s="10">
        <v>46</v>
      </c>
      <c r="Q944" s="10">
        <v>47</v>
      </c>
      <c r="R944" s="10" t="str">
        <f>VLOOKUP(Cleaned_datasetB[[#This Row],[Weather_Code]],Lookup_Tables!$E$9:$F$13,2,FALSE)</f>
        <v>Clear</v>
      </c>
      <c r="S944" s="10" t="str">
        <f>INDEX(Lookup_Tables!$I$10:$I$16,MATCH(Cleaned_datasetB[[#This Row],[Day_Code]],Lookup_Tables!$H$10:$H$16,0))</f>
        <v>Friday</v>
      </c>
      <c r="T944" s="10" t="str">
        <f>VLOOKUP(Cleaned_datasetB[[#This Row],[Month]], Lookup_Tables!$K$8:$L$19, 2, FALSE)</f>
        <v>February</v>
      </c>
      <c r="U944" s="10" t="str">
        <f>IF(AND(Cleaned_datasetB[[#This Row],[Day_Type]]="Weekday",Cleaned_datasetB[[#This Row],[Is_Holiday]]=FALSE),"Working Day","Non-Working Day")</f>
        <v>Working Day</v>
      </c>
    </row>
    <row r="945" spans="1:21">
      <c r="A945" s="10">
        <v>944</v>
      </c>
      <c r="B945" s="23">
        <v>40585</v>
      </c>
      <c r="C945" s="10">
        <v>1</v>
      </c>
      <c r="D945" s="10">
        <v>0</v>
      </c>
      <c r="E945" s="10">
        <v>2</v>
      </c>
      <c r="F945" s="10">
        <v>22</v>
      </c>
      <c r="G945" s="10" t="b">
        <v>0</v>
      </c>
      <c r="H945" s="10">
        <v>5</v>
      </c>
      <c r="I945" s="10" t="str">
        <f>IF(OR(Cleaned_datasetB[[#This Row],[Day_Code]]=0,Cleaned_datasetB[[#This Row],[Day_Code]]=6),"Weekend","Weekday")</f>
        <v>Weekday</v>
      </c>
      <c r="J945" s="10">
        <v>1</v>
      </c>
      <c r="K945" s="10">
        <v>0.2</v>
      </c>
      <c r="L945" s="51">
        <v>0.2273</v>
      </c>
      <c r="M945" s="10">
        <v>0.64</v>
      </c>
      <c r="N945" s="10">
        <v>8.9599999999999999E-2</v>
      </c>
      <c r="O945" s="10">
        <v>2</v>
      </c>
      <c r="P945" s="10">
        <v>41</v>
      </c>
      <c r="Q945" s="10">
        <v>43</v>
      </c>
      <c r="R945" s="10" t="str">
        <f>VLOOKUP(Cleaned_datasetB[[#This Row],[Weather_Code]],Lookup_Tables!$E$9:$F$13,2,FALSE)</f>
        <v>Clear</v>
      </c>
      <c r="S945" s="10" t="str">
        <f>INDEX(Lookup_Tables!$I$10:$I$16,MATCH(Cleaned_datasetB[[#This Row],[Day_Code]],Lookup_Tables!$H$10:$H$16,0))</f>
        <v>Friday</v>
      </c>
      <c r="T945" s="10" t="str">
        <f>VLOOKUP(Cleaned_datasetB[[#This Row],[Month]], Lookup_Tables!$K$8:$L$19, 2, FALSE)</f>
        <v>February</v>
      </c>
      <c r="U945" s="10" t="str">
        <f>IF(AND(Cleaned_datasetB[[#This Row],[Day_Type]]="Weekday",Cleaned_datasetB[[#This Row],[Is_Holiday]]=FALSE),"Working Day","Non-Working Day")</f>
        <v>Working Day</v>
      </c>
    </row>
    <row r="946" spans="1:21">
      <c r="A946" s="10">
        <v>945</v>
      </c>
      <c r="B946" s="23">
        <v>40585</v>
      </c>
      <c r="C946" s="10">
        <v>1</v>
      </c>
      <c r="D946" s="10">
        <v>0</v>
      </c>
      <c r="E946" s="10">
        <v>2</v>
      </c>
      <c r="F946" s="10">
        <v>23</v>
      </c>
      <c r="G946" s="10" t="b">
        <v>0</v>
      </c>
      <c r="H946" s="10">
        <v>5</v>
      </c>
      <c r="I946" s="10" t="str">
        <f>IF(OR(Cleaned_datasetB[[#This Row],[Day_Code]]=0,Cleaned_datasetB[[#This Row],[Day_Code]]=6),"Weekend","Weekday")</f>
        <v>Weekday</v>
      </c>
      <c r="J946" s="10">
        <v>1</v>
      </c>
      <c r="K946" s="10">
        <v>0.18</v>
      </c>
      <c r="L946" s="51">
        <v>0.2424</v>
      </c>
      <c r="M946" s="10">
        <v>0.69</v>
      </c>
      <c r="N946" s="10">
        <v>0</v>
      </c>
      <c r="O946" s="10">
        <v>5</v>
      </c>
      <c r="P946" s="10">
        <v>48</v>
      </c>
      <c r="Q946" s="10">
        <v>53</v>
      </c>
      <c r="R946" s="10" t="str">
        <f>VLOOKUP(Cleaned_datasetB[[#This Row],[Weather_Code]],Lookup_Tables!$E$9:$F$13,2,FALSE)</f>
        <v>Clear</v>
      </c>
      <c r="S946" s="10" t="str">
        <f>INDEX(Lookup_Tables!$I$10:$I$16,MATCH(Cleaned_datasetB[[#This Row],[Day_Code]],Lookup_Tables!$H$10:$H$16,0))</f>
        <v>Friday</v>
      </c>
      <c r="T946" s="10" t="str">
        <f>VLOOKUP(Cleaned_datasetB[[#This Row],[Month]], Lookup_Tables!$K$8:$L$19, 2, FALSE)</f>
        <v>February</v>
      </c>
      <c r="U946" s="10" t="str">
        <f>IF(AND(Cleaned_datasetB[[#This Row],[Day_Type]]="Weekday",Cleaned_datasetB[[#This Row],[Is_Holiday]]=FALSE),"Working Day","Non-Working Day")</f>
        <v>Working Day</v>
      </c>
    </row>
    <row r="947" spans="1:21">
      <c r="A947" s="10">
        <v>946</v>
      </c>
      <c r="B947" s="23">
        <v>40586</v>
      </c>
      <c r="C947" s="10">
        <v>1</v>
      </c>
      <c r="D947" s="10">
        <v>0</v>
      </c>
      <c r="E947" s="10">
        <v>2</v>
      </c>
      <c r="F947" s="10">
        <v>0</v>
      </c>
      <c r="G947" s="10" t="b">
        <v>0</v>
      </c>
      <c r="H947" s="10">
        <v>6</v>
      </c>
      <c r="I947" s="10" t="str">
        <f>IF(OR(Cleaned_datasetB[[#This Row],[Day_Code]]=0,Cleaned_datasetB[[#This Row],[Day_Code]]=6),"Weekend","Weekday")</f>
        <v>Weekend</v>
      </c>
      <c r="J947" s="10">
        <v>1</v>
      </c>
      <c r="K947" s="10">
        <v>0.16</v>
      </c>
      <c r="L947" s="51">
        <v>0.19700000000000001</v>
      </c>
      <c r="M947" s="10">
        <v>0.69</v>
      </c>
      <c r="N947" s="10">
        <v>8.9599999999999999E-2</v>
      </c>
      <c r="O947" s="10">
        <v>3</v>
      </c>
      <c r="P947" s="10">
        <v>27</v>
      </c>
      <c r="Q947" s="10">
        <v>30</v>
      </c>
      <c r="R947" s="10" t="str">
        <f>VLOOKUP(Cleaned_datasetB[[#This Row],[Weather_Code]],Lookup_Tables!$E$9:$F$13,2,FALSE)</f>
        <v>Clear</v>
      </c>
      <c r="S947" s="10" t="str">
        <f>INDEX(Lookup_Tables!$I$10:$I$16,MATCH(Cleaned_datasetB[[#This Row],[Day_Code]],Lookup_Tables!$H$10:$H$16,0))</f>
        <v>Saturday</v>
      </c>
      <c r="T947" s="10" t="str">
        <f>VLOOKUP(Cleaned_datasetB[[#This Row],[Month]], Lookup_Tables!$K$8:$L$19, 2, FALSE)</f>
        <v>February</v>
      </c>
      <c r="U947" s="10" t="str">
        <f>IF(AND(Cleaned_datasetB[[#This Row],[Day_Type]]="Weekday",Cleaned_datasetB[[#This Row],[Is_Holiday]]=FALSE),"Working Day","Non-Working Day")</f>
        <v>Non-Working Day</v>
      </c>
    </row>
    <row r="948" spans="1:21">
      <c r="A948" s="10">
        <v>947</v>
      </c>
      <c r="B948" s="23">
        <v>40586</v>
      </c>
      <c r="C948" s="10">
        <v>1</v>
      </c>
      <c r="D948" s="10">
        <v>0</v>
      </c>
      <c r="E948" s="10">
        <v>2</v>
      </c>
      <c r="F948" s="10">
        <v>1</v>
      </c>
      <c r="G948" s="10" t="b">
        <v>0</v>
      </c>
      <c r="H948" s="10">
        <v>6</v>
      </c>
      <c r="I948" s="10" t="str">
        <f>IF(OR(Cleaned_datasetB[[#This Row],[Day_Code]]=0,Cleaned_datasetB[[#This Row],[Day_Code]]=6),"Weekend","Weekday")</f>
        <v>Weekend</v>
      </c>
      <c r="J948" s="10">
        <v>1</v>
      </c>
      <c r="K948" s="10">
        <v>0.14000000000000001</v>
      </c>
      <c r="L948" s="51">
        <v>0.21210000000000001</v>
      </c>
      <c r="M948" s="10">
        <v>0.86</v>
      </c>
      <c r="N948" s="10">
        <v>0</v>
      </c>
      <c r="O948" s="10">
        <v>2</v>
      </c>
      <c r="P948" s="10">
        <v>22</v>
      </c>
      <c r="Q948" s="10">
        <v>24</v>
      </c>
      <c r="R948" s="10" t="str">
        <f>VLOOKUP(Cleaned_datasetB[[#This Row],[Weather_Code]],Lookup_Tables!$E$9:$F$13,2,FALSE)</f>
        <v>Clear</v>
      </c>
      <c r="S948" s="10" t="str">
        <f>INDEX(Lookup_Tables!$I$10:$I$16,MATCH(Cleaned_datasetB[[#This Row],[Day_Code]],Lookup_Tables!$H$10:$H$16,0))</f>
        <v>Saturday</v>
      </c>
      <c r="T948" s="10" t="str">
        <f>VLOOKUP(Cleaned_datasetB[[#This Row],[Month]], Lookup_Tables!$K$8:$L$19, 2, FALSE)</f>
        <v>February</v>
      </c>
      <c r="U948" s="10" t="str">
        <f>IF(AND(Cleaned_datasetB[[#This Row],[Day_Type]]="Weekday",Cleaned_datasetB[[#This Row],[Is_Holiday]]=FALSE),"Working Day","Non-Working Day")</f>
        <v>Non-Working Day</v>
      </c>
    </row>
    <row r="949" spans="1:21">
      <c r="A949" s="10">
        <v>948</v>
      </c>
      <c r="B949" s="23">
        <v>40586</v>
      </c>
      <c r="C949" s="10">
        <v>1</v>
      </c>
      <c r="D949" s="10">
        <v>0</v>
      </c>
      <c r="E949" s="10">
        <v>2</v>
      </c>
      <c r="F949" s="10">
        <v>2</v>
      </c>
      <c r="G949" s="10" t="b">
        <v>0</v>
      </c>
      <c r="H949" s="10">
        <v>6</v>
      </c>
      <c r="I949" s="10" t="str">
        <f>IF(OR(Cleaned_datasetB[[#This Row],[Day_Code]]=0,Cleaned_datasetB[[#This Row],[Day_Code]]=6),"Weekend","Weekday")</f>
        <v>Weekend</v>
      </c>
      <c r="J949" s="10">
        <v>1</v>
      </c>
      <c r="K949" s="10">
        <v>0.14000000000000001</v>
      </c>
      <c r="L949" s="51">
        <v>0.21210000000000001</v>
      </c>
      <c r="M949" s="10">
        <v>0.8</v>
      </c>
      <c r="N949" s="10">
        <v>0</v>
      </c>
      <c r="O949" s="10">
        <v>2</v>
      </c>
      <c r="P949" s="10">
        <v>13</v>
      </c>
      <c r="Q949" s="10">
        <v>15</v>
      </c>
      <c r="R949" s="10" t="str">
        <f>VLOOKUP(Cleaned_datasetB[[#This Row],[Weather_Code]],Lookup_Tables!$E$9:$F$13,2,FALSE)</f>
        <v>Clear</v>
      </c>
      <c r="S949" s="10" t="str">
        <f>INDEX(Lookup_Tables!$I$10:$I$16,MATCH(Cleaned_datasetB[[#This Row],[Day_Code]],Lookup_Tables!$H$10:$H$16,0))</f>
        <v>Saturday</v>
      </c>
      <c r="T949" s="10" t="str">
        <f>VLOOKUP(Cleaned_datasetB[[#This Row],[Month]], Lookup_Tables!$K$8:$L$19, 2, FALSE)</f>
        <v>February</v>
      </c>
      <c r="U949" s="10" t="str">
        <f>IF(AND(Cleaned_datasetB[[#This Row],[Day_Type]]="Weekday",Cleaned_datasetB[[#This Row],[Is_Holiday]]=FALSE),"Working Day","Non-Working Day")</f>
        <v>Non-Working Day</v>
      </c>
    </row>
    <row r="950" spans="1:21">
      <c r="A950" s="10">
        <v>949</v>
      </c>
      <c r="B950" s="23">
        <v>40586</v>
      </c>
      <c r="C950" s="10">
        <v>1</v>
      </c>
      <c r="D950" s="10">
        <v>0</v>
      </c>
      <c r="E950" s="10">
        <v>2</v>
      </c>
      <c r="F950" s="10">
        <v>3</v>
      </c>
      <c r="G950" s="10" t="b">
        <v>0</v>
      </c>
      <c r="H950" s="10">
        <v>6</v>
      </c>
      <c r="I950" s="10" t="str">
        <f>IF(OR(Cleaned_datasetB[[#This Row],[Day_Code]]=0,Cleaned_datasetB[[#This Row],[Day_Code]]=6),"Weekend","Weekday")</f>
        <v>Weekend</v>
      </c>
      <c r="J950" s="10">
        <v>1</v>
      </c>
      <c r="K950" s="10">
        <v>0.12</v>
      </c>
      <c r="L950" s="51">
        <v>0.19700000000000001</v>
      </c>
      <c r="M950" s="10">
        <v>0.8</v>
      </c>
      <c r="N950" s="10">
        <v>0</v>
      </c>
      <c r="O950" s="10">
        <v>3</v>
      </c>
      <c r="P950" s="10">
        <v>7</v>
      </c>
      <c r="Q950" s="10">
        <v>10</v>
      </c>
      <c r="R950" s="10" t="str">
        <f>VLOOKUP(Cleaned_datasetB[[#This Row],[Weather_Code]],Lookup_Tables!$E$9:$F$13,2,FALSE)</f>
        <v>Clear</v>
      </c>
      <c r="S950" s="10" t="str">
        <f>INDEX(Lookup_Tables!$I$10:$I$16,MATCH(Cleaned_datasetB[[#This Row],[Day_Code]],Lookup_Tables!$H$10:$H$16,0))</f>
        <v>Saturday</v>
      </c>
      <c r="T950" s="10" t="str">
        <f>VLOOKUP(Cleaned_datasetB[[#This Row],[Month]], Lookup_Tables!$K$8:$L$19, 2, FALSE)</f>
        <v>February</v>
      </c>
      <c r="U950" s="10" t="str">
        <f>IF(AND(Cleaned_datasetB[[#This Row],[Day_Type]]="Weekday",Cleaned_datasetB[[#This Row],[Is_Holiday]]=FALSE),"Working Day","Non-Working Day")</f>
        <v>Non-Working Day</v>
      </c>
    </row>
    <row r="951" spans="1:21">
      <c r="A951" s="10">
        <v>950</v>
      </c>
      <c r="B951" s="23">
        <v>40586</v>
      </c>
      <c r="C951" s="10">
        <v>1</v>
      </c>
      <c r="D951" s="10">
        <v>0</v>
      </c>
      <c r="E951" s="10">
        <v>2</v>
      </c>
      <c r="F951" s="10">
        <v>4</v>
      </c>
      <c r="G951" s="10" t="b">
        <v>0</v>
      </c>
      <c r="H951" s="10">
        <v>6</v>
      </c>
      <c r="I951" s="10" t="str">
        <f>IF(OR(Cleaned_datasetB[[#This Row],[Day_Code]]=0,Cleaned_datasetB[[#This Row],[Day_Code]]=6),"Weekend","Weekday")</f>
        <v>Weekend</v>
      </c>
      <c r="J951" s="10">
        <v>1</v>
      </c>
      <c r="K951" s="10">
        <v>0.12</v>
      </c>
      <c r="L951" s="51">
        <v>0.16669999999999999</v>
      </c>
      <c r="M951" s="10">
        <v>0.74</v>
      </c>
      <c r="N951" s="10">
        <v>8.9599999999999999E-2</v>
      </c>
      <c r="O951" s="10">
        <v>0</v>
      </c>
      <c r="P951" s="10">
        <v>4</v>
      </c>
      <c r="Q951" s="10">
        <v>4</v>
      </c>
      <c r="R951" s="10" t="str">
        <f>VLOOKUP(Cleaned_datasetB[[#This Row],[Weather_Code]],Lookup_Tables!$E$9:$F$13,2,FALSE)</f>
        <v>Clear</v>
      </c>
      <c r="S951" s="10" t="str">
        <f>INDEX(Lookup_Tables!$I$10:$I$16,MATCH(Cleaned_datasetB[[#This Row],[Day_Code]],Lookup_Tables!$H$10:$H$16,0))</f>
        <v>Saturday</v>
      </c>
      <c r="T951" s="10" t="str">
        <f>VLOOKUP(Cleaned_datasetB[[#This Row],[Month]], Lookup_Tables!$K$8:$L$19, 2, FALSE)</f>
        <v>February</v>
      </c>
      <c r="U951" s="10" t="str">
        <f>IF(AND(Cleaned_datasetB[[#This Row],[Day_Type]]="Weekday",Cleaned_datasetB[[#This Row],[Is_Holiday]]=FALSE),"Working Day","Non-Working Day")</f>
        <v>Non-Working Day</v>
      </c>
    </row>
    <row r="952" spans="1:21">
      <c r="A952" s="10">
        <v>951</v>
      </c>
      <c r="B952" s="23">
        <v>40586</v>
      </c>
      <c r="C952" s="10">
        <v>1</v>
      </c>
      <c r="D952" s="10">
        <v>0</v>
      </c>
      <c r="E952" s="10">
        <v>2</v>
      </c>
      <c r="F952" s="10">
        <v>5</v>
      </c>
      <c r="G952" s="10" t="b">
        <v>0</v>
      </c>
      <c r="H952" s="10">
        <v>6</v>
      </c>
      <c r="I952" s="10" t="str">
        <f>IF(OR(Cleaned_datasetB[[#This Row],[Day_Code]]=0,Cleaned_datasetB[[#This Row],[Day_Code]]=6),"Weekend","Weekday")</f>
        <v>Weekend</v>
      </c>
      <c r="J952" s="10">
        <v>1</v>
      </c>
      <c r="K952" s="10">
        <v>0.12</v>
      </c>
      <c r="L952" s="51">
        <v>0.16669999999999999</v>
      </c>
      <c r="M952" s="10">
        <v>0.74</v>
      </c>
      <c r="N952" s="10">
        <v>8.9599999999999999E-2</v>
      </c>
      <c r="O952" s="10">
        <v>0</v>
      </c>
      <c r="P952" s="10">
        <v>1</v>
      </c>
      <c r="Q952" s="10">
        <v>1</v>
      </c>
      <c r="R952" s="10" t="str">
        <f>VLOOKUP(Cleaned_datasetB[[#This Row],[Weather_Code]],Lookup_Tables!$E$9:$F$13,2,FALSE)</f>
        <v>Clear</v>
      </c>
      <c r="S952" s="10" t="str">
        <f>INDEX(Lookup_Tables!$I$10:$I$16,MATCH(Cleaned_datasetB[[#This Row],[Day_Code]],Lookup_Tables!$H$10:$H$16,0))</f>
        <v>Saturday</v>
      </c>
      <c r="T952" s="10" t="str">
        <f>VLOOKUP(Cleaned_datasetB[[#This Row],[Month]], Lookup_Tables!$K$8:$L$19, 2, FALSE)</f>
        <v>February</v>
      </c>
      <c r="U952" s="10" t="str">
        <f>IF(AND(Cleaned_datasetB[[#This Row],[Day_Type]]="Weekday",Cleaned_datasetB[[#This Row],[Is_Holiday]]=FALSE),"Working Day","Non-Working Day")</f>
        <v>Non-Working Day</v>
      </c>
    </row>
    <row r="953" spans="1:21">
      <c r="A953" s="10">
        <v>952</v>
      </c>
      <c r="B953" s="23">
        <v>40586</v>
      </c>
      <c r="C953" s="10">
        <v>1</v>
      </c>
      <c r="D953" s="10">
        <v>0</v>
      </c>
      <c r="E953" s="10">
        <v>2</v>
      </c>
      <c r="F953" s="10">
        <v>6</v>
      </c>
      <c r="G953" s="10" t="b">
        <v>0</v>
      </c>
      <c r="H953" s="10">
        <v>6</v>
      </c>
      <c r="I953" s="10" t="str">
        <f>IF(OR(Cleaned_datasetB[[#This Row],[Day_Code]]=0,Cleaned_datasetB[[#This Row],[Day_Code]]=6),"Weekend","Weekday")</f>
        <v>Weekend</v>
      </c>
      <c r="J953" s="10">
        <v>1</v>
      </c>
      <c r="K953" s="10">
        <v>0.12</v>
      </c>
      <c r="L953" s="51">
        <v>0.13639999999999999</v>
      </c>
      <c r="M953" s="10">
        <v>0.93</v>
      </c>
      <c r="N953" s="10">
        <v>0.19400000000000001</v>
      </c>
      <c r="O953" s="10">
        <v>1</v>
      </c>
      <c r="P953" s="10">
        <v>1</v>
      </c>
      <c r="Q953" s="10">
        <v>2</v>
      </c>
      <c r="R953" s="10" t="str">
        <f>VLOOKUP(Cleaned_datasetB[[#This Row],[Weather_Code]],Lookup_Tables!$E$9:$F$13,2,FALSE)</f>
        <v>Clear</v>
      </c>
      <c r="S953" s="10" t="str">
        <f>INDEX(Lookup_Tables!$I$10:$I$16,MATCH(Cleaned_datasetB[[#This Row],[Day_Code]],Lookup_Tables!$H$10:$H$16,0))</f>
        <v>Saturday</v>
      </c>
      <c r="T953" s="10" t="str">
        <f>VLOOKUP(Cleaned_datasetB[[#This Row],[Month]], Lookup_Tables!$K$8:$L$19, 2, FALSE)</f>
        <v>February</v>
      </c>
      <c r="U953" s="10" t="str">
        <f>IF(AND(Cleaned_datasetB[[#This Row],[Day_Type]]="Weekday",Cleaned_datasetB[[#This Row],[Is_Holiday]]=FALSE),"Working Day","Non-Working Day")</f>
        <v>Non-Working Day</v>
      </c>
    </row>
    <row r="954" spans="1:21">
      <c r="A954" s="10">
        <v>953</v>
      </c>
      <c r="B954" s="23">
        <v>40586</v>
      </c>
      <c r="C954" s="10">
        <v>1</v>
      </c>
      <c r="D954" s="10">
        <v>0</v>
      </c>
      <c r="E954" s="10">
        <v>2</v>
      </c>
      <c r="F954" s="10">
        <v>7</v>
      </c>
      <c r="G954" s="10" t="b">
        <v>0</v>
      </c>
      <c r="H954" s="10">
        <v>6</v>
      </c>
      <c r="I954" s="10" t="str">
        <f>IF(OR(Cleaned_datasetB[[#This Row],[Day_Code]]=0,Cleaned_datasetB[[#This Row],[Day_Code]]=6),"Weekend","Weekday")</f>
        <v>Weekend</v>
      </c>
      <c r="J954" s="10">
        <v>1</v>
      </c>
      <c r="K954" s="10">
        <v>0.12</v>
      </c>
      <c r="L954" s="51">
        <v>0.1515</v>
      </c>
      <c r="M954" s="10">
        <v>0.8</v>
      </c>
      <c r="N954" s="10">
        <v>0.1045</v>
      </c>
      <c r="O954" s="10">
        <v>2</v>
      </c>
      <c r="P954" s="10">
        <v>9</v>
      </c>
      <c r="Q954" s="10">
        <v>11</v>
      </c>
      <c r="R954" s="10" t="str">
        <f>VLOOKUP(Cleaned_datasetB[[#This Row],[Weather_Code]],Lookup_Tables!$E$9:$F$13,2,FALSE)</f>
        <v>Clear</v>
      </c>
      <c r="S954" s="10" t="str">
        <f>INDEX(Lookup_Tables!$I$10:$I$16,MATCH(Cleaned_datasetB[[#This Row],[Day_Code]],Lookup_Tables!$H$10:$H$16,0))</f>
        <v>Saturday</v>
      </c>
      <c r="T954" s="10" t="str">
        <f>VLOOKUP(Cleaned_datasetB[[#This Row],[Month]], Lookup_Tables!$K$8:$L$19, 2, FALSE)</f>
        <v>February</v>
      </c>
      <c r="U954" s="10" t="str">
        <f>IF(AND(Cleaned_datasetB[[#This Row],[Day_Type]]="Weekday",Cleaned_datasetB[[#This Row],[Is_Holiday]]=FALSE),"Working Day","Non-Working Day")</f>
        <v>Non-Working Day</v>
      </c>
    </row>
    <row r="955" spans="1:21">
      <c r="A955" s="10">
        <v>954</v>
      </c>
      <c r="B955" s="23">
        <v>40586</v>
      </c>
      <c r="C955" s="10">
        <v>1</v>
      </c>
      <c r="D955" s="10">
        <v>0</v>
      </c>
      <c r="E955" s="10">
        <v>2</v>
      </c>
      <c r="F955" s="10">
        <v>8</v>
      </c>
      <c r="G955" s="10" t="b">
        <v>0</v>
      </c>
      <c r="H955" s="10">
        <v>6</v>
      </c>
      <c r="I955" s="10" t="str">
        <f>IF(OR(Cleaned_datasetB[[#This Row],[Day_Code]]=0,Cleaned_datasetB[[#This Row],[Day_Code]]=6),"Weekend","Weekday")</f>
        <v>Weekend</v>
      </c>
      <c r="J955" s="10">
        <v>1</v>
      </c>
      <c r="K955" s="10">
        <v>0.14000000000000001</v>
      </c>
      <c r="L955" s="51">
        <v>0.1515</v>
      </c>
      <c r="M955" s="10">
        <v>0.86</v>
      </c>
      <c r="N955" s="10">
        <v>0.1343</v>
      </c>
      <c r="O955" s="10">
        <v>2</v>
      </c>
      <c r="P955" s="10">
        <v>28</v>
      </c>
      <c r="Q955" s="10">
        <v>30</v>
      </c>
      <c r="R955" s="10" t="str">
        <f>VLOOKUP(Cleaned_datasetB[[#This Row],[Weather_Code]],Lookup_Tables!$E$9:$F$13,2,FALSE)</f>
        <v>Clear</v>
      </c>
      <c r="S955" s="10" t="str">
        <f>INDEX(Lookup_Tables!$I$10:$I$16,MATCH(Cleaned_datasetB[[#This Row],[Day_Code]],Lookup_Tables!$H$10:$H$16,0))</f>
        <v>Saturday</v>
      </c>
      <c r="T955" s="10" t="str">
        <f>VLOOKUP(Cleaned_datasetB[[#This Row],[Month]], Lookup_Tables!$K$8:$L$19, 2, FALSE)</f>
        <v>February</v>
      </c>
      <c r="U955" s="10" t="str">
        <f>IF(AND(Cleaned_datasetB[[#This Row],[Day_Type]]="Weekday",Cleaned_datasetB[[#This Row],[Is_Holiday]]=FALSE),"Working Day","Non-Working Day")</f>
        <v>Non-Working Day</v>
      </c>
    </row>
    <row r="956" spans="1:21">
      <c r="A956" s="10">
        <v>955</v>
      </c>
      <c r="B956" s="23">
        <v>40586</v>
      </c>
      <c r="C956" s="10">
        <v>1</v>
      </c>
      <c r="D956" s="10">
        <v>0</v>
      </c>
      <c r="E956" s="10">
        <v>2</v>
      </c>
      <c r="F956" s="10">
        <v>9</v>
      </c>
      <c r="G956" s="10" t="b">
        <v>0</v>
      </c>
      <c r="H956" s="10">
        <v>6</v>
      </c>
      <c r="I956" s="10" t="str">
        <f>IF(OR(Cleaned_datasetB[[#This Row],[Day_Code]]=0,Cleaned_datasetB[[#This Row],[Day_Code]]=6),"Weekend","Weekday")</f>
        <v>Weekend</v>
      </c>
      <c r="J956" s="10">
        <v>1</v>
      </c>
      <c r="K956" s="10">
        <v>0.16</v>
      </c>
      <c r="L956" s="51">
        <v>0.18179999999999999</v>
      </c>
      <c r="M956" s="10">
        <v>0.64</v>
      </c>
      <c r="N956" s="10">
        <v>0.1343</v>
      </c>
      <c r="O956" s="10">
        <v>5</v>
      </c>
      <c r="P956" s="10">
        <v>38</v>
      </c>
      <c r="Q956" s="10">
        <v>43</v>
      </c>
      <c r="R956" s="10" t="str">
        <f>VLOOKUP(Cleaned_datasetB[[#This Row],[Weather_Code]],Lookup_Tables!$E$9:$F$13,2,FALSE)</f>
        <v>Clear</v>
      </c>
      <c r="S956" s="10" t="str">
        <f>INDEX(Lookup_Tables!$I$10:$I$16,MATCH(Cleaned_datasetB[[#This Row],[Day_Code]],Lookup_Tables!$H$10:$H$16,0))</f>
        <v>Saturday</v>
      </c>
      <c r="T956" s="10" t="str">
        <f>VLOOKUP(Cleaned_datasetB[[#This Row],[Month]], Lookup_Tables!$K$8:$L$19, 2, FALSE)</f>
        <v>February</v>
      </c>
      <c r="U956" s="10" t="str">
        <f>IF(AND(Cleaned_datasetB[[#This Row],[Day_Type]]="Weekday",Cleaned_datasetB[[#This Row],[Is_Holiday]]=FALSE),"Working Day","Non-Working Day")</f>
        <v>Non-Working Day</v>
      </c>
    </row>
    <row r="957" spans="1:21">
      <c r="A957" s="10">
        <v>956</v>
      </c>
      <c r="B957" s="23">
        <v>40586</v>
      </c>
      <c r="C957" s="10">
        <v>1</v>
      </c>
      <c r="D957" s="10">
        <v>0</v>
      </c>
      <c r="E957" s="10">
        <v>2</v>
      </c>
      <c r="F957" s="10">
        <v>10</v>
      </c>
      <c r="G957" s="10" t="b">
        <v>0</v>
      </c>
      <c r="H957" s="10">
        <v>6</v>
      </c>
      <c r="I957" s="10" t="str">
        <f>IF(OR(Cleaned_datasetB[[#This Row],[Day_Code]]=0,Cleaned_datasetB[[#This Row],[Day_Code]]=6),"Weekend","Weekday")</f>
        <v>Weekend</v>
      </c>
      <c r="J957" s="10">
        <v>1</v>
      </c>
      <c r="K957" s="10">
        <v>0.22</v>
      </c>
      <c r="L957" s="51">
        <v>0.21210000000000001</v>
      </c>
      <c r="M957" s="10">
        <v>0.41</v>
      </c>
      <c r="N957" s="10">
        <v>0.25369999999999998</v>
      </c>
      <c r="O957" s="10">
        <v>13</v>
      </c>
      <c r="P957" s="10">
        <v>71</v>
      </c>
      <c r="Q957" s="10">
        <v>84</v>
      </c>
      <c r="R957" s="10" t="str">
        <f>VLOOKUP(Cleaned_datasetB[[#This Row],[Weather_Code]],Lookup_Tables!$E$9:$F$13,2,FALSE)</f>
        <v>Clear</v>
      </c>
      <c r="S957" s="10" t="str">
        <f>INDEX(Lookup_Tables!$I$10:$I$16,MATCH(Cleaned_datasetB[[#This Row],[Day_Code]],Lookup_Tables!$H$10:$H$16,0))</f>
        <v>Saturday</v>
      </c>
      <c r="T957" s="10" t="str">
        <f>VLOOKUP(Cleaned_datasetB[[#This Row],[Month]], Lookup_Tables!$K$8:$L$19, 2, FALSE)</f>
        <v>February</v>
      </c>
      <c r="U957" s="10" t="str">
        <f>IF(AND(Cleaned_datasetB[[#This Row],[Day_Type]]="Weekday",Cleaned_datasetB[[#This Row],[Is_Holiday]]=FALSE),"Working Day","Non-Working Day")</f>
        <v>Non-Working Day</v>
      </c>
    </row>
    <row r="958" spans="1:21">
      <c r="A958" s="10">
        <v>957</v>
      </c>
      <c r="B958" s="23">
        <v>40586</v>
      </c>
      <c r="C958" s="10">
        <v>1</v>
      </c>
      <c r="D958" s="10">
        <v>0</v>
      </c>
      <c r="E958" s="10">
        <v>2</v>
      </c>
      <c r="F958" s="10">
        <v>11</v>
      </c>
      <c r="G958" s="10" t="b">
        <v>0</v>
      </c>
      <c r="H958" s="10">
        <v>6</v>
      </c>
      <c r="I958" s="10" t="str">
        <f>IF(OR(Cleaned_datasetB[[#This Row],[Day_Code]]=0,Cleaned_datasetB[[#This Row],[Day_Code]]=6),"Weekend","Weekday")</f>
        <v>Weekend</v>
      </c>
      <c r="J958" s="10">
        <v>1</v>
      </c>
      <c r="K958" s="10">
        <v>0.3</v>
      </c>
      <c r="L958" s="51">
        <v>0.2727</v>
      </c>
      <c r="M958" s="10">
        <v>0.28000000000000003</v>
      </c>
      <c r="N958" s="10">
        <v>0.32840000000000003</v>
      </c>
      <c r="O958" s="10">
        <v>30</v>
      </c>
      <c r="P958" s="10">
        <v>84</v>
      </c>
      <c r="Q958" s="10">
        <v>114</v>
      </c>
      <c r="R958" s="10" t="str">
        <f>VLOOKUP(Cleaned_datasetB[[#This Row],[Weather_Code]],Lookup_Tables!$E$9:$F$13,2,FALSE)</f>
        <v>Clear</v>
      </c>
      <c r="S958" s="10" t="str">
        <f>INDEX(Lookup_Tables!$I$10:$I$16,MATCH(Cleaned_datasetB[[#This Row],[Day_Code]],Lookup_Tables!$H$10:$H$16,0))</f>
        <v>Saturday</v>
      </c>
      <c r="T958" s="10" t="str">
        <f>VLOOKUP(Cleaned_datasetB[[#This Row],[Month]], Lookup_Tables!$K$8:$L$19, 2, FALSE)</f>
        <v>February</v>
      </c>
      <c r="U958" s="10" t="str">
        <f>IF(AND(Cleaned_datasetB[[#This Row],[Day_Type]]="Weekday",Cleaned_datasetB[[#This Row],[Is_Holiday]]=FALSE),"Working Day","Non-Working Day")</f>
        <v>Non-Working Day</v>
      </c>
    </row>
    <row r="959" spans="1:21">
      <c r="A959" s="10">
        <v>958</v>
      </c>
      <c r="B959" s="23">
        <v>40586</v>
      </c>
      <c r="C959" s="10">
        <v>1</v>
      </c>
      <c r="D959" s="10">
        <v>0</v>
      </c>
      <c r="E959" s="10">
        <v>2</v>
      </c>
      <c r="F959" s="10">
        <v>12</v>
      </c>
      <c r="G959" s="10" t="b">
        <v>0</v>
      </c>
      <c r="H959" s="10">
        <v>6</v>
      </c>
      <c r="I959" s="10" t="str">
        <f>IF(OR(Cleaned_datasetB[[#This Row],[Day_Code]]=0,Cleaned_datasetB[[#This Row],[Day_Code]]=6),"Weekend","Weekday")</f>
        <v>Weekend</v>
      </c>
      <c r="J959" s="10">
        <v>1</v>
      </c>
      <c r="K959" s="10">
        <v>0.3</v>
      </c>
      <c r="L959" s="51">
        <v>0.2727</v>
      </c>
      <c r="M959" s="10">
        <v>0.39</v>
      </c>
      <c r="N959" s="10">
        <v>0.4627</v>
      </c>
      <c r="O959" s="10">
        <v>27</v>
      </c>
      <c r="P959" s="10">
        <v>93</v>
      </c>
      <c r="Q959" s="10">
        <v>120</v>
      </c>
      <c r="R959" s="10" t="str">
        <f>VLOOKUP(Cleaned_datasetB[[#This Row],[Weather_Code]],Lookup_Tables!$E$9:$F$13,2,FALSE)</f>
        <v>Clear</v>
      </c>
      <c r="S959" s="10" t="str">
        <f>INDEX(Lookup_Tables!$I$10:$I$16,MATCH(Cleaned_datasetB[[#This Row],[Day_Code]],Lookup_Tables!$H$10:$H$16,0))</f>
        <v>Saturday</v>
      </c>
      <c r="T959" s="10" t="str">
        <f>VLOOKUP(Cleaned_datasetB[[#This Row],[Month]], Lookup_Tables!$K$8:$L$19, 2, FALSE)</f>
        <v>February</v>
      </c>
      <c r="U959" s="10" t="str">
        <f>IF(AND(Cleaned_datasetB[[#This Row],[Day_Type]]="Weekday",Cleaned_datasetB[[#This Row],[Is_Holiday]]=FALSE),"Working Day","Non-Working Day")</f>
        <v>Non-Working Day</v>
      </c>
    </row>
    <row r="960" spans="1:21">
      <c r="A960" s="10">
        <v>959</v>
      </c>
      <c r="B960" s="23">
        <v>40586</v>
      </c>
      <c r="C960" s="10">
        <v>1</v>
      </c>
      <c r="D960" s="10">
        <v>0</v>
      </c>
      <c r="E960" s="10">
        <v>2</v>
      </c>
      <c r="F960" s="10">
        <v>13</v>
      </c>
      <c r="G960" s="10" t="b">
        <v>0</v>
      </c>
      <c r="H960" s="10">
        <v>6</v>
      </c>
      <c r="I960" s="10" t="str">
        <f>IF(OR(Cleaned_datasetB[[#This Row],[Day_Code]]=0,Cleaned_datasetB[[#This Row],[Day_Code]]=6),"Weekend","Weekday")</f>
        <v>Weekend</v>
      </c>
      <c r="J960" s="10">
        <v>1</v>
      </c>
      <c r="K960" s="10">
        <v>0.3</v>
      </c>
      <c r="L960" s="51">
        <v>0.2727</v>
      </c>
      <c r="M960" s="10">
        <v>0.39</v>
      </c>
      <c r="N960" s="10">
        <v>0.41789999999999999</v>
      </c>
      <c r="O960" s="10">
        <v>32</v>
      </c>
      <c r="P960" s="10">
        <v>103</v>
      </c>
      <c r="Q960" s="10">
        <v>135</v>
      </c>
      <c r="R960" s="10" t="str">
        <f>VLOOKUP(Cleaned_datasetB[[#This Row],[Weather_Code]],Lookup_Tables!$E$9:$F$13,2,FALSE)</f>
        <v>Clear</v>
      </c>
      <c r="S960" s="10" t="str">
        <f>INDEX(Lookup_Tables!$I$10:$I$16,MATCH(Cleaned_datasetB[[#This Row],[Day_Code]],Lookup_Tables!$H$10:$H$16,0))</f>
        <v>Saturday</v>
      </c>
      <c r="T960" s="10" t="str">
        <f>VLOOKUP(Cleaned_datasetB[[#This Row],[Month]], Lookup_Tables!$K$8:$L$19, 2, FALSE)</f>
        <v>February</v>
      </c>
      <c r="U960" s="10" t="str">
        <f>IF(AND(Cleaned_datasetB[[#This Row],[Day_Type]]="Weekday",Cleaned_datasetB[[#This Row],[Is_Holiday]]=FALSE),"Working Day","Non-Working Day")</f>
        <v>Non-Working Day</v>
      </c>
    </row>
    <row r="961" spans="1:21">
      <c r="A961" s="10">
        <v>960</v>
      </c>
      <c r="B961" s="23">
        <v>40586</v>
      </c>
      <c r="C961" s="10">
        <v>1</v>
      </c>
      <c r="D961" s="10">
        <v>0</v>
      </c>
      <c r="E961" s="10">
        <v>2</v>
      </c>
      <c r="F961" s="10">
        <v>14</v>
      </c>
      <c r="G961" s="10" t="b">
        <v>0</v>
      </c>
      <c r="H961" s="10">
        <v>6</v>
      </c>
      <c r="I961" s="10" t="str">
        <f>IF(OR(Cleaned_datasetB[[#This Row],[Day_Code]]=0,Cleaned_datasetB[[#This Row],[Day_Code]]=6),"Weekend","Weekday")</f>
        <v>Weekend</v>
      </c>
      <c r="J961" s="10">
        <v>1</v>
      </c>
      <c r="K961" s="10">
        <v>0.34</v>
      </c>
      <c r="L961" s="51">
        <v>0.31819999999999998</v>
      </c>
      <c r="M961" s="10">
        <v>0.31</v>
      </c>
      <c r="N961" s="10">
        <v>0.28360000000000002</v>
      </c>
      <c r="O961" s="10">
        <v>30</v>
      </c>
      <c r="P961" s="10">
        <v>90</v>
      </c>
      <c r="Q961" s="10">
        <v>120</v>
      </c>
      <c r="R961" s="10" t="str">
        <f>VLOOKUP(Cleaned_datasetB[[#This Row],[Weather_Code]],Lookup_Tables!$E$9:$F$13,2,FALSE)</f>
        <v>Clear</v>
      </c>
      <c r="S961" s="10" t="str">
        <f>INDEX(Lookup_Tables!$I$10:$I$16,MATCH(Cleaned_datasetB[[#This Row],[Day_Code]],Lookup_Tables!$H$10:$H$16,0))</f>
        <v>Saturday</v>
      </c>
      <c r="T961" s="10" t="str">
        <f>VLOOKUP(Cleaned_datasetB[[#This Row],[Month]], Lookup_Tables!$K$8:$L$19, 2, FALSE)</f>
        <v>February</v>
      </c>
      <c r="U961" s="10" t="str">
        <f>IF(AND(Cleaned_datasetB[[#This Row],[Day_Type]]="Weekday",Cleaned_datasetB[[#This Row],[Is_Holiday]]=FALSE),"Working Day","Non-Working Day")</f>
        <v>Non-Working Day</v>
      </c>
    </row>
    <row r="962" spans="1:21">
      <c r="A962" s="10">
        <v>961</v>
      </c>
      <c r="B962" s="23">
        <v>40586</v>
      </c>
      <c r="C962" s="10">
        <v>1</v>
      </c>
      <c r="D962" s="10">
        <v>0</v>
      </c>
      <c r="E962" s="10">
        <v>2</v>
      </c>
      <c r="F962" s="10">
        <v>15</v>
      </c>
      <c r="G962" s="10" t="b">
        <v>0</v>
      </c>
      <c r="H962" s="10">
        <v>6</v>
      </c>
      <c r="I962" s="10" t="str">
        <f>IF(OR(Cleaned_datasetB[[#This Row],[Day_Code]]=0,Cleaned_datasetB[[#This Row],[Day_Code]]=6),"Weekend","Weekday")</f>
        <v>Weekend</v>
      </c>
      <c r="J962" s="10">
        <v>1</v>
      </c>
      <c r="K962" s="10">
        <v>0.34</v>
      </c>
      <c r="L962" s="51">
        <v>0.30299999999999999</v>
      </c>
      <c r="M962" s="10">
        <v>0.28999999999999998</v>
      </c>
      <c r="N962" s="10">
        <v>0.41789999999999999</v>
      </c>
      <c r="O962" s="10">
        <v>47</v>
      </c>
      <c r="P962" s="10">
        <v>127</v>
      </c>
      <c r="Q962" s="10">
        <v>174</v>
      </c>
      <c r="R962" s="10" t="str">
        <f>VLOOKUP(Cleaned_datasetB[[#This Row],[Weather_Code]],Lookup_Tables!$E$9:$F$13,2,FALSE)</f>
        <v>Clear</v>
      </c>
      <c r="S962" s="10" t="str">
        <f>INDEX(Lookup_Tables!$I$10:$I$16,MATCH(Cleaned_datasetB[[#This Row],[Day_Code]],Lookup_Tables!$H$10:$H$16,0))</f>
        <v>Saturday</v>
      </c>
      <c r="T962" s="10" t="str">
        <f>VLOOKUP(Cleaned_datasetB[[#This Row],[Month]], Lookup_Tables!$K$8:$L$19, 2, FALSE)</f>
        <v>February</v>
      </c>
      <c r="U962" s="10" t="str">
        <f>IF(AND(Cleaned_datasetB[[#This Row],[Day_Type]]="Weekday",Cleaned_datasetB[[#This Row],[Is_Holiday]]=FALSE),"Working Day","Non-Working Day")</f>
        <v>Non-Working Day</v>
      </c>
    </row>
    <row r="963" spans="1:21">
      <c r="A963" s="10">
        <v>962</v>
      </c>
      <c r="B963" s="23">
        <v>40586</v>
      </c>
      <c r="C963" s="10">
        <v>1</v>
      </c>
      <c r="D963" s="10">
        <v>0</v>
      </c>
      <c r="E963" s="10">
        <v>2</v>
      </c>
      <c r="F963" s="10">
        <v>16</v>
      </c>
      <c r="G963" s="10" t="b">
        <v>0</v>
      </c>
      <c r="H963" s="10">
        <v>6</v>
      </c>
      <c r="I963" s="10" t="str">
        <f>IF(OR(Cleaned_datasetB[[#This Row],[Day_Code]]=0,Cleaned_datasetB[[#This Row],[Day_Code]]=6),"Weekend","Weekday")</f>
        <v>Weekend</v>
      </c>
      <c r="J963" s="10">
        <v>1</v>
      </c>
      <c r="K963" s="10">
        <v>0.34</v>
      </c>
      <c r="L963" s="51">
        <v>0.30299999999999999</v>
      </c>
      <c r="M963" s="10">
        <v>0.28999999999999998</v>
      </c>
      <c r="N963" s="10">
        <v>0.41789999999999999</v>
      </c>
      <c r="O963" s="10">
        <v>42</v>
      </c>
      <c r="P963" s="10">
        <v>103</v>
      </c>
      <c r="Q963" s="10">
        <v>145</v>
      </c>
      <c r="R963" s="10" t="str">
        <f>VLOOKUP(Cleaned_datasetB[[#This Row],[Weather_Code]],Lookup_Tables!$E$9:$F$13,2,FALSE)</f>
        <v>Clear</v>
      </c>
      <c r="S963" s="10" t="str">
        <f>INDEX(Lookup_Tables!$I$10:$I$16,MATCH(Cleaned_datasetB[[#This Row],[Day_Code]],Lookup_Tables!$H$10:$H$16,0))</f>
        <v>Saturday</v>
      </c>
      <c r="T963" s="10" t="str">
        <f>VLOOKUP(Cleaned_datasetB[[#This Row],[Month]], Lookup_Tables!$K$8:$L$19, 2, FALSE)</f>
        <v>February</v>
      </c>
      <c r="U963" s="10" t="str">
        <f>IF(AND(Cleaned_datasetB[[#This Row],[Day_Type]]="Weekday",Cleaned_datasetB[[#This Row],[Is_Holiday]]=FALSE),"Working Day","Non-Working Day")</f>
        <v>Non-Working Day</v>
      </c>
    </row>
    <row r="964" spans="1:21">
      <c r="A964" s="10">
        <v>963</v>
      </c>
      <c r="B964" s="23">
        <v>40586</v>
      </c>
      <c r="C964" s="10">
        <v>1</v>
      </c>
      <c r="D964" s="10">
        <v>0</v>
      </c>
      <c r="E964" s="10">
        <v>2</v>
      </c>
      <c r="F964" s="10">
        <v>17</v>
      </c>
      <c r="G964" s="10" t="b">
        <v>0</v>
      </c>
      <c r="H964" s="10">
        <v>6</v>
      </c>
      <c r="I964" s="10" t="str">
        <f>IF(OR(Cleaned_datasetB[[#This Row],[Day_Code]]=0,Cleaned_datasetB[[#This Row],[Day_Code]]=6),"Weekend","Weekday")</f>
        <v>Weekend</v>
      </c>
      <c r="J964" s="10">
        <v>1</v>
      </c>
      <c r="K964" s="10">
        <v>0.32</v>
      </c>
      <c r="L964" s="51">
        <v>0.28789999999999999</v>
      </c>
      <c r="M964" s="10">
        <v>0.31</v>
      </c>
      <c r="N964" s="10">
        <v>0.52239999999999998</v>
      </c>
      <c r="O964" s="10">
        <v>24</v>
      </c>
      <c r="P964" s="10">
        <v>113</v>
      </c>
      <c r="Q964" s="10">
        <v>137</v>
      </c>
      <c r="R964" s="10" t="str">
        <f>VLOOKUP(Cleaned_datasetB[[#This Row],[Weather_Code]],Lookup_Tables!$E$9:$F$13,2,FALSE)</f>
        <v>Clear</v>
      </c>
      <c r="S964" s="10" t="str">
        <f>INDEX(Lookup_Tables!$I$10:$I$16,MATCH(Cleaned_datasetB[[#This Row],[Day_Code]],Lookup_Tables!$H$10:$H$16,0))</f>
        <v>Saturday</v>
      </c>
      <c r="T964" s="10" t="str">
        <f>VLOOKUP(Cleaned_datasetB[[#This Row],[Month]], Lookup_Tables!$K$8:$L$19, 2, FALSE)</f>
        <v>February</v>
      </c>
      <c r="U964" s="10" t="str">
        <f>IF(AND(Cleaned_datasetB[[#This Row],[Day_Type]]="Weekday",Cleaned_datasetB[[#This Row],[Is_Holiday]]=FALSE),"Working Day","Non-Working Day")</f>
        <v>Non-Working Day</v>
      </c>
    </row>
    <row r="965" spans="1:21">
      <c r="A965" s="10">
        <v>964</v>
      </c>
      <c r="B965" s="23">
        <v>40586</v>
      </c>
      <c r="C965" s="10">
        <v>1</v>
      </c>
      <c r="D965" s="10">
        <v>0</v>
      </c>
      <c r="E965" s="10">
        <v>2</v>
      </c>
      <c r="F965" s="10">
        <v>18</v>
      </c>
      <c r="G965" s="10" t="b">
        <v>0</v>
      </c>
      <c r="H965" s="10">
        <v>6</v>
      </c>
      <c r="I965" s="10" t="str">
        <f>IF(OR(Cleaned_datasetB[[#This Row],[Day_Code]]=0,Cleaned_datasetB[[#This Row],[Day_Code]]=6),"Weekend","Weekday")</f>
        <v>Weekend</v>
      </c>
      <c r="J965" s="10">
        <v>1</v>
      </c>
      <c r="K965" s="10">
        <v>0.28000000000000003</v>
      </c>
      <c r="L965" s="51">
        <v>0.2576</v>
      </c>
      <c r="M965" s="10">
        <v>0.38</v>
      </c>
      <c r="N965" s="10">
        <v>0.32840000000000003</v>
      </c>
      <c r="O965" s="10">
        <v>4</v>
      </c>
      <c r="P965" s="10">
        <v>60</v>
      </c>
      <c r="Q965" s="10">
        <v>64</v>
      </c>
      <c r="R965" s="10" t="str">
        <f>VLOOKUP(Cleaned_datasetB[[#This Row],[Weather_Code]],Lookup_Tables!$E$9:$F$13,2,FALSE)</f>
        <v>Clear</v>
      </c>
      <c r="S965" s="10" t="str">
        <f>INDEX(Lookup_Tables!$I$10:$I$16,MATCH(Cleaned_datasetB[[#This Row],[Day_Code]],Lookup_Tables!$H$10:$H$16,0))</f>
        <v>Saturday</v>
      </c>
      <c r="T965" s="10" t="str">
        <f>VLOOKUP(Cleaned_datasetB[[#This Row],[Month]], Lookup_Tables!$K$8:$L$19, 2, FALSE)</f>
        <v>February</v>
      </c>
      <c r="U965" s="10" t="str">
        <f>IF(AND(Cleaned_datasetB[[#This Row],[Day_Type]]="Weekday",Cleaned_datasetB[[#This Row],[Is_Holiday]]=FALSE),"Working Day","Non-Working Day")</f>
        <v>Non-Working Day</v>
      </c>
    </row>
    <row r="966" spans="1:21">
      <c r="A966" s="10">
        <v>965</v>
      </c>
      <c r="B966" s="23">
        <v>40586</v>
      </c>
      <c r="C966" s="10">
        <v>1</v>
      </c>
      <c r="D966" s="10">
        <v>0</v>
      </c>
      <c r="E966" s="10">
        <v>2</v>
      </c>
      <c r="F966" s="10">
        <v>19</v>
      </c>
      <c r="G966" s="10" t="b">
        <v>0</v>
      </c>
      <c r="H966" s="10">
        <v>6</v>
      </c>
      <c r="I966" s="10" t="str">
        <f>IF(OR(Cleaned_datasetB[[#This Row],[Day_Code]]=0,Cleaned_datasetB[[#This Row],[Day_Code]]=6),"Weekend","Weekday")</f>
        <v>Weekend</v>
      </c>
      <c r="J966" s="10">
        <v>1</v>
      </c>
      <c r="K966" s="10">
        <v>0.28000000000000003</v>
      </c>
      <c r="L966" s="51">
        <v>0.2727</v>
      </c>
      <c r="M966" s="10">
        <v>0.38</v>
      </c>
      <c r="N966" s="10">
        <v>0.16420000000000001</v>
      </c>
      <c r="O966" s="10">
        <v>2</v>
      </c>
      <c r="P966" s="10">
        <v>39</v>
      </c>
      <c r="Q966" s="10">
        <v>41</v>
      </c>
      <c r="R966" s="10" t="str">
        <f>VLOOKUP(Cleaned_datasetB[[#This Row],[Weather_Code]],Lookup_Tables!$E$9:$F$13,2,FALSE)</f>
        <v>Clear</v>
      </c>
      <c r="S966" s="10" t="str">
        <f>INDEX(Lookup_Tables!$I$10:$I$16,MATCH(Cleaned_datasetB[[#This Row],[Day_Code]],Lookup_Tables!$H$10:$H$16,0))</f>
        <v>Saturday</v>
      </c>
      <c r="T966" s="10" t="str">
        <f>VLOOKUP(Cleaned_datasetB[[#This Row],[Month]], Lookup_Tables!$K$8:$L$19, 2, FALSE)</f>
        <v>February</v>
      </c>
      <c r="U966" s="10" t="str">
        <f>IF(AND(Cleaned_datasetB[[#This Row],[Day_Type]]="Weekday",Cleaned_datasetB[[#This Row],[Is_Holiday]]=FALSE),"Working Day","Non-Working Day")</f>
        <v>Non-Working Day</v>
      </c>
    </row>
    <row r="967" spans="1:21">
      <c r="A967" s="10">
        <v>966</v>
      </c>
      <c r="B967" s="23">
        <v>40586</v>
      </c>
      <c r="C967" s="10">
        <v>1</v>
      </c>
      <c r="D967" s="10">
        <v>0</v>
      </c>
      <c r="E967" s="10">
        <v>2</v>
      </c>
      <c r="F967" s="10">
        <v>20</v>
      </c>
      <c r="G967" s="10" t="b">
        <v>0</v>
      </c>
      <c r="H967" s="10">
        <v>6</v>
      </c>
      <c r="I967" s="10" t="str">
        <f>IF(OR(Cleaned_datasetB[[#This Row],[Day_Code]]=0,Cleaned_datasetB[[#This Row],[Day_Code]]=6),"Weekend","Weekday")</f>
        <v>Weekend</v>
      </c>
      <c r="J967" s="10">
        <v>1</v>
      </c>
      <c r="K967" s="10">
        <v>0.26</v>
      </c>
      <c r="L967" s="51">
        <v>0.2576</v>
      </c>
      <c r="M967" s="10">
        <v>0.41</v>
      </c>
      <c r="N967" s="10">
        <v>0.22389999999999999</v>
      </c>
      <c r="O967" s="10">
        <v>1</v>
      </c>
      <c r="P967" s="10">
        <v>39</v>
      </c>
      <c r="Q967" s="10">
        <v>40</v>
      </c>
      <c r="R967" s="10" t="str">
        <f>VLOOKUP(Cleaned_datasetB[[#This Row],[Weather_Code]],Lookup_Tables!$E$9:$F$13,2,FALSE)</f>
        <v>Clear</v>
      </c>
      <c r="S967" s="10" t="str">
        <f>INDEX(Lookup_Tables!$I$10:$I$16,MATCH(Cleaned_datasetB[[#This Row],[Day_Code]],Lookup_Tables!$H$10:$H$16,0))</f>
        <v>Saturday</v>
      </c>
      <c r="T967" s="10" t="str">
        <f>VLOOKUP(Cleaned_datasetB[[#This Row],[Month]], Lookup_Tables!$K$8:$L$19, 2, FALSE)</f>
        <v>February</v>
      </c>
      <c r="U967" s="10" t="str">
        <f>IF(AND(Cleaned_datasetB[[#This Row],[Day_Type]]="Weekday",Cleaned_datasetB[[#This Row],[Is_Holiday]]=FALSE),"Working Day","Non-Working Day")</f>
        <v>Non-Working Day</v>
      </c>
    </row>
    <row r="968" spans="1:21">
      <c r="A968" s="10">
        <v>967</v>
      </c>
      <c r="B968" s="23">
        <v>40586</v>
      </c>
      <c r="C968" s="10">
        <v>1</v>
      </c>
      <c r="D968" s="10">
        <v>0</v>
      </c>
      <c r="E968" s="10">
        <v>2</v>
      </c>
      <c r="F968" s="10">
        <v>21</v>
      </c>
      <c r="G968" s="10" t="b">
        <v>0</v>
      </c>
      <c r="H968" s="10">
        <v>6</v>
      </c>
      <c r="I968" s="10" t="str">
        <f>IF(OR(Cleaned_datasetB[[#This Row],[Day_Code]]=0,Cleaned_datasetB[[#This Row],[Day_Code]]=6),"Weekend","Weekday")</f>
        <v>Weekend</v>
      </c>
      <c r="J968" s="10">
        <v>1</v>
      </c>
      <c r="K968" s="10">
        <v>0.26</v>
      </c>
      <c r="L968" s="51">
        <v>0.30299999999999999</v>
      </c>
      <c r="M968" s="10">
        <v>0.41</v>
      </c>
      <c r="N968" s="10">
        <v>0</v>
      </c>
      <c r="O968" s="10">
        <v>9</v>
      </c>
      <c r="P968" s="10">
        <v>42</v>
      </c>
      <c r="Q968" s="10">
        <v>51</v>
      </c>
      <c r="R968" s="10" t="str">
        <f>VLOOKUP(Cleaned_datasetB[[#This Row],[Weather_Code]],Lookup_Tables!$E$9:$F$13,2,FALSE)</f>
        <v>Clear</v>
      </c>
      <c r="S968" s="10" t="str">
        <f>INDEX(Lookup_Tables!$I$10:$I$16,MATCH(Cleaned_datasetB[[#This Row],[Day_Code]],Lookup_Tables!$H$10:$H$16,0))</f>
        <v>Saturday</v>
      </c>
      <c r="T968" s="10" t="str">
        <f>VLOOKUP(Cleaned_datasetB[[#This Row],[Month]], Lookup_Tables!$K$8:$L$19, 2, FALSE)</f>
        <v>February</v>
      </c>
      <c r="U968" s="10" t="str">
        <f>IF(AND(Cleaned_datasetB[[#This Row],[Day_Type]]="Weekday",Cleaned_datasetB[[#This Row],[Is_Holiday]]=FALSE),"Working Day","Non-Working Day")</f>
        <v>Non-Working Day</v>
      </c>
    </row>
    <row r="969" spans="1:21">
      <c r="A969" s="10">
        <v>968</v>
      </c>
      <c r="B969" s="23">
        <v>40586</v>
      </c>
      <c r="C969" s="10">
        <v>1</v>
      </c>
      <c r="D969" s="10">
        <v>0</v>
      </c>
      <c r="E969" s="10">
        <v>2</v>
      </c>
      <c r="F969" s="10">
        <v>22</v>
      </c>
      <c r="G969" s="10" t="b">
        <v>0</v>
      </c>
      <c r="H969" s="10">
        <v>6</v>
      </c>
      <c r="I969" s="10" t="str">
        <f>IF(OR(Cleaned_datasetB[[#This Row],[Day_Code]]=0,Cleaned_datasetB[[#This Row],[Day_Code]]=6),"Weekend","Weekday")</f>
        <v>Weekend</v>
      </c>
      <c r="J969" s="10">
        <v>1</v>
      </c>
      <c r="K969" s="10">
        <v>0.24</v>
      </c>
      <c r="L969" s="51">
        <v>0.2576</v>
      </c>
      <c r="M969" s="10">
        <v>0.44</v>
      </c>
      <c r="N969" s="10">
        <v>8.9599999999999999E-2</v>
      </c>
      <c r="O969" s="10">
        <v>6</v>
      </c>
      <c r="P969" s="10">
        <v>39</v>
      </c>
      <c r="Q969" s="10">
        <v>45</v>
      </c>
      <c r="R969" s="10" t="str">
        <f>VLOOKUP(Cleaned_datasetB[[#This Row],[Weather_Code]],Lookup_Tables!$E$9:$F$13,2,FALSE)</f>
        <v>Clear</v>
      </c>
      <c r="S969" s="10" t="str">
        <f>INDEX(Lookup_Tables!$I$10:$I$16,MATCH(Cleaned_datasetB[[#This Row],[Day_Code]],Lookup_Tables!$H$10:$H$16,0))</f>
        <v>Saturday</v>
      </c>
      <c r="T969" s="10" t="str">
        <f>VLOOKUP(Cleaned_datasetB[[#This Row],[Month]], Lookup_Tables!$K$8:$L$19, 2, FALSE)</f>
        <v>February</v>
      </c>
      <c r="U969" s="10" t="str">
        <f>IF(AND(Cleaned_datasetB[[#This Row],[Day_Type]]="Weekday",Cleaned_datasetB[[#This Row],[Is_Holiday]]=FALSE),"Working Day","Non-Working Day")</f>
        <v>Non-Working Day</v>
      </c>
    </row>
    <row r="970" spans="1:21">
      <c r="A970" s="10">
        <v>969</v>
      </c>
      <c r="B970" s="23">
        <v>40586</v>
      </c>
      <c r="C970" s="10">
        <v>1</v>
      </c>
      <c r="D970" s="10">
        <v>0</v>
      </c>
      <c r="E970" s="10">
        <v>2</v>
      </c>
      <c r="F970" s="10">
        <v>23</v>
      </c>
      <c r="G970" s="10" t="b">
        <v>0</v>
      </c>
      <c r="H970" s="10">
        <v>6</v>
      </c>
      <c r="I970" s="10" t="str">
        <f>IF(OR(Cleaned_datasetB[[#This Row],[Day_Code]]=0,Cleaned_datasetB[[#This Row],[Day_Code]]=6),"Weekend","Weekday")</f>
        <v>Weekend</v>
      </c>
      <c r="J970" s="10">
        <v>1</v>
      </c>
      <c r="K970" s="10">
        <v>0.22</v>
      </c>
      <c r="L970" s="51">
        <v>0.2273</v>
      </c>
      <c r="M970" s="10">
        <v>0.51</v>
      </c>
      <c r="N970" s="10">
        <v>0.1343</v>
      </c>
      <c r="O970" s="10">
        <v>1</v>
      </c>
      <c r="P970" s="10">
        <v>31</v>
      </c>
      <c r="Q970" s="10">
        <v>32</v>
      </c>
      <c r="R970" s="10" t="str">
        <f>VLOOKUP(Cleaned_datasetB[[#This Row],[Weather_Code]],Lookup_Tables!$E$9:$F$13,2,FALSE)</f>
        <v>Clear</v>
      </c>
      <c r="S970" s="10" t="str">
        <f>INDEX(Lookup_Tables!$I$10:$I$16,MATCH(Cleaned_datasetB[[#This Row],[Day_Code]],Lookup_Tables!$H$10:$H$16,0))</f>
        <v>Saturday</v>
      </c>
      <c r="T970" s="10" t="str">
        <f>VLOOKUP(Cleaned_datasetB[[#This Row],[Month]], Lookup_Tables!$K$8:$L$19, 2, FALSE)</f>
        <v>February</v>
      </c>
      <c r="U970" s="10" t="str">
        <f>IF(AND(Cleaned_datasetB[[#This Row],[Day_Type]]="Weekday",Cleaned_datasetB[[#This Row],[Is_Holiday]]=FALSE),"Working Day","Non-Working Day")</f>
        <v>Non-Working Day</v>
      </c>
    </row>
    <row r="971" spans="1:21">
      <c r="A971" s="10">
        <v>970</v>
      </c>
      <c r="B971" s="23">
        <v>40587</v>
      </c>
      <c r="C971" s="10">
        <v>1</v>
      </c>
      <c r="D971" s="10">
        <v>0</v>
      </c>
      <c r="E971" s="10">
        <v>2</v>
      </c>
      <c r="F971" s="10">
        <v>0</v>
      </c>
      <c r="G971" s="10" t="b">
        <v>0</v>
      </c>
      <c r="H971" s="10">
        <v>0</v>
      </c>
      <c r="I971" s="10" t="str">
        <f>IF(OR(Cleaned_datasetB[[#This Row],[Day_Code]]=0,Cleaned_datasetB[[#This Row],[Day_Code]]=6),"Weekend","Weekday")</f>
        <v>Weekend</v>
      </c>
      <c r="J971" s="10">
        <v>1</v>
      </c>
      <c r="K971" s="10">
        <v>0.2</v>
      </c>
      <c r="L971" s="51">
        <v>0.2273</v>
      </c>
      <c r="M971" s="10">
        <v>0.64</v>
      </c>
      <c r="N971" s="10">
        <v>0.1045</v>
      </c>
      <c r="O971" s="10">
        <v>5</v>
      </c>
      <c r="P971" s="10">
        <v>34</v>
      </c>
      <c r="Q971" s="10">
        <v>39</v>
      </c>
      <c r="R971" s="10" t="str">
        <f>VLOOKUP(Cleaned_datasetB[[#This Row],[Weather_Code]],Lookup_Tables!$E$9:$F$13,2,FALSE)</f>
        <v>Clear</v>
      </c>
      <c r="S971" s="10" t="str">
        <f>INDEX(Lookup_Tables!$I$10:$I$16,MATCH(Cleaned_datasetB[[#This Row],[Day_Code]],Lookup_Tables!$H$10:$H$16,0))</f>
        <v>Sunday</v>
      </c>
      <c r="T971" s="10" t="str">
        <f>VLOOKUP(Cleaned_datasetB[[#This Row],[Month]], Lookup_Tables!$K$8:$L$19, 2, FALSE)</f>
        <v>February</v>
      </c>
      <c r="U971" s="10" t="str">
        <f>IF(AND(Cleaned_datasetB[[#This Row],[Day_Type]]="Weekday",Cleaned_datasetB[[#This Row],[Is_Holiday]]=FALSE),"Working Day","Non-Working Day")</f>
        <v>Non-Working Day</v>
      </c>
    </row>
    <row r="972" spans="1:21">
      <c r="A972" s="10">
        <v>971</v>
      </c>
      <c r="B972" s="23">
        <v>40587</v>
      </c>
      <c r="C972" s="10">
        <v>1</v>
      </c>
      <c r="D972" s="10">
        <v>0</v>
      </c>
      <c r="E972" s="10">
        <v>2</v>
      </c>
      <c r="F972" s="10">
        <v>1</v>
      </c>
      <c r="G972" s="10" t="b">
        <v>0</v>
      </c>
      <c r="H972" s="10">
        <v>0</v>
      </c>
      <c r="I972" s="10" t="str">
        <f>IF(OR(Cleaned_datasetB[[#This Row],[Day_Code]]=0,Cleaned_datasetB[[#This Row],[Day_Code]]=6),"Weekend","Weekday")</f>
        <v>Weekend</v>
      </c>
      <c r="J972" s="10">
        <v>1</v>
      </c>
      <c r="K972" s="10">
        <v>0.2</v>
      </c>
      <c r="L972" s="51">
        <v>0.2273</v>
      </c>
      <c r="M972" s="10">
        <v>0.59</v>
      </c>
      <c r="N972" s="10">
        <v>8.9599999999999999E-2</v>
      </c>
      <c r="O972" s="10">
        <v>1</v>
      </c>
      <c r="P972" s="10">
        <v>23</v>
      </c>
      <c r="Q972" s="10">
        <v>24</v>
      </c>
      <c r="R972" s="10" t="str">
        <f>VLOOKUP(Cleaned_datasetB[[#This Row],[Weather_Code]],Lookup_Tables!$E$9:$F$13,2,FALSE)</f>
        <v>Clear</v>
      </c>
      <c r="S972" s="10" t="str">
        <f>INDEX(Lookup_Tables!$I$10:$I$16,MATCH(Cleaned_datasetB[[#This Row],[Day_Code]],Lookup_Tables!$H$10:$H$16,0))</f>
        <v>Sunday</v>
      </c>
      <c r="T972" s="10" t="str">
        <f>VLOOKUP(Cleaned_datasetB[[#This Row],[Month]], Lookup_Tables!$K$8:$L$19, 2, FALSE)</f>
        <v>February</v>
      </c>
      <c r="U972" s="10" t="str">
        <f>IF(AND(Cleaned_datasetB[[#This Row],[Day_Type]]="Weekday",Cleaned_datasetB[[#This Row],[Is_Holiday]]=FALSE),"Working Day","Non-Working Day")</f>
        <v>Non-Working Day</v>
      </c>
    </row>
    <row r="973" spans="1:21">
      <c r="A973" s="10">
        <v>972</v>
      </c>
      <c r="B973" s="23">
        <v>40587</v>
      </c>
      <c r="C973" s="10">
        <v>1</v>
      </c>
      <c r="D973" s="10">
        <v>0</v>
      </c>
      <c r="E973" s="10">
        <v>2</v>
      </c>
      <c r="F973" s="10">
        <v>2</v>
      </c>
      <c r="G973" s="10" t="b">
        <v>0</v>
      </c>
      <c r="H973" s="10">
        <v>0</v>
      </c>
      <c r="I973" s="10" t="str">
        <f>IF(OR(Cleaned_datasetB[[#This Row],[Day_Code]]=0,Cleaned_datasetB[[#This Row],[Day_Code]]=6),"Weekend","Weekday")</f>
        <v>Weekend</v>
      </c>
      <c r="J973" s="10">
        <v>2</v>
      </c>
      <c r="K973" s="10">
        <v>0.2</v>
      </c>
      <c r="L973" s="51">
        <v>0.2273</v>
      </c>
      <c r="M973" s="10">
        <v>0.75</v>
      </c>
      <c r="N973" s="10">
        <v>8.9599999999999999E-2</v>
      </c>
      <c r="O973" s="10">
        <v>1</v>
      </c>
      <c r="P973" s="10">
        <v>19</v>
      </c>
      <c r="Q973" s="10">
        <v>20</v>
      </c>
      <c r="R973" s="10" t="str">
        <f>VLOOKUP(Cleaned_datasetB[[#This Row],[Weather_Code]],Lookup_Tables!$E$9:$F$13,2,FALSE)</f>
        <v>Cloudy</v>
      </c>
      <c r="S973" s="10" t="str">
        <f>INDEX(Lookup_Tables!$I$10:$I$16,MATCH(Cleaned_datasetB[[#This Row],[Day_Code]],Lookup_Tables!$H$10:$H$16,0))</f>
        <v>Sunday</v>
      </c>
      <c r="T973" s="10" t="str">
        <f>VLOOKUP(Cleaned_datasetB[[#This Row],[Month]], Lookup_Tables!$K$8:$L$19, 2, FALSE)</f>
        <v>February</v>
      </c>
      <c r="U973" s="10" t="str">
        <f>IF(AND(Cleaned_datasetB[[#This Row],[Day_Type]]="Weekday",Cleaned_datasetB[[#This Row],[Is_Holiday]]=FALSE),"Working Day","Non-Working Day")</f>
        <v>Non-Working Day</v>
      </c>
    </row>
    <row r="974" spans="1:21">
      <c r="A974" s="10">
        <v>973</v>
      </c>
      <c r="B974" s="23">
        <v>40587</v>
      </c>
      <c r="C974" s="10">
        <v>1</v>
      </c>
      <c r="D974" s="10">
        <v>0</v>
      </c>
      <c r="E974" s="10">
        <v>2</v>
      </c>
      <c r="F974" s="10">
        <v>3</v>
      </c>
      <c r="G974" s="10" t="b">
        <v>0</v>
      </c>
      <c r="H974" s="10">
        <v>0</v>
      </c>
      <c r="I974" s="10" t="str">
        <f>IF(OR(Cleaned_datasetB[[#This Row],[Day_Code]]=0,Cleaned_datasetB[[#This Row],[Day_Code]]=6),"Weekend","Weekday")</f>
        <v>Weekend</v>
      </c>
      <c r="J974" s="10">
        <v>2</v>
      </c>
      <c r="K974" s="10">
        <v>0.2</v>
      </c>
      <c r="L974" s="51">
        <v>0.2273</v>
      </c>
      <c r="M974" s="10">
        <v>0.69</v>
      </c>
      <c r="N974" s="10">
        <v>0.1045</v>
      </c>
      <c r="O974" s="10">
        <v>4</v>
      </c>
      <c r="P974" s="10">
        <v>8</v>
      </c>
      <c r="Q974" s="10">
        <v>12</v>
      </c>
      <c r="R974" s="10" t="str">
        <f>VLOOKUP(Cleaned_datasetB[[#This Row],[Weather_Code]],Lookup_Tables!$E$9:$F$13,2,FALSE)</f>
        <v>Cloudy</v>
      </c>
      <c r="S974" s="10" t="str">
        <f>INDEX(Lookup_Tables!$I$10:$I$16,MATCH(Cleaned_datasetB[[#This Row],[Day_Code]],Lookup_Tables!$H$10:$H$16,0))</f>
        <v>Sunday</v>
      </c>
      <c r="T974" s="10" t="str">
        <f>VLOOKUP(Cleaned_datasetB[[#This Row],[Month]], Lookup_Tables!$K$8:$L$19, 2, FALSE)</f>
        <v>February</v>
      </c>
      <c r="U974" s="10" t="str">
        <f>IF(AND(Cleaned_datasetB[[#This Row],[Day_Type]]="Weekday",Cleaned_datasetB[[#This Row],[Is_Holiday]]=FALSE),"Working Day","Non-Working Day")</f>
        <v>Non-Working Day</v>
      </c>
    </row>
    <row r="975" spans="1:21">
      <c r="A975" s="10">
        <v>974</v>
      </c>
      <c r="B975" s="23">
        <v>40587</v>
      </c>
      <c r="C975" s="10">
        <v>1</v>
      </c>
      <c r="D975" s="10">
        <v>0</v>
      </c>
      <c r="E975" s="10">
        <v>2</v>
      </c>
      <c r="F975" s="10">
        <v>4</v>
      </c>
      <c r="G975" s="10" t="b">
        <v>0</v>
      </c>
      <c r="H975" s="10">
        <v>0</v>
      </c>
      <c r="I975" s="10" t="str">
        <f>IF(OR(Cleaned_datasetB[[#This Row],[Day_Code]]=0,Cleaned_datasetB[[#This Row],[Day_Code]]=6),"Weekend","Weekday")</f>
        <v>Weekend</v>
      </c>
      <c r="J975" s="10">
        <v>2</v>
      </c>
      <c r="K975" s="10">
        <v>0.2</v>
      </c>
      <c r="L975" s="51">
        <v>0.21210000000000001</v>
      </c>
      <c r="M975" s="10">
        <v>0.69</v>
      </c>
      <c r="N975" s="10">
        <v>0.16420000000000001</v>
      </c>
      <c r="O975" s="10">
        <v>0</v>
      </c>
      <c r="P975" s="10">
        <v>2</v>
      </c>
      <c r="Q975" s="10">
        <v>2</v>
      </c>
      <c r="R975" s="10" t="str">
        <f>VLOOKUP(Cleaned_datasetB[[#This Row],[Weather_Code]],Lookup_Tables!$E$9:$F$13,2,FALSE)</f>
        <v>Cloudy</v>
      </c>
      <c r="S975" s="10" t="str">
        <f>INDEX(Lookup_Tables!$I$10:$I$16,MATCH(Cleaned_datasetB[[#This Row],[Day_Code]],Lookup_Tables!$H$10:$H$16,0))</f>
        <v>Sunday</v>
      </c>
      <c r="T975" s="10" t="str">
        <f>VLOOKUP(Cleaned_datasetB[[#This Row],[Month]], Lookup_Tables!$K$8:$L$19, 2, FALSE)</f>
        <v>February</v>
      </c>
      <c r="U975" s="10" t="str">
        <f>IF(AND(Cleaned_datasetB[[#This Row],[Day_Type]]="Weekday",Cleaned_datasetB[[#This Row],[Is_Holiday]]=FALSE),"Working Day","Non-Working Day")</f>
        <v>Non-Working Day</v>
      </c>
    </row>
    <row r="976" spans="1:21">
      <c r="A976" s="10">
        <v>975</v>
      </c>
      <c r="B976" s="23">
        <v>40587</v>
      </c>
      <c r="C976" s="10">
        <v>1</v>
      </c>
      <c r="D976" s="10">
        <v>0</v>
      </c>
      <c r="E976" s="10">
        <v>2</v>
      </c>
      <c r="F976" s="10">
        <v>6</v>
      </c>
      <c r="G976" s="10" t="b">
        <v>0</v>
      </c>
      <c r="H976" s="10">
        <v>0</v>
      </c>
      <c r="I976" s="10" t="str">
        <f>IF(OR(Cleaned_datasetB[[#This Row],[Day_Code]]=0,Cleaned_datasetB[[#This Row],[Day_Code]]=6),"Weekend","Weekday")</f>
        <v>Weekend</v>
      </c>
      <c r="J976" s="10">
        <v>2</v>
      </c>
      <c r="K976" s="10">
        <v>0.2</v>
      </c>
      <c r="L976" s="51">
        <v>0.21210000000000001</v>
      </c>
      <c r="M976" s="10">
        <v>0.69</v>
      </c>
      <c r="N976" s="10">
        <v>0.1343</v>
      </c>
      <c r="O976" s="10">
        <v>2</v>
      </c>
      <c r="P976" s="10">
        <v>3</v>
      </c>
      <c r="Q976" s="10">
        <v>5</v>
      </c>
      <c r="R976" s="10" t="str">
        <f>VLOOKUP(Cleaned_datasetB[[#This Row],[Weather_Code]],Lookup_Tables!$E$9:$F$13,2,FALSE)</f>
        <v>Cloudy</v>
      </c>
      <c r="S976" s="10" t="str">
        <f>INDEX(Lookup_Tables!$I$10:$I$16,MATCH(Cleaned_datasetB[[#This Row],[Day_Code]],Lookup_Tables!$H$10:$H$16,0))</f>
        <v>Sunday</v>
      </c>
      <c r="T976" s="10" t="str">
        <f>VLOOKUP(Cleaned_datasetB[[#This Row],[Month]], Lookup_Tables!$K$8:$L$19, 2, FALSE)</f>
        <v>February</v>
      </c>
      <c r="U976" s="10" t="str">
        <f>IF(AND(Cleaned_datasetB[[#This Row],[Day_Type]]="Weekday",Cleaned_datasetB[[#This Row],[Is_Holiday]]=FALSE),"Working Day","Non-Working Day")</f>
        <v>Non-Working Day</v>
      </c>
    </row>
    <row r="977" spans="1:21">
      <c r="A977" s="10">
        <v>976</v>
      </c>
      <c r="B977" s="23">
        <v>40587</v>
      </c>
      <c r="C977" s="10">
        <v>1</v>
      </c>
      <c r="D977" s="10">
        <v>0</v>
      </c>
      <c r="E977" s="10">
        <v>2</v>
      </c>
      <c r="F977" s="10">
        <v>7</v>
      </c>
      <c r="G977" s="10" t="b">
        <v>0</v>
      </c>
      <c r="H977" s="10">
        <v>0</v>
      </c>
      <c r="I977" s="10" t="str">
        <f>IF(OR(Cleaned_datasetB[[#This Row],[Day_Code]]=0,Cleaned_datasetB[[#This Row],[Day_Code]]=6),"Weekend","Weekday")</f>
        <v>Weekend</v>
      </c>
      <c r="J977" s="10">
        <v>2</v>
      </c>
      <c r="K977" s="10">
        <v>0.22</v>
      </c>
      <c r="L977" s="51">
        <v>0.2727</v>
      </c>
      <c r="M977" s="10">
        <v>0.55000000000000004</v>
      </c>
      <c r="N977" s="10">
        <v>0</v>
      </c>
      <c r="O977" s="10">
        <v>0</v>
      </c>
      <c r="P977" s="10">
        <v>3</v>
      </c>
      <c r="Q977" s="10">
        <v>3</v>
      </c>
      <c r="R977" s="10" t="str">
        <f>VLOOKUP(Cleaned_datasetB[[#This Row],[Weather_Code]],Lookup_Tables!$E$9:$F$13,2,FALSE)</f>
        <v>Cloudy</v>
      </c>
      <c r="S977" s="10" t="str">
        <f>INDEX(Lookup_Tables!$I$10:$I$16,MATCH(Cleaned_datasetB[[#This Row],[Day_Code]],Lookup_Tables!$H$10:$H$16,0))</f>
        <v>Sunday</v>
      </c>
      <c r="T977" s="10" t="str">
        <f>VLOOKUP(Cleaned_datasetB[[#This Row],[Month]], Lookup_Tables!$K$8:$L$19, 2, FALSE)</f>
        <v>February</v>
      </c>
      <c r="U977" s="10" t="str">
        <f>IF(AND(Cleaned_datasetB[[#This Row],[Day_Type]]="Weekday",Cleaned_datasetB[[#This Row],[Is_Holiday]]=FALSE),"Working Day","Non-Working Day")</f>
        <v>Non-Working Day</v>
      </c>
    </row>
    <row r="978" spans="1:21">
      <c r="A978" s="10">
        <v>977</v>
      </c>
      <c r="B978" s="23">
        <v>40587</v>
      </c>
      <c r="C978" s="10">
        <v>1</v>
      </c>
      <c r="D978" s="10">
        <v>0</v>
      </c>
      <c r="E978" s="10">
        <v>2</v>
      </c>
      <c r="F978" s="10">
        <v>8</v>
      </c>
      <c r="G978" s="10" t="b">
        <v>0</v>
      </c>
      <c r="H978" s="10">
        <v>0</v>
      </c>
      <c r="I978" s="10" t="str">
        <f>IF(OR(Cleaned_datasetB[[#This Row],[Day_Code]]=0,Cleaned_datasetB[[#This Row],[Day_Code]]=6),"Weekend","Weekday")</f>
        <v>Weekend</v>
      </c>
      <c r="J978" s="10">
        <v>2</v>
      </c>
      <c r="K978" s="10">
        <v>0.22</v>
      </c>
      <c r="L978" s="51">
        <v>0.2273</v>
      </c>
      <c r="M978" s="10">
        <v>0.64</v>
      </c>
      <c r="N978" s="10">
        <v>0.19400000000000001</v>
      </c>
      <c r="O978" s="10">
        <v>1</v>
      </c>
      <c r="P978" s="10">
        <v>11</v>
      </c>
      <c r="Q978" s="10">
        <v>12</v>
      </c>
      <c r="R978" s="10" t="str">
        <f>VLOOKUP(Cleaned_datasetB[[#This Row],[Weather_Code]],Lookup_Tables!$E$9:$F$13,2,FALSE)</f>
        <v>Cloudy</v>
      </c>
      <c r="S978" s="10" t="str">
        <f>INDEX(Lookup_Tables!$I$10:$I$16,MATCH(Cleaned_datasetB[[#This Row],[Day_Code]],Lookup_Tables!$H$10:$H$16,0))</f>
        <v>Sunday</v>
      </c>
      <c r="T978" s="10" t="str">
        <f>VLOOKUP(Cleaned_datasetB[[#This Row],[Month]], Lookup_Tables!$K$8:$L$19, 2, FALSE)</f>
        <v>February</v>
      </c>
      <c r="U978" s="10" t="str">
        <f>IF(AND(Cleaned_datasetB[[#This Row],[Day_Type]]="Weekday",Cleaned_datasetB[[#This Row],[Is_Holiday]]=FALSE),"Working Day","Non-Working Day")</f>
        <v>Non-Working Day</v>
      </c>
    </row>
    <row r="979" spans="1:21">
      <c r="A979" s="10">
        <v>978</v>
      </c>
      <c r="B979" s="23">
        <v>40587</v>
      </c>
      <c r="C979" s="10">
        <v>1</v>
      </c>
      <c r="D979" s="10">
        <v>0</v>
      </c>
      <c r="E979" s="10">
        <v>2</v>
      </c>
      <c r="F979" s="10">
        <v>9</v>
      </c>
      <c r="G979" s="10" t="b">
        <v>0</v>
      </c>
      <c r="H979" s="10">
        <v>0</v>
      </c>
      <c r="I979" s="10" t="str">
        <f>IF(OR(Cleaned_datasetB[[#This Row],[Day_Code]]=0,Cleaned_datasetB[[#This Row],[Day_Code]]=6),"Weekend","Weekday")</f>
        <v>Weekend</v>
      </c>
      <c r="J979" s="10">
        <v>2</v>
      </c>
      <c r="K979" s="10">
        <v>0.24</v>
      </c>
      <c r="L979" s="51">
        <v>0.2273</v>
      </c>
      <c r="M979" s="10">
        <v>0.6</v>
      </c>
      <c r="N979" s="10">
        <v>0.22389999999999999</v>
      </c>
      <c r="O979" s="10">
        <v>12</v>
      </c>
      <c r="P979" s="10">
        <v>35</v>
      </c>
      <c r="Q979" s="10">
        <v>47</v>
      </c>
      <c r="R979" s="10" t="str">
        <f>VLOOKUP(Cleaned_datasetB[[#This Row],[Weather_Code]],Lookup_Tables!$E$9:$F$13,2,FALSE)</f>
        <v>Cloudy</v>
      </c>
      <c r="S979" s="10" t="str">
        <f>INDEX(Lookup_Tables!$I$10:$I$16,MATCH(Cleaned_datasetB[[#This Row],[Day_Code]],Lookup_Tables!$H$10:$H$16,0))</f>
        <v>Sunday</v>
      </c>
      <c r="T979" s="10" t="str">
        <f>VLOOKUP(Cleaned_datasetB[[#This Row],[Month]], Lookup_Tables!$K$8:$L$19, 2, FALSE)</f>
        <v>February</v>
      </c>
      <c r="U979" s="10" t="str">
        <f>IF(AND(Cleaned_datasetB[[#This Row],[Day_Type]]="Weekday",Cleaned_datasetB[[#This Row],[Is_Holiday]]=FALSE),"Working Day","Non-Working Day")</f>
        <v>Non-Working Day</v>
      </c>
    </row>
    <row r="980" spans="1:21">
      <c r="A980" s="10">
        <v>979</v>
      </c>
      <c r="B980" s="23">
        <v>40587</v>
      </c>
      <c r="C980" s="10">
        <v>1</v>
      </c>
      <c r="D980" s="10">
        <v>0</v>
      </c>
      <c r="E980" s="10">
        <v>2</v>
      </c>
      <c r="F980" s="10">
        <v>10</v>
      </c>
      <c r="G980" s="10" t="b">
        <v>0</v>
      </c>
      <c r="H980" s="10">
        <v>0</v>
      </c>
      <c r="I980" s="10" t="str">
        <f>IF(OR(Cleaned_datasetB[[#This Row],[Day_Code]]=0,Cleaned_datasetB[[#This Row],[Day_Code]]=6),"Weekend","Weekday")</f>
        <v>Weekend</v>
      </c>
      <c r="J980" s="10">
        <v>1</v>
      </c>
      <c r="K980" s="10">
        <v>0.3</v>
      </c>
      <c r="L980" s="51">
        <v>0.2727</v>
      </c>
      <c r="M980" s="10">
        <v>0.45</v>
      </c>
      <c r="N980" s="10">
        <v>0.32840000000000003</v>
      </c>
      <c r="O980" s="10">
        <v>19</v>
      </c>
      <c r="P980" s="10">
        <v>86</v>
      </c>
      <c r="Q980" s="10">
        <v>105</v>
      </c>
      <c r="R980" s="10" t="str">
        <f>VLOOKUP(Cleaned_datasetB[[#This Row],[Weather_Code]],Lookup_Tables!$E$9:$F$13,2,FALSE)</f>
        <v>Clear</v>
      </c>
      <c r="S980" s="10" t="str">
        <f>INDEX(Lookup_Tables!$I$10:$I$16,MATCH(Cleaned_datasetB[[#This Row],[Day_Code]],Lookup_Tables!$H$10:$H$16,0))</f>
        <v>Sunday</v>
      </c>
      <c r="T980" s="10" t="str">
        <f>VLOOKUP(Cleaned_datasetB[[#This Row],[Month]], Lookup_Tables!$K$8:$L$19, 2, FALSE)</f>
        <v>February</v>
      </c>
      <c r="U980" s="10" t="str">
        <f>IF(AND(Cleaned_datasetB[[#This Row],[Day_Type]]="Weekday",Cleaned_datasetB[[#This Row],[Is_Holiday]]=FALSE),"Working Day","Non-Working Day")</f>
        <v>Non-Working Day</v>
      </c>
    </row>
    <row r="981" spans="1:21">
      <c r="A981" s="10">
        <v>980</v>
      </c>
      <c r="B981" s="23">
        <v>40587</v>
      </c>
      <c r="C981" s="10">
        <v>1</v>
      </c>
      <c r="D981" s="10">
        <v>0</v>
      </c>
      <c r="E981" s="10">
        <v>2</v>
      </c>
      <c r="F981" s="10">
        <v>11</v>
      </c>
      <c r="G981" s="10" t="b">
        <v>0</v>
      </c>
      <c r="H981" s="10">
        <v>0</v>
      </c>
      <c r="I981" s="10" t="str">
        <f>IF(OR(Cleaned_datasetB[[#This Row],[Day_Code]]=0,Cleaned_datasetB[[#This Row],[Day_Code]]=6),"Weekend","Weekday")</f>
        <v>Weekend</v>
      </c>
      <c r="J981" s="10">
        <v>1</v>
      </c>
      <c r="K981" s="10">
        <v>0.32</v>
      </c>
      <c r="L981" s="51">
        <v>0.28789999999999999</v>
      </c>
      <c r="M981" s="10">
        <v>0.39</v>
      </c>
      <c r="N981" s="10">
        <v>0.44779999999999998</v>
      </c>
      <c r="O981" s="10">
        <v>26</v>
      </c>
      <c r="P981" s="10">
        <v>86</v>
      </c>
      <c r="Q981" s="10">
        <v>112</v>
      </c>
      <c r="R981" s="10" t="str">
        <f>VLOOKUP(Cleaned_datasetB[[#This Row],[Weather_Code]],Lookup_Tables!$E$9:$F$13,2,FALSE)</f>
        <v>Clear</v>
      </c>
      <c r="S981" s="10" t="str">
        <f>INDEX(Lookup_Tables!$I$10:$I$16,MATCH(Cleaned_datasetB[[#This Row],[Day_Code]],Lookup_Tables!$H$10:$H$16,0))</f>
        <v>Sunday</v>
      </c>
      <c r="T981" s="10" t="str">
        <f>VLOOKUP(Cleaned_datasetB[[#This Row],[Month]], Lookup_Tables!$K$8:$L$19, 2, FALSE)</f>
        <v>February</v>
      </c>
      <c r="U981" s="10" t="str">
        <f>IF(AND(Cleaned_datasetB[[#This Row],[Day_Type]]="Weekday",Cleaned_datasetB[[#This Row],[Is_Holiday]]=FALSE),"Working Day","Non-Working Day")</f>
        <v>Non-Working Day</v>
      </c>
    </row>
    <row r="982" spans="1:21">
      <c r="A982" s="10">
        <v>981</v>
      </c>
      <c r="B982" s="23">
        <v>40587</v>
      </c>
      <c r="C982" s="10">
        <v>1</v>
      </c>
      <c r="D982" s="10">
        <v>0</v>
      </c>
      <c r="E982" s="10">
        <v>2</v>
      </c>
      <c r="F982" s="10">
        <v>12</v>
      </c>
      <c r="G982" s="10" t="b">
        <v>0</v>
      </c>
      <c r="H982" s="10">
        <v>0</v>
      </c>
      <c r="I982" s="10" t="str">
        <f>IF(OR(Cleaned_datasetB[[#This Row],[Day_Code]]=0,Cleaned_datasetB[[#This Row],[Day_Code]]=6),"Weekend","Weekday")</f>
        <v>Weekend</v>
      </c>
      <c r="J982" s="10">
        <v>1</v>
      </c>
      <c r="K982" s="10">
        <v>0.36</v>
      </c>
      <c r="L982" s="51">
        <v>0.31819999999999998</v>
      </c>
      <c r="M982" s="10">
        <v>0.32</v>
      </c>
      <c r="N982" s="10">
        <v>0.4627</v>
      </c>
      <c r="O982" s="10">
        <v>58</v>
      </c>
      <c r="P982" s="10">
        <v>94</v>
      </c>
      <c r="Q982" s="10">
        <v>152</v>
      </c>
      <c r="R982" s="10" t="str">
        <f>VLOOKUP(Cleaned_datasetB[[#This Row],[Weather_Code]],Lookup_Tables!$E$9:$F$13,2,FALSE)</f>
        <v>Clear</v>
      </c>
      <c r="S982" s="10" t="str">
        <f>INDEX(Lookup_Tables!$I$10:$I$16,MATCH(Cleaned_datasetB[[#This Row],[Day_Code]],Lookup_Tables!$H$10:$H$16,0))</f>
        <v>Sunday</v>
      </c>
      <c r="T982" s="10" t="str">
        <f>VLOOKUP(Cleaned_datasetB[[#This Row],[Month]], Lookup_Tables!$K$8:$L$19, 2, FALSE)</f>
        <v>February</v>
      </c>
      <c r="U982" s="10" t="str">
        <f>IF(AND(Cleaned_datasetB[[#This Row],[Day_Type]]="Weekday",Cleaned_datasetB[[#This Row],[Is_Holiday]]=FALSE),"Working Day","Non-Working Day")</f>
        <v>Non-Working Day</v>
      </c>
    </row>
    <row r="983" spans="1:21">
      <c r="A983" s="10">
        <v>982</v>
      </c>
      <c r="B983" s="23">
        <v>40587</v>
      </c>
      <c r="C983" s="10">
        <v>1</v>
      </c>
      <c r="D983" s="10">
        <v>0</v>
      </c>
      <c r="E983" s="10">
        <v>2</v>
      </c>
      <c r="F983" s="10">
        <v>13</v>
      </c>
      <c r="G983" s="10" t="b">
        <v>0</v>
      </c>
      <c r="H983" s="10">
        <v>0</v>
      </c>
      <c r="I983" s="10" t="str">
        <f>IF(OR(Cleaned_datasetB[[#This Row],[Day_Code]]=0,Cleaned_datasetB[[#This Row],[Day_Code]]=6),"Weekend","Weekday")</f>
        <v>Weekend</v>
      </c>
      <c r="J983" s="10">
        <v>1</v>
      </c>
      <c r="K983" s="10">
        <v>0.38</v>
      </c>
      <c r="L983" s="51">
        <v>0.39389999999999997</v>
      </c>
      <c r="M983" s="10">
        <v>0.28999999999999998</v>
      </c>
      <c r="N983" s="10">
        <v>0.35820000000000002</v>
      </c>
      <c r="O983" s="10">
        <v>62</v>
      </c>
      <c r="P983" s="10">
        <v>92</v>
      </c>
      <c r="Q983" s="10">
        <v>154</v>
      </c>
      <c r="R983" s="10" t="str">
        <f>VLOOKUP(Cleaned_datasetB[[#This Row],[Weather_Code]],Lookup_Tables!$E$9:$F$13,2,FALSE)</f>
        <v>Clear</v>
      </c>
      <c r="S983" s="10" t="str">
        <f>INDEX(Lookup_Tables!$I$10:$I$16,MATCH(Cleaned_datasetB[[#This Row],[Day_Code]],Lookup_Tables!$H$10:$H$16,0))</f>
        <v>Sunday</v>
      </c>
      <c r="T983" s="10" t="str">
        <f>VLOOKUP(Cleaned_datasetB[[#This Row],[Month]], Lookup_Tables!$K$8:$L$19, 2, FALSE)</f>
        <v>February</v>
      </c>
      <c r="U983" s="10" t="str">
        <f>IF(AND(Cleaned_datasetB[[#This Row],[Day_Type]]="Weekday",Cleaned_datasetB[[#This Row],[Is_Holiday]]=FALSE),"Working Day","Non-Working Day")</f>
        <v>Non-Working Day</v>
      </c>
    </row>
    <row r="984" spans="1:21">
      <c r="A984" s="10">
        <v>983</v>
      </c>
      <c r="B984" s="23">
        <v>40587</v>
      </c>
      <c r="C984" s="10">
        <v>1</v>
      </c>
      <c r="D984" s="10">
        <v>0</v>
      </c>
      <c r="E984" s="10">
        <v>2</v>
      </c>
      <c r="F984" s="10">
        <v>14</v>
      </c>
      <c r="G984" s="10" t="b">
        <v>0</v>
      </c>
      <c r="H984" s="10">
        <v>0</v>
      </c>
      <c r="I984" s="10" t="str">
        <f>IF(OR(Cleaned_datasetB[[#This Row],[Day_Code]]=0,Cleaned_datasetB[[#This Row],[Day_Code]]=6),"Weekend","Weekday")</f>
        <v>Weekend</v>
      </c>
      <c r="J984" s="10">
        <v>2</v>
      </c>
      <c r="K984" s="10">
        <v>0.4</v>
      </c>
      <c r="L984" s="51">
        <v>0.40910000000000002</v>
      </c>
      <c r="M984" s="10">
        <v>0.3</v>
      </c>
      <c r="N984" s="10">
        <v>0.41789999999999999</v>
      </c>
      <c r="O984" s="10">
        <v>51</v>
      </c>
      <c r="P984" s="10">
        <v>110</v>
      </c>
      <c r="Q984" s="10">
        <v>161</v>
      </c>
      <c r="R984" s="10" t="str">
        <f>VLOOKUP(Cleaned_datasetB[[#This Row],[Weather_Code]],Lookup_Tables!$E$9:$F$13,2,FALSE)</f>
        <v>Cloudy</v>
      </c>
      <c r="S984" s="10" t="str">
        <f>INDEX(Lookup_Tables!$I$10:$I$16,MATCH(Cleaned_datasetB[[#This Row],[Day_Code]],Lookup_Tables!$H$10:$H$16,0))</f>
        <v>Sunday</v>
      </c>
      <c r="T984" s="10" t="str">
        <f>VLOOKUP(Cleaned_datasetB[[#This Row],[Month]], Lookup_Tables!$K$8:$L$19, 2, FALSE)</f>
        <v>February</v>
      </c>
      <c r="U984" s="10" t="str">
        <f>IF(AND(Cleaned_datasetB[[#This Row],[Day_Type]]="Weekday",Cleaned_datasetB[[#This Row],[Is_Holiday]]=FALSE),"Working Day","Non-Working Day")</f>
        <v>Non-Working Day</v>
      </c>
    </row>
    <row r="985" spans="1:21">
      <c r="A985" s="10">
        <v>984</v>
      </c>
      <c r="B985" s="23">
        <v>40587</v>
      </c>
      <c r="C985" s="10">
        <v>1</v>
      </c>
      <c r="D985" s="10">
        <v>0</v>
      </c>
      <c r="E985" s="10">
        <v>2</v>
      </c>
      <c r="F985" s="10">
        <v>15</v>
      </c>
      <c r="G985" s="10" t="b">
        <v>0</v>
      </c>
      <c r="H985" s="10">
        <v>0</v>
      </c>
      <c r="I985" s="10" t="str">
        <f>IF(OR(Cleaned_datasetB[[#This Row],[Day_Code]]=0,Cleaned_datasetB[[#This Row],[Day_Code]]=6),"Weekend","Weekday")</f>
        <v>Weekend</v>
      </c>
      <c r="J985" s="10">
        <v>2</v>
      </c>
      <c r="K985" s="10">
        <v>0.4</v>
      </c>
      <c r="L985" s="51">
        <v>0.40910000000000002</v>
      </c>
      <c r="M985" s="10">
        <v>0.3</v>
      </c>
      <c r="N985" s="10">
        <v>0.29849999999999999</v>
      </c>
      <c r="O985" s="10">
        <v>40</v>
      </c>
      <c r="P985" s="10">
        <v>122</v>
      </c>
      <c r="Q985" s="10">
        <v>162</v>
      </c>
      <c r="R985" s="10" t="str">
        <f>VLOOKUP(Cleaned_datasetB[[#This Row],[Weather_Code]],Lookup_Tables!$E$9:$F$13,2,FALSE)</f>
        <v>Cloudy</v>
      </c>
      <c r="S985" s="10" t="str">
        <f>INDEX(Lookup_Tables!$I$10:$I$16,MATCH(Cleaned_datasetB[[#This Row],[Day_Code]],Lookup_Tables!$H$10:$H$16,0))</f>
        <v>Sunday</v>
      </c>
      <c r="T985" s="10" t="str">
        <f>VLOOKUP(Cleaned_datasetB[[#This Row],[Month]], Lookup_Tables!$K$8:$L$19, 2, FALSE)</f>
        <v>February</v>
      </c>
      <c r="U985" s="10" t="str">
        <f>IF(AND(Cleaned_datasetB[[#This Row],[Day_Type]]="Weekday",Cleaned_datasetB[[#This Row],[Is_Holiday]]=FALSE),"Working Day","Non-Working Day")</f>
        <v>Non-Working Day</v>
      </c>
    </row>
    <row r="986" spans="1:21">
      <c r="A986" s="10">
        <v>985</v>
      </c>
      <c r="B986" s="23">
        <v>40587</v>
      </c>
      <c r="C986" s="10">
        <v>1</v>
      </c>
      <c r="D986" s="10">
        <v>0</v>
      </c>
      <c r="E986" s="10">
        <v>2</v>
      </c>
      <c r="F986" s="10">
        <v>16</v>
      </c>
      <c r="G986" s="10" t="b">
        <v>0</v>
      </c>
      <c r="H986" s="10">
        <v>0</v>
      </c>
      <c r="I986" s="10" t="str">
        <f>IF(OR(Cleaned_datasetB[[#This Row],[Day_Code]]=0,Cleaned_datasetB[[#This Row],[Day_Code]]=6),"Weekend","Weekday")</f>
        <v>Weekend</v>
      </c>
      <c r="J986" s="10">
        <v>2</v>
      </c>
      <c r="K986" s="10">
        <v>0.42</v>
      </c>
      <c r="L986" s="51">
        <v>0.42420000000000002</v>
      </c>
      <c r="M986" s="10">
        <v>0.28000000000000003</v>
      </c>
      <c r="N986" s="10">
        <v>0.32840000000000003</v>
      </c>
      <c r="O986" s="10">
        <v>28</v>
      </c>
      <c r="P986" s="10">
        <v>106</v>
      </c>
      <c r="Q986" s="10">
        <v>134</v>
      </c>
      <c r="R986" s="10" t="str">
        <f>VLOOKUP(Cleaned_datasetB[[#This Row],[Weather_Code]],Lookup_Tables!$E$9:$F$13,2,FALSE)</f>
        <v>Cloudy</v>
      </c>
      <c r="S986" s="10" t="str">
        <f>INDEX(Lookup_Tables!$I$10:$I$16,MATCH(Cleaned_datasetB[[#This Row],[Day_Code]],Lookup_Tables!$H$10:$H$16,0))</f>
        <v>Sunday</v>
      </c>
      <c r="T986" s="10" t="str">
        <f>VLOOKUP(Cleaned_datasetB[[#This Row],[Month]], Lookup_Tables!$K$8:$L$19, 2, FALSE)</f>
        <v>February</v>
      </c>
      <c r="U986" s="10" t="str">
        <f>IF(AND(Cleaned_datasetB[[#This Row],[Day_Type]]="Weekday",Cleaned_datasetB[[#This Row],[Is_Holiday]]=FALSE),"Working Day","Non-Working Day")</f>
        <v>Non-Working Day</v>
      </c>
    </row>
    <row r="987" spans="1:21">
      <c r="A987" s="10">
        <v>986</v>
      </c>
      <c r="B987" s="23">
        <v>40587</v>
      </c>
      <c r="C987" s="10">
        <v>1</v>
      </c>
      <c r="D987" s="10">
        <v>0</v>
      </c>
      <c r="E987" s="10">
        <v>2</v>
      </c>
      <c r="F987" s="10">
        <v>17</v>
      </c>
      <c r="G987" s="10" t="b">
        <v>0</v>
      </c>
      <c r="H987" s="10">
        <v>0</v>
      </c>
      <c r="I987" s="10" t="str">
        <f>IF(OR(Cleaned_datasetB[[#This Row],[Day_Code]]=0,Cleaned_datasetB[[#This Row],[Day_Code]]=6),"Weekend","Weekday")</f>
        <v>Weekend</v>
      </c>
      <c r="J987" s="10">
        <v>1</v>
      </c>
      <c r="K987" s="10">
        <v>0.42</v>
      </c>
      <c r="L987" s="51">
        <v>0.42420000000000002</v>
      </c>
      <c r="M987" s="10">
        <v>0.28000000000000003</v>
      </c>
      <c r="N987" s="10">
        <v>0.32840000000000003</v>
      </c>
      <c r="O987" s="10">
        <v>30</v>
      </c>
      <c r="P987" s="10">
        <v>95</v>
      </c>
      <c r="Q987" s="10">
        <v>125</v>
      </c>
      <c r="R987" s="10" t="str">
        <f>VLOOKUP(Cleaned_datasetB[[#This Row],[Weather_Code]],Lookup_Tables!$E$9:$F$13,2,FALSE)</f>
        <v>Clear</v>
      </c>
      <c r="S987" s="10" t="str">
        <f>INDEX(Lookup_Tables!$I$10:$I$16,MATCH(Cleaned_datasetB[[#This Row],[Day_Code]],Lookup_Tables!$H$10:$H$16,0))</f>
        <v>Sunday</v>
      </c>
      <c r="T987" s="10" t="str">
        <f>VLOOKUP(Cleaned_datasetB[[#This Row],[Month]], Lookup_Tables!$K$8:$L$19, 2, FALSE)</f>
        <v>February</v>
      </c>
      <c r="U987" s="10" t="str">
        <f>IF(AND(Cleaned_datasetB[[#This Row],[Day_Type]]="Weekday",Cleaned_datasetB[[#This Row],[Is_Holiday]]=FALSE),"Working Day","Non-Working Day")</f>
        <v>Non-Working Day</v>
      </c>
    </row>
    <row r="988" spans="1:21">
      <c r="A988" s="10">
        <v>987</v>
      </c>
      <c r="B988" s="23">
        <v>40587</v>
      </c>
      <c r="C988" s="10">
        <v>1</v>
      </c>
      <c r="D988" s="10">
        <v>0</v>
      </c>
      <c r="E988" s="10">
        <v>2</v>
      </c>
      <c r="F988" s="10">
        <v>18</v>
      </c>
      <c r="G988" s="10" t="b">
        <v>0</v>
      </c>
      <c r="H988" s="10">
        <v>0</v>
      </c>
      <c r="I988" s="10" t="str">
        <f>IF(OR(Cleaned_datasetB[[#This Row],[Day_Code]]=0,Cleaned_datasetB[[#This Row],[Day_Code]]=6),"Weekend","Weekday")</f>
        <v>Weekend</v>
      </c>
      <c r="J988" s="10">
        <v>1</v>
      </c>
      <c r="K988" s="10">
        <v>0.4</v>
      </c>
      <c r="L988" s="51">
        <v>0.40910000000000002</v>
      </c>
      <c r="M988" s="10">
        <v>0.32</v>
      </c>
      <c r="N988" s="10">
        <v>0.29849999999999999</v>
      </c>
      <c r="O988" s="10">
        <v>17</v>
      </c>
      <c r="P988" s="10">
        <v>78</v>
      </c>
      <c r="Q988" s="10">
        <v>95</v>
      </c>
      <c r="R988" s="10" t="str">
        <f>VLOOKUP(Cleaned_datasetB[[#This Row],[Weather_Code]],Lookup_Tables!$E$9:$F$13,2,FALSE)</f>
        <v>Clear</v>
      </c>
      <c r="S988" s="10" t="str">
        <f>INDEX(Lookup_Tables!$I$10:$I$16,MATCH(Cleaned_datasetB[[#This Row],[Day_Code]],Lookup_Tables!$H$10:$H$16,0))</f>
        <v>Sunday</v>
      </c>
      <c r="T988" s="10" t="str">
        <f>VLOOKUP(Cleaned_datasetB[[#This Row],[Month]], Lookup_Tables!$K$8:$L$19, 2, FALSE)</f>
        <v>February</v>
      </c>
      <c r="U988" s="10" t="str">
        <f>IF(AND(Cleaned_datasetB[[#This Row],[Day_Type]]="Weekday",Cleaned_datasetB[[#This Row],[Is_Holiday]]=FALSE),"Working Day","Non-Working Day")</f>
        <v>Non-Working Day</v>
      </c>
    </row>
    <row r="989" spans="1:21">
      <c r="A989" s="10">
        <v>988</v>
      </c>
      <c r="B989" s="23">
        <v>40587</v>
      </c>
      <c r="C989" s="10">
        <v>1</v>
      </c>
      <c r="D989" s="10">
        <v>0</v>
      </c>
      <c r="E989" s="10">
        <v>2</v>
      </c>
      <c r="F989" s="10">
        <v>19</v>
      </c>
      <c r="G989" s="10" t="b">
        <v>0</v>
      </c>
      <c r="H989" s="10">
        <v>0</v>
      </c>
      <c r="I989" s="10" t="str">
        <f>IF(OR(Cleaned_datasetB[[#This Row],[Day_Code]]=0,Cleaned_datasetB[[#This Row],[Day_Code]]=6),"Weekend","Weekday")</f>
        <v>Weekend</v>
      </c>
      <c r="J989" s="10">
        <v>1</v>
      </c>
      <c r="K989" s="10">
        <v>0.4</v>
      </c>
      <c r="L989" s="51">
        <v>0.40910000000000002</v>
      </c>
      <c r="M989" s="10">
        <v>0.35</v>
      </c>
      <c r="N989" s="10">
        <v>0.28360000000000002</v>
      </c>
      <c r="O989" s="10">
        <v>11</v>
      </c>
      <c r="P989" s="10">
        <v>50</v>
      </c>
      <c r="Q989" s="10">
        <v>61</v>
      </c>
      <c r="R989" s="10" t="str">
        <f>VLOOKUP(Cleaned_datasetB[[#This Row],[Weather_Code]],Lookup_Tables!$E$9:$F$13,2,FALSE)</f>
        <v>Clear</v>
      </c>
      <c r="S989" s="10" t="str">
        <f>INDEX(Lookup_Tables!$I$10:$I$16,MATCH(Cleaned_datasetB[[#This Row],[Day_Code]],Lookup_Tables!$H$10:$H$16,0))</f>
        <v>Sunday</v>
      </c>
      <c r="T989" s="10" t="str">
        <f>VLOOKUP(Cleaned_datasetB[[#This Row],[Month]], Lookup_Tables!$K$8:$L$19, 2, FALSE)</f>
        <v>February</v>
      </c>
      <c r="U989" s="10" t="str">
        <f>IF(AND(Cleaned_datasetB[[#This Row],[Day_Type]]="Weekday",Cleaned_datasetB[[#This Row],[Is_Holiday]]=FALSE),"Working Day","Non-Working Day")</f>
        <v>Non-Working Day</v>
      </c>
    </row>
    <row r="990" spans="1:21">
      <c r="A990" s="10">
        <v>989</v>
      </c>
      <c r="B990" s="23">
        <v>40587</v>
      </c>
      <c r="C990" s="10">
        <v>1</v>
      </c>
      <c r="D990" s="10">
        <v>0</v>
      </c>
      <c r="E990" s="10">
        <v>2</v>
      </c>
      <c r="F990" s="10">
        <v>20</v>
      </c>
      <c r="G990" s="10" t="b">
        <v>0</v>
      </c>
      <c r="H990" s="10">
        <v>0</v>
      </c>
      <c r="I990" s="10" t="str">
        <f>IF(OR(Cleaned_datasetB[[#This Row],[Day_Code]]=0,Cleaned_datasetB[[#This Row],[Day_Code]]=6),"Weekend","Weekday")</f>
        <v>Weekend</v>
      </c>
      <c r="J990" s="10">
        <v>1</v>
      </c>
      <c r="K990" s="10">
        <v>0.4</v>
      </c>
      <c r="L990" s="51">
        <v>0.40910000000000002</v>
      </c>
      <c r="M990" s="10">
        <v>0.35</v>
      </c>
      <c r="N990" s="10">
        <v>0.32840000000000003</v>
      </c>
      <c r="O990" s="10">
        <v>15</v>
      </c>
      <c r="P990" s="10">
        <v>32</v>
      </c>
      <c r="Q990" s="10">
        <v>47</v>
      </c>
      <c r="R990" s="10" t="str">
        <f>VLOOKUP(Cleaned_datasetB[[#This Row],[Weather_Code]],Lookup_Tables!$E$9:$F$13,2,FALSE)</f>
        <v>Clear</v>
      </c>
      <c r="S990" s="10" t="str">
        <f>INDEX(Lookup_Tables!$I$10:$I$16,MATCH(Cleaned_datasetB[[#This Row],[Day_Code]],Lookup_Tables!$H$10:$H$16,0))</f>
        <v>Sunday</v>
      </c>
      <c r="T990" s="10" t="str">
        <f>VLOOKUP(Cleaned_datasetB[[#This Row],[Month]], Lookup_Tables!$K$8:$L$19, 2, FALSE)</f>
        <v>February</v>
      </c>
      <c r="U990" s="10" t="str">
        <f>IF(AND(Cleaned_datasetB[[#This Row],[Day_Type]]="Weekday",Cleaned_datasetB[[#This Row],[Is_Holiday]]=FALSE),"Working Day","Non-Working Day")</f>
        <v>Non-Working Day</v>
      </c>
    </row>
    <row r="991" spans="1:21">
      <c r="A991" s="10">
        <v>990</v>
      </c>
      <c r="B991" s="23">
        <v>40587</v>
      </c>
      <c r="C991" s="10">
        <v>1</v>
      </c>
      <c r="D991" s="10">
        <v>0</v>
      </c>
      <c r="E991" s="10">
        <v>2</v>
      </c>
      <c r="F991" s="10">
        <v>21</v>
      </c>
      <c r="G991" s="10" t="b">
        <v>0</v>
      </c>
      <c r="H991" s="10">
        <v>0</v>
      </c>
      <c r="I991" s="10" t="str">
        <f>IF(OR(Cleaned_datasetB[[#This Row],[Day_Code]]=0,Cleaned_datasetB[[#This Row],[Day_Code]]=6),"Weekend","Weekday")</f>
        <v>Weekend</v>
      </c>
      <c r="J991" s="10">
        <v>1</v>
      </c>
      <c r="K991" s="10">
        <v>0.4</v>
      </c>
      <c r="L991" s="51">
        <v>0.40910000000000002</v>
      </c>
      <c r="M991" s="10">
        <v>0.35</v>
      </c>
      <c r="N991" s="10">
        <v>0.35820000000000002</v>
      </c>
      <c r="O991" s="10">
        <v>6</v>
      </c>
      <c r="P991" s="10">
        <v>45</v>
      </c>
      <c r="Q991" s="10">
        <v>51</v>
      </c>
      <c r="R991" s="10" t="str">
        <f>VLOOKUP(Cleaned_datasetB[[#This Row],[Weather_Code]],Lookup_Tables!$E$9:$F$13,2,FALSE)</f>
        <v>Clear</v>
      </c>
      <c r="S991" s="10" t="str">
        <f>INDEX(Lookup_Tables!$I$10:$I$16,MATCH(Cleaned_datasetB[[#This Row],[Day_Code]],Lookup_Tables!$H$10:$H$16,0))</f>
        <v>Sunday</v>
      </c>
      <c r="T991" s="10" t="str">
        <f>VLOOKUP(Cleaned_datasetB[[#This Row],[Month]], Lookup_Tables!$K$8:$L$19, 2, FALSE)</f>
        <v>February</v>
      </c>
      <c r="U991" s="10" t="str">
        <f>IF(AND(Cleaned_datasetB[[#This Row],[Day_Type]]="Weekday",Cleaned_datasetB[[#This Row],[Is_Holiday]]=FALSE),"Working Day","Non-Working Day")</f>
        <v>Non-Working Day</v>
      </c>
    </row>
    <row r="992" spans="1:21">
      <c r="A992" s="10">
        <v>991</v>
      </c>
      <c r="B992" s="23">
        <v>40587</v>
      </c>
      <c r="C992" s="10">
        <v>1</v>
      </c>
      <c r="D992" s="10">
        <v>0</v>
      </c>
      <c r="E992" s="10">
        <v>2</v>
      </c>
      <c r="F992" s="10">
        <v>22</v>
      </c>
      <c r="G992" s="10" t="b">
        <v>0</v>
      </c>
      <c r="H992" s="10">
        <v>0</v>
      </c>
      <c r="I992" s="10" t="str">
        <f>IF(OR(Cleaned_datasetB[[#This Row],[Day_Code]]=0,Cleaned_datasetB[[#This Row],[Day_Code]]=6),"Weekend","Weekday")</f>
        <v>Weekend</v>
      </c>
      <c r="J992" s="10">
        <v>1</v>
      </c>
      <c r="K992" s="10">
        <v>0.4</v>
      </c>
      <c r="L992" s="51">
        <v>0.40910000000000002</v>
      </c>
      <c r="M992" s="10">
        <v>0.35</v>
      </c>
      <c r="N992" s="10">
        <v>0.29849999999999999</v>
      </c>
      <c r="O992" s="10">
        <v>5</v>
      </c>
      <c r="P992" s="10">
        <v>31</v>
      </c>
      <c r="Q992" s="10">
        <v>36</v>
      </c>
      <c r="R992" s="10" t="str">
        <f>VLOOKUP(Cleaned_datasetB[[#This Row],[Weather_Code]],Lookup_Tables!$E$9:$F$13,2,FALSE)</f>
        <v>Clear</v>
      </c>
      <c r="S992" s="10" t="str">
        <f>INDEX(Lookup_Tables!$I$10:$I$16,MATCH(Cleaned_datasetB[[#This Row],[Day_Code]],Lookup_Tables!$H$10:$H$16,0))</f>
        <v>Sunday</v>
      </c>
      <c r="T992" s="10" t="str">
        <f>VLOOKUP(Cleaned_datasetB[[#This Row],[Month]], Lookup_Tables!$K$8:$L$19, 2, FALSE)</f>
        <v>February</v>
      </c>
      <c r="U992" s="10" t="str">
        <f>IF(AND(Cleaned_datasetB[[#This Row],[Day_Type]]="Weekday",Cleaned_datasetB[[#This Row],[Is_Holiday]]=FALSE),"Working Day","Non-Working Day")</f>
        <v>Non-Working Day</v>
      </c>
    </row>
    <row r="993" spans="1:21">
      <c r="A993" s="10">
        <v>992</v>
      </c>
      <c r="B993" s="23">
        <v>40587</v>
      </c>
      <c r="C993" s="10">
        <v>1</v>
      </c>
      <c r="D993" s="10">
        <v>0</v>
      </c>
      <c r="E993" s="10">
        <v>2</v>
      </c>
      <c r="F993" s="10">
        <v>23</v>
      </c>
      <c r="G993" s="10" t="b">
        <v>0</v>
      </c>
      <c r="H993" s="10">
        <v>0</v>
      </c>
      <c r="I993" s="10" t="str">
        <f>IF(OR(Cleaned_datasetB[[#This Row],[Day_Code]]=0,Cleaned_datasetB[[#This Row],[Day_Code]]=6),"Weekend","Weekday")</f>
        <v>Weekend</v>
      </c>
      <c r="J993" s="10">
        <v>1</v>
      </c>
      <c r="K993" s="10">
        <v>0.4</v>
      </c>
      <c r="L993" s="51">
        <v>0.40910000000000002</v>
      </c>
      <c r="M993" s="10">
        <v>0.35</v>
      </c>
      <c r="N993" s="10">
        <v>0.35820000000000002</v>
      </c>
      <c r="O993" s="10">
        <v>3</v>
      </c>
      <c r="P993" s="10">
        <v>27</v>
      </c>
      <c r="Q993" s="10">
        <v>30</v>
      </c>
      <c r="R993" s="10" t="str">
        <f>VLOOKUP(Cleaned_datasetB[[#This Row],[Weather_Code]],Lookup_Tables!$E$9:$F$13,2,FALSE)</f>
        <v>Clear</v>
      </c>
      <c r="S993" s="10" t="str">
        <f>INDEX(Lookup_Tables!$I$10:$I$16,MATCH(Cleaned_datasetB[[#This Row],[Day_Code]],Lookup_Tables!$H$10:$H$16,0))</f>
        <v>Sunday</v>
      </c>
      <c r="T993" s="10" t="str">
        <f>VLOOKUP(Cleaned_datasetB[[#This Row],[Month]], Lookup_Tables!$K$8:$L$19, 2, FALSE)</f>
        <v>February</v>
      </c>
      <c r="U993" s="10" t="str">
        <f>IF(AND(Cleaned_datasetB[[#This Row],[Day_Type]]="Weekday",Cleaned_datasetB[[#This Row],[Is_Holiday]]=FALSE),"Working Day","Non-Working Day")</f>
        <v>Non-Working Day</v>
      </c>
    </row>
    <row r="994" spans="1:21">
      <c r="A994" s="10">
        <v>993</v>
      </c>
      <c r="B994" s="23">
        <v>40588</v>
      </c>
      <c r="C994" s="10">
        <v>1</v>
      </c>
      <c r="D994" s="10">
        <v>0</v>
      </c>
      <c r="E994" s="10">
        <v>2</v>
      </c>
      <c r="F994" s="10">
        <v>0</v>
      </c>
      <c r="G994" s="10" t="b">
        <v>0</v>
      </c>
      <c r="H994" s="10">
        <v>1</v>
      </c>
      <c r="I994" s="10" t="str">
        <f>IF(OR(Cleaned_datasetB[[#This Row],[Day_Code]]=0,Cleaned_datasetB[[#This Row],[Day_Code]]=6),"Weekend","Weekday")</f>
        <v>Weekday</v>
      </c>
      <c r="J994" s="10">
        <v>1</v>
      </c>
      <c r="K994" s="10">
        <v>0.38</v>
      </c>
      <c r="L994" s="51">
        <v>0.39389999999999997</v>
      </c>
      <c r="M994" s="10">
        <v>0.37</v>
      </c>
      <c r="N994" s="10">
        <v>0.35820000000000002</v>
      </c>
      <c r="O994" s="10">
        <v>3</v>
      </c>
      <c r="P994" s="10">
        <v>8</v>
      </c>
      <c r="Q994" s="10">
        <v>11</v>
      </c>
      <c r="R994" s="10" t="str">
        <f>VLOOKUP(Cleaned_datasetB[[#This Row],[Weather_Code]],Lookup_Tables!$E$9:$F$13,2,FALSE)</f>
        <v>Clear</v>
      </c>
      <c r="S994" s="10" t="str">
        <f>INDEX(Lookup_Tables!$I$10:$I$16,MATCH(Cleaned_datasetB[[#This Row],[Day_Code]],Lookup_Tables!$H$10:$H$16,0))</f>
        <v>Monday</v>
      </c>
      <c r="T994" s="10" t="str">
        <f>VLOOKUP(Cleaned_datasetB[[#This Row],[Month]], Lookup_Tables!$K$8:$L$19, 2, FALSE)</f>
        <v>February</v>
      </c>
      <c r="U994" s="10" t="str">
        <f>IF(AND(Cleaned_datasetB[[#This Row],[Day_Type]]="Weekday",Cleaned_datasetB[[#This Row],[Is_Holiday]]=FALSE),"Working Day","Non-Working Day")</f>
        <v>Working Day</v>
      </c>
    </row>
    <row r="995" spans="1:21">
      <c r="A995" s="10">
        <v>994</v>
      </c>
      <c r="B995" s="23">
        <v>40588</v>
      </c>
      <c r="C995" s="10">
        <v>1</v>
      </c>
      <c r="D995" s="10">
        <v>0</v>
      </c>
      <c r="E995" s="10">
        <v>2</v>
      </c>
      <c r="F995" s="10">
        <v>1</v>
      </c>
      <c r="G995" s="10" t="b">
        <v>0</v>
      </c>
      <c r="H995" s="10">
        <v>1</v>
      </c>
      <c r="I995" s="10" t="str">
        <f>IF(OR(Cleaned_datasetB[[#This Row],[Day_Code]]=0,Cleaned_datasetB[[#This Row],[Day_Code]]=6),"Weekend","Weekday")</f>
        <v>Weekday</v>
      </c>
      <c r="J995" s="10">
        <v>1</v>
      </c>
      <c r="K995" s="10">
        <v>0.38</v>
      </c>
      <c r="L995" s="51">
        <v>0.39389999999999997</v>
      </c>
      <c r="M995" s="10">
        <v>0.37</v>
      </c>
      <c r="N995" s="10">
        <v>0.35820000000000002</v>
      </c>
      <c r="O995" s="10">
        <v>1</v>
      </c>
      <c r="P995" s="10">
        <v>6</v>
      </c>
      <c r="Q995" s="10">
        <v>7</v>
      </c>
      <c r="R995" s="10" t="str">
        <f>VLOOKUP(Cleaned_datasetB[[#This Row],[Weather_Code]],Lookup_Tables!$E$9:$F$13,2,FALSE)</f>
        <v>Clear</v>
      </c>
      <c r="S995" s="10" t="str">
        <f>INDEX(Lookup_Tables!$I$10:$I$16,MATCH(Cleaned_datasetB[[#This Row],[Day_Code]],Lookup_Tables!$H$10:$H$16,0))</f>
        <v>Monday</v>
      </c>
      <c r="T995" s="10" t="str">
        <f>VLOOKUP(Cleaned_datasetB[[#This Row],[Month]], Lookup_Tables!$K$8:$L$19, 2, FALSE)</f>
        <v>February</v>
      </c>
      <c r="U995" s="10" t="str">
        <f>IF(AND(Cleaned_datasetB[[#This Row],[Day_Type]]="Weekday",Cleaned_datasetB[[#This Row],[Is_Holiday]]=FALSE),"Working Day","Non-Working Day")</f>
        <v>Working Day</v>
      </c>
    </row>
    <row r="996" spans="1:21">
      <c r="A996" s="10">
        <v>995</v>
      </c>
      <c r="B996" s="23">
        <v>40588</v>
      </c>
      <c r="C996" s="10">
        <v>1</v>
      </c>
      <c r="D996" s="10">
        <v>0</v>
      </c>
      <c r="E996" s="10">
        <v>2</v>
      </c>
      <c r="F996" s="10">
        <v>2</v>
      </c>
      <c r="G996" s="10" t="b">
        <v>0</v>
      </c>
      <c r="H996" s="10">
        <v>1</v>
      </c>
      <c r="I996" s="10" t="str">
        <f>IF(OR(Cleaned_datasetB[[#This Row],[Day_Code]]=0,Cleaned_datasetB[[#This Row],[Day_Code]]=6),"Weekend","Weekday")</f>
        <v>Weekday</v>
      </c>
      <c r="J996" s="10">
        <v>1</v>
      </c>
      <c r="K996" s="10">
        <v>0.36</v>
      </c>
      <c r="L996" s="51">
        <v>0.33329999999999999</v>
      </c>
      <c r="M996" s="10">
        <v>0.4</v>
      </c>
      <c r="N996" s="10">
        <v>0.29849999999999999</v>
      </c>
      <c r="O996" s="10">
        <v>0</v>
      </c>
      <c r="P996" s="10">
        <v>2</v>
      </c>
      <c r="Q996" s="10">
        <v>2</v>
      </c>
      <c r="R996" s="10" t="str">
        <f>VLOOKUP(Cleaned_datasetB[[#This Row],[Weather_Code]],Lookup_Tables!$E$9:$F$13,2,FALSE)</f>
        <v>Clear</v>
      </c>
      <c r="S996" s="10" t="str">
        <f>INDEX(Lookup_Tables!$I$10:$I$16,MATCH(Cleaned_datasetB[[#This Row],[Day_Code]],Lookup_Tables!$H$10:$H$16,0))</f>
        <v>Monday</v>
      </c>
      <c r="T996" s="10" t="str">
        <f>VLOOKUP(Cleaned_datasetB[[#This Row],[Month]], Lookup_Tables!$K$8:$L$19, 2, FALSE)</f>
        <v>February</v>
      </c>
      <c r="U996" s="10" t="str">
        <f>IF(AND(Cleaned_datasetB[[#This Row],[Day_Type]]="Weekday",Cleaned_datasetB[[#This Row],[Is_Holiday]]=FALSE),"Working Day","Non-Working Day")</f>
        <v>Working Day</v>
      </c>
    </row>
    <row r="997" spans="1:21">
      <c r="A997" s="10">
        <v>996</v>
      </c>
      <c r="B997" s="23">
        <v>40588</v>
      </c>
      <c r="C997" s="10">
        <v>1</v>
      </c>
      <c r="D997" s="10">
        <v>0</v>
      </c>
      <c r="E997" s="10">
        <v>2</v>
      </c>
      <c r="F997" s="10">
        <v>3</v>
      </c>
      <c r="G997" s="10" t="b">
        <v>0</v>
      </c>
      <c r="H997" s="10">
        <v>1</v>
      </c>
      <c r="I997" s="10" t="str">
        <f>IF(OR(Cleaned_datasetB[[#This Row],[Day_Code]]=0,Cleaned_datasetB[[#This Row],[Day_Code]]=6),"Weekend","Weekday")</f>
        <v>Weekday</v>
      </c>
      <c r="J997" s="10">
        <v>1</v>
      </c>
      <c r="K997" s="10">
        <v>0.34</v>
      </c>
      <c r="L997" s="51">
        <v>0.31819999999999998</v>
      </c>
      <c r="M997" s="10">
        <v>0.46</v>
      </c>
      <c r="N997" s="10">
        <v>0.22389999999999999</v>
      </c>
      <c r="O997" s="10">
        <v>1</v>
      </c>
      <c r="P997" s="10">
        <v>1</v>
      </c>
      <c r="Q997" s="10">
        <v>2</v>
      </c>
      <c r="R997" s="10" t="str">
        <f>VLOOKUP(Cleaned_datasetB[[#This Row],[Weather_Code]],Lookup_Tables!$E$9:$F$13,2,FALSE)</f>
        <v>Clear</v>
      </c>
      <c r="S997" s="10" t="str">
        <f>INDEX(Lookup_Tables!$I$10:$I$16,MATCH(Cleaned_datasetB[[#This Row],[Day_Code]],Lookup_Tables!$H$10:$H$16,0))</f>
        <v>Monday</v>
      </c>
      <c r="T997" s="10" t="str">
        <f>VLOOKUP(Cleaned_datasetB[[#This Row],[Month]], Lookup_Tables!$K$8:$L$19, 2, FALSE)</f>
        <v>February</v>
      </c>
      <c r="U997" s="10" t="str">
        <f>IF(AND(Cleaned_datasetB[[#This Row],[Day_Type]]="Weekday",Cleaned_datasetB[[#This Row],[Is_Holiday]]=FALSE),"Working Day","Non-Working Day")</f>
        <v>Working Day</v>
      </c>
    </row>
    <row r="998" spans="1:21">
      <c r="A998" s="10">
        <v>997</v>
      </c>
      <c r="B998" s="23">
        <v>40588</v>
      </c>
      <c r="C998" s="10">
        <v>1</v>
      </c>
      <c r="D998" s="10">
        <v>0</v>
      </c>
      <c r="E998" s="10">
        <v>2</v>
      </c>
      <c r="F998" s="10">
        <v>4</v>
      </c>
      <c r="G998" s="10" t="b">
        <v>0</v>
      </c>
      <c r="H998" s="10">
        <v>1</v>
      </c>
      <c r="I998" s="10" t="str">
        <f>IF(OR(Cleaned_datasetB[[#This Row],[Day_Code]]=0,Cleaned_datasetB[[#This Row],[Day_Code]]=6),"Weekend","Weekday")</f>
        <v>Weekday</v>
      </c>
      <c r="J998" s="10">
        <v>1</v>
      </c>
      <c r="K998" s="10">
        <v>0.32</v>
      </c>
      <c r="L998" s="51">
        <v>0.30299999999999999</v>
      </c>
      <c r="M998" s="10">
        <v>0.53</v>
      </c>
      <c r="N998" s="10">
        <v>0.28360000000000002</v>
      </c>
      <c r="O998" s="10">
        <v>0</v>
      </c>
      <c r="P998" s="10">
        <v>2</v>
      </c>
      <c r="Q998" s="10">
        <v>2</v>
      </c>
      <c r="R998" s="10" t="str">
        <f>VLOOKUP(Cleaned_datasetB[[#This Row],[Weather_Code]],Lookup_Tables!$E$9:$F$13,2,FALSE)</f>
        <v>Clear</v>
      </c>
      <c r="S998" s="10" t="str">
        <f>INDEX(Lookup_Tables!$I$10:$I$16,MATCH(Cleaned_datasetB[[#This Row],[Day_Code]],Lookup_Tables!$H$10:$H$16,0))</f>
        <v>Monday</v>
      </c>
      <c r="T998" s="10" t="str">
        <f>VLOOKUP(Cleaned_datasetB[[#This Row],[Month]], Lookup_Tables!$K$8:$L$19, 2, FALSE)</f>
        <v>February</v>
      </c>
      <c r="U998" s="10" t="str">
        <f>IF(AND(Cleaned_datasetB[[#This Row],[Day_Type]]="Weekday",Cleaned_datasetB[[#This Row],[Is_Holiday]]=FALSE),"Working Day","Non-Working Day")</f>
        <v>Working Day</v>
      </c>
    </row>
    <row r="999" spans="1:21">
      <c r="A999" s="10">
        <v>998</v>
      </c>
      <c r="B999" s="23">
        <v>40588</v>
      </c>
      <c r="C999" s="10">
        <v>1</v>
      </c>
      <c r="D999" s="10">
        <v>0</v>
      </c>
      <c r="E999" s="10">
        <v>2</v>
      </c>
      <c r="F999" s="10">
        <v>5</v>
      </c>
      <c r="G999" s="10" t="b">
        <v>0</v>
      </c>
      <c r="H999" s="10">
        <v>1</v>
      </c>
      <c r="I999" s="10" t="str">
        <f>IF(OR(Cleaned_datasetB[[#This Row],[Day_Code]]=0,Cleaned_datasetB[[#This Row],[Day_Code]]=6),"Weekend","Weekday")</f>
        <v>Weekday</v>
      </c>
      <c r="J999" s="10">
        <v>1</v>
      </c>
      <c r="K999" s="10">
        <v>0.32</v>
      </c>
      <c r="L999" s="51">
        <v>0.30299999999999999</v>
      </c>
      <c r="M999" s="10">
        <v>0.53</v>
      </c>
      <c r="N999" s="10">
        <v>0.28360000000000002</v>
      </c>
      <c r="O999" s="10">
        <v>0</v>
      </c>
      <c r="P999" s="10">
        <v>3</v>
      </c>
      <c r="Q999" s="10">
        <v>3</v>
      </c>
      <c r="R999" s="10" t="str">
        <f>VLOOKUP(Cleaned_datasetB[[#This Row],[Weather_Code]],Lookup_Tables!$E$9:$F$13,2,FALSE)</f>
        <v>Clear</v>
      </c>
      <c r="S999" s="10" t="str">
        <f>INDEX(Lookup_Tables!$I$10:$I$16,MATCH(Cleaned_datasetB[[#This Row],[Day_Code]],Lookup_Tables!$H$10:$H$16,0))</f>
        <v>Monday</v>
      </c>
      <c r="T999" s="10" t="str">
        <f>VLOOKUP(Cleaned_datasetB[[#This Row],[Month]], Lookup_Tables!$K$8:$L$19, 2, FALSE)</f>
        <v>February</v>
      </c>
      <c r="U999" s="10" t="str">
        <f>IF(AND(Cleaned_datasetB[[#This Row],[Day_Type]]="Weekday",Cleaned_datasetB[[#This Row],[Is_Holiday]]=FALSE),"Working Day","Non-Working Day")</f>
        <v>Working Day</v>
      </c>
    </row>
    <row r="1000" spans="1:21">
      <c r="A1000" s="10">
        <v>999</v>
      </c>
      <c r="B1000" s="23">
        <v>40588</v>
      </c>
      <c r="C1000" s="10">
        <v>1</v>
      </c>
      <c r="D1000" s="10">
        <v>0</v>
      </c>
      <c r="E1000" s="10">
        <v>2</v>
      </c>
      <c r="F1000" s="10">
        <v>6</v>
      </c>
      <c r="G1000" s="10" t="b">
        <v>0</v>
      </c>
      <c r="H1000" s="10">
        <v>1</v>
      </c>
      <c r="I1000" s="10" t="str">
        <f>IF(OR(Cleaned_datasetB[[#This Row],[Day_Code]]=0,Cleaned_datasetB[[#This Row],[Day_Code]]=6),"Weekend","Weekday")</f>
        <v>Weekday</v>
      </c>
      <c r="J1000" s="10">
        <v>1</v>
      </c>
      <c r="K1000" s="10">
        <v>0.34</v>
      </c>
      <c r="L1000" s="51">
        <v>0.30299999999999999</v>
      </c>
      <c r="M1000" s="10">
        <v>0.46</v>
      </c>
      <c r="N1000" s="10">
        <v>0.29849999999999999</v>
      </c>
      <c r="O1000" s="10">
        <v>1</v>
      </c>
      <c r="P1000" s="10">
        <v>25</v>
      </c>
      <c r="Q1000" s="10">
        <v>26</v>
      </c>
      <c r="R1000" s="10" t="str">
        <f>VLOOKUP(Cleaned_datasetB[[#This Row],[Weather_Code]],Lookup_Tables!$E$9:$F$13,2,FALSE)</f>
        <v>Clear</v>
      </c>
      <c r="S1000" s="10" t="str">
        <f>INDEX(Lookup_Tables!$I$10:$I$16,MATCH(Cleaned_datasetB[[#This Row],[Day_Code]],Lookup_Tables!$H$10:$H$16,0))</f>
        <v>Monday</v>
      </c>
      <c r="T1000" s="10" t="str">
        <f>VLOOKUP(Cleaned_datasetB[[#This Row],[Month]], Lookup_Tables!$K$8:$L$19, 2, FALSE)</f>
        <v>February</v>
      </c>
      <c r="U1000" s="10" t="str">
        <f>IF(AND(Cleaned_datasetB[[#This Row],[Day_Type]]="Weekday",Cleaned_datasetB[[#This Row],[Is_Holiday]]=FALSE),"Working Day","Non-Working Day")</f>
        <v>Working Day</v>
      </c>
    </row>
    <row r="1001" spans="1:21">
      <c r="A1001" s="10">
        <v>1000</v>
      </c>
      <c r="B1001" s="23">
        <v>40588</v>
      </c>
      <c r="C1001" s="10">
        <v>1</v>
      </c>
      <c r="D1001" s="10">
        <v>0</v>
      </c>
      <c r="E1001" s="10">
        <v>2</v>
      </c>
      <c r="F1001" s="10">
        <v>7</v>
      </c>
      <c r="G1001" s="10" t="b">
        <v>0</v>
      </c>
      <c r="H1001" s="10">
        <v>1</v>
      </c>
      <c r="I1001" s="10" t="str">
        <f>IF(OR(Cleaned_datasetB[[#This Row],[Day_Code]]=0,Cleaned_datasetB[[#This Row],[Day_Code]]=6),"Weekend","Weekday")</f>
        <v>Weekday</v>
      </c>
      <c r="J1001" s="10">
        <v>1</v>
      </c>
      <c r="K1001" s="10">
        <v>0.34</v>
      </c>
      <c r="L1001" s="51">
        <v>0.30299999999999999</v>
      </c>
      <c r="M1001" s="10">
        <v>0.46</v>
      </c>
      <c r="N1001" s="10">
        <v>0.29849999999999999</v>
      </c>
      <c r="O1001" s="10">
        <v>2</v>
      </c>
      <c r="P1001" s="10">
        <v>96</v>
      </c>
      <c r="Q1001" s="10">
        <v>98</v>
      </c>
      <c r="R1001" s="10" t="str">
        <f>VLOOKUP(Cleaned_datasetB[[#This Row],[Weather_Code]],Lookup_Tables!$E$9:$F$13,2,FALSE)</f>
        <v>Clear</v>
      </c>
      <c r="S1001" s="10" t="str">
        <f>INDEX(Lookup_Tables!$I$10:$I$16,MATCH(Cleaned_datasetB[[#This Row],[Day_Code]],Lookup_Tables!$H$10:$H$16,0))</f>
        <v>Monday</v>
      </c>
      <c r="T1001" s="10" t="str">
        <f>VLOOKUP(Cleaned_datasetB[[#This Row],[Month]], Lookup_Tables!$K$8:$L$19, 2, FALSE)</f>
        <v>February</v>
      </c>
      <c r="U1001" s="10" t="str">
        <f>IF(AND(Cleaned_datasetB[[#This Row],[Day_Type]]="Weekday",Cleaned_datasetB[[#This Row],[Is_Holiday]]=FALSE),"Working Day","Non-Working Day")</f>
        <v>Working Day</v>
      </c>
    </row>
  </sheetData>
  <mergeCells count="1">
    <mergeCell ref="W6:Z8"/>
  </mergeCells>
  <phoneticPr fontId="2" type="noConversion"/>
  <conditionalFormatting sqref="G2:G1001">
    <cfRule type="cellIs" dxfId="4" priority="5" operator="equal">
      <formula>TRUE</formula>
    </cfRule>
    <cfRule type="cellIs" dxfId="3" priority="6" operator="equal">
      <formula>TRUE</formula>
    </cfRule>
  </conditionalFormatting>
  <conditionalFormatting sqref="M2:M1001">
    <cfRule type="dataBar" priority="4">
      <dataBar>
        <cfvo type="min"/>
        <cfvo type="max"/>
        <color rgb="FFFFB628"/>
      </dataBar>
      <extLst>
        <ext xmlns:x14="http://schemas.microsoft.com/office/spreadsheetml/2009/9/main" uri="{B025F937-C7B1-47D3-B67F-A62EFF666E3E}">
          <x14:id>{6400558B-7A68-4A6D-8335-9AD7F0FFF09A}</x14:id>
        </ext>
      </extLst>
    </cfRule>
  </conditionalFormatting>
  <conditionalFormatting sqref="N2:N1001">
    <cfRule type="dataBar" priority="2">
      <dataBar>
        <cfvo type="min"/>
        <cfvo type="max"/>
        <color rgb="FF008AEF"/>
      </dataBar>
      <extLst>
        <ext xmlns:x14="http://schemas.microsoft.com/office/spreadsheetml/2009/9/main" uri="{B025F937-C7B1-47D3-B67F-A62EFF666E3E}">
          <x14:id>{8E708536-CDF0-49C0-980D-DBAFD684A220}</x14:id>
        </ext>
      </extLst>
    </cfRule>
  </conditionalFormatting>
  <conditionalFormatting sqref="Q2:Q1001">
    <cfRule type="expression" dxfId="2" priority="1">
      <formula>"Formula-based rule flagging statistical outliers, e.g. on Total_Rentals:   =[@Total_Rentals] &gt; AVERAGE(Cleaned_datasetB[Total_Rentals]) + 2*STDEV(Cleaned_datasetB[Total_Rentals])"</formula>
    </cfRule>
    <cfRule type="colorScale" priority="7">
      <colorScale>
        <cfvo type="min"/>
        <cfvo type="percentile" val="50"/>
        <cfvo type="max"/>
        <color rgb="FF63BE7B"/>
        <color rgb="FFFFEB84"/>
        <color rgb="FFF8696B"/>
      </colorScale>
    </cfRule>
  </conditionalFormatting>
  <pageMargins left="0.7" right="0.7" top="0.75" bottom="0.75" header="0.3" footer="0.3"/>
  <pageSetup orientation="portrait" r:id="rId1"/>
  <tableParts count="1">
    <tablePart r:id="rId2"/>
  </tableParts>
  <extLst>
    <ext xmlns:x14="http://schemas.microsoft.com/office/spreadsheetml/2009/9/main" uri="{78C0D931-6437-407d-A8EE-F0AAD7539E65}">
      <x14:conditionalFormattings>
        <x14:conditionalFormatting xmlns:xm="http://schemas.microsoft.com/office/excel/2006/main">
          <x14:cfRule type="dataBar" id="{6400558B-7A68-4A6D-8335-9AD7F0FFF09A}">
            <x14:dataBar minLength="0" maxLength="100" border="1" negativeBarBorderColorSameAsPositive="0">
              <x14:cfvo type="autoMin"/>
              <x14:cfvo type="autoMax"/>
              <x14:borderColor rgb="FFFFB628"/>
              <x14:negativeFillColor rgb="FFFF0000"/>
              <x14:negativeBorderColor rgb="FFFF0000"/>
              <x14:axisColor rgb="FF000000"/>
            </x14:dataBar>
          </x14:cfRule>
          <xm:sqref>M2:M1001</xm:sqref>
        </x14:conditionalFormatting>
        <x14:conditionalFormatting xmlns:xm="http://schemas.microsoft.com/office/excel/2006/main">
          <x14:cfRule type="dataBar" id="{8E708536-CDF0-49C0-980D-DBAFD684A220}">
            <x14:dataBar minLength="0" maxLength="100" border="1" negativeBarBorderColorSameAsPositive="0">
              <x14:cfvo type="autoMin"/>
              <x14:cfvo type="autoMax"/>
              <x14:borderColor rgb="FF008AEF"/>
              <x14:negativeFillColor rgb="FFFF0000"/>
              <x14:negativeBorderColor rgb="FFFF0000"/>
              <x14:axisColor rgb="FF000000"/>
            </x14:dataBar>
          </x14:cfRule>
          <xm:sqref>N2:N1001</xm:sqref>
        </x14:conditionalFormatting>
      </x14:conditionalFormatting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25"/>
  <sheetViews>
    <sheetView zoomScale="130" workbookViewId="0">
      <selection activeCell="D26" sqref="D26"/>
    </sheetView>
  </sheetViews>
  <sheetFormatPr defaultRowHeight="14.6"/>
  <cols>
    <col min="2" max="2" width="13.3046875" customWidth="1"/>
    <col min="3" max="3" width="16.69140625" bestFit="1" customWidth="1"/>
    <col min="4" max="4" width="9.84375" bestFit="1" customWidth="1"/>
    <col min="5" max="5" width="13.3046875" bestFit="1" customWidth="1"/>
    <col min="6" max="6" width="13.53515625" customWidth="1"/>
    <col min="7" max="7" width="10.4609375" bestFit="1" customWidth="1"/>
    <col min="9" max="9" width="10.4609375" bestFit="1" customWidth="1"/>
    <col min="11" max="11" width="13.07421875" customWidth="1"/>
    <col min="12" max="12" width="12" customWidth="1"/>
  </cols>
  <sheetData>
    <row r="1" spans="1:12">
      <c r="A1" s="3"/>
    </row>
    <row r="2" spans="1:12" ht="14.6" customHeight="1">
      <c r="C2" s="98" t="s">
        <v>16</v>
      </c>
      <c r="D2" s="98"/>
      <c r="E2" s="98"/>
      <c r="F2" s="98"/>
      <c r="G2" s="98"/>
      <c r="H2" s="98"/>
      <c r="I2" s="98"/>
      <c r="J2" s="98"/>
      <c r="K2" s="98"/>
    </row>
    <row r="3" spans="1:12">
      <c r="C3" s="98"/>
      <c r="D3" s="98"/>
      <c r="E3" s="98"/>
      <c r="F3" s="98"/>
      <c r="G3" s="98"/>
      <c r="H3" s="98"/>
      <c r="I3" s="98"/>
      <c r="J3" s="98"/>
      <c r="K3" s="98"/>
    </row>
    <row r="4" spans="1:12">
      <c r="C4" s="98"/>
      <c r="D4" s="98"/>
      <c r="E4" s="98"/>
      <c r="F4" s="98"/>
      <c r="G4" s="98"/>
      <c r="H4" s="98"/>
      <c r="I4" s="98"/>
      <c r="J4" s="98"/>
      <c r="K4" s="98"/>
    </row>
    <row r="7" spans="1:12">
      <c r="A7" s="47"/>
      <c r="B7" s="104" t="s">
        <v>141</v>
      </c>
      <c r="C7" s="105"/>
      <c r="D7" s="47"/>
      <c r="E7" s="99" t="s">
        <v>32</v>
      </c>
      <c r="F7" s="100"/>
      <c r="G7" s="47"/>
      <c r="H7" s="101" t="s">
        <v>33</v>
      </c>
      <c r="I7" s="102"/>
      <c r="J7" s="47"/>
      <c r="K7" s="96" t="s">
        <v>142</v>
      </c>
      <c r="L7" s="97"/>
    </row>
    <row r="8" spans="1:12" ht="15" thickBot="1"/>
    <row r="9" spans="1:12" ht="15" thickBot="1">
      <c r="B9" s="42" t="s">
        <v>56</v>
      </c>
      <c r="C9" s="42" t="s">
        <v>113</v>
      </c>
      <c r="E9" s="8" t="s">
        <v>62</v>
      </c>
      <c r="F9" s="9" t="s">
        <v>17</v>
      </c>
      <c r="H9" s="8" t="s">
        <v>70</v>
      </c>
      <c r="I9" s="9" t="s">
        <v>18</v>
      </c>
      <c r="K9" s="45" t="s">
        <v>156</v>
      </c>
      <c r="L9" s="46" t="s">
        <v>58</v>
      </c>
    </row>
    <row r="10" spans="1:12">
      <c r="B10" s="38">
        <v>1</v>
      </c>
      <c r="C10" s="38" t="s">
        <v>114</v>
      </c>
      <c r="E10" s="4">
        <v>1</v>
      </c>
      <c r="F10" s="6" t="s">
        <v>27</v>
      </c>
      <c r="H10" s="4">
        <v>0</v>
      </c>
      <c r="I10" s="6" t="s">
        <v>19</v>
      </c>
      <c r="K10" s="13">
        <v>1</v>
      </c>
      <c r="L10" s="43" t="s">
        <v>118</v>
      </c>
    </row>
    <row r="11" spans="1:12">
      <c r="B11" s="38">
        <v>2</v>
      </c>
      <c r="C11" s="38" t="s">
        <v>115</v>
      </c>
      <c r="E11" s="4">
        <v>2</v>
      </c>
      <c r="F11" s="6" t="s">
        <v>28</v>
      </c>
      <c r="H11" s="4">
        <v>1</v>
      </c>
      <c r="I11" s="6" t="s">
        <v>20</v>
      </c>
      <c r="K11" s="13">
        <v>2</v>
      </c>
      <c r="L11" s="43" t="s">
        <v>119</v>
      </c>
    </row>
    <row r="12" spans="1:12">
      <c r="B12" s="38">
        <v>3</v>
      </c>
      <c r="C12" s="38" t="s">
        <v>116</v>
      </c>
      <c r="E12" s="4">
        <v>3</v>
      </c>
      <c r="F12" s="6" t="s">
        <v>71</v>
      </c>
      <c r="H12" s="4">
        <v>2</v>
      </c>
      <c r="I12" s="6" t="s">
        <v>21</v>
      </c>
      <c r="K12" s="13">
        <v>3</v>
      </c>
      <c r="L12" s="43" t="s">
        <v>120</v>
      </c>
    </row>
    <row r="13" spans="1:12" ht="15" thickBot="1">
      <c r="B13" s="38">
        <v>4</v>
      </c>
      <c r="C13" s="38" t="s">
        <v>117</v>
      </c>
      <c r="E13" s="5">
        <v>4</v>
      </c>
      <c r="F13" s="7" t="s">
        <v>29</v>
      </c>
      <c r="H13" s="4">
        <v>3</v>
      </c>
      <c r="I13" s="6" t="s">
        <v>22</v>
      </c>
      <c r="K13" s="13">
        <v>4</v>
      </c>
      <c r="L13" s="43" t="s">
        <v>121</v>
      </c>
    </row>
    <row r="14" spans="1:12">
      <c r="B14" s="41"/>
      <c r="C14" s="36"/>
      <c r="H14" s="4">
        <v>4</v>
      </c>
      <c r="I14" s="6" t="s">
        <v>23</v>
      </c>
      <c r="K14" s="13">
        <v>5</v>
      </c>
      <c r="L14" s="43" t="s">
        <v>122</v>
      </c>
    </row>
    <row r="15" spans="1:12">
      <c r="B15" s="41"/>
      <c r="C15" s="36"/>
      <c r="H15" s="4">
        <v>5</v>
      </c>
      <c r="I15" s="6" t="s">
        <v>24</v>
      </c>
      <c r="K15" s="13">
        <v>6</v>
      </c>
      <c r="L15" s="43" t="s">
        <v>123</v>
      </c>
    </row>
    <row r="16" spans="1:12" ht="15" thickBot="1">
      <c r="B16" s="41"/>
      <c r="C16" s="36"/>
      <c r="H16" s="5">
        <v>6</v>
      </c>
      <c r="I16" s="7" t="s">
        <v>25</v>
      </c>
      <c r="K16" s="13">
        <v>7</v>
      </c>
      <c r="L16" s="43" t="s">
        <v>124</v>
      </c>
    </row>
    <row r="17" spans="2:12">
      <c r="B17" s="41"/>
      <c r="C17" s="36"/>
      <c r="K17" s="13">
        <v>8</v>
      </c>
      <c r="L17" s="43" t="s">
        <v>125</v>
      </c>
    </row>
    <row r="18" spans="2:12">
      <c r="K18" s="13">
        <v>9</v>
      </c>
      <c r="L18" s="43" t="s">
        <v>126</v>
      </c>
    </row>
    <row r="19" spans="2:12">
      <c r="K19" s="13">
        <v>10</v>
      </c>
      <c r="L19" s="43" t="s">
        <v>127</v>
      </c>
    </row>
    <row r="20" spans="2:12">
      <c r="K20" s="13">
        <v>11</v>
      </c>
      <c r="L20" s="43" t="s">
        <v>128</v>
      </c>
    </row>
    <row r="21" spans="2:12">
      <c r="K21" s="15">
        <v>12</v>
      </c>
      <c r="L21" s="44" t="s">
        <v>129</v>
      </c>
    </row>
    <row r="24" spans="2:12">
      <c r="D24" s="103" t="s">
        <v>100</v>
      </c>
      <c r="E24" s="103"/>
      <c r="F24" s="103"/>
      <c r="G24" s="103"/>
      <c r="H24" s="103"/>
    </row>
    <row r="25" spans="2:12">
      <c r="D25" s="103"/>
      <c r="E25" s="103"/>
      <c r="F25" s="103"/>
      <c r="G25" s="103"/>
      <c r="H25" s="103"/>
    </row>
  </sheetData>
  <mergeCells count="6">
    <mergeCell ref="K7:L7"/>
    <mergeCell ref="C2:K4"/>
    <mergeCell ref="E7:F7"/>
    <mergeCell ref="H7:I7"/>
    <mergeCell ref="D24:H25"/>
    <mergeCell ref="B7:C7"/>
  </mergeCells>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590DD4-C57A-417A-B10D-1D99836138F5}">
  <dimension ref="B1:AB45"/>
  <sheetViews>
    <sheetView topLeftCell="A8" zoomScale="102" workbookViewId="0">
      <selection activeCell="B23" sqref="B23:C23"/>
    </sheetView>
  </sheetViews>
  <sheetFormatPr defaultColWidth="11.07421875" defaultRowHeight="20.6" customHeight="1"/>
  <cols>
    <col min="1" max="1" width="11.07421875" style="28"/>
    <col min="2" max="2" width="28.3046875" style="28" bestFit="1" customWidth="1"/>
    <col min="3" max="3" width="13.4609375" style="28" customWidth="1"/>
    <col min="4" max="4" width="11.07421875" style="28"/>
    <col min="5" max="5" width="19.69140625" style="28" bestFit="1" customWidth="1"/>
    <col min="6" max="6" width="15.15234375" style="28" bestFit="1" customWidth="1"/>
    <col min="7" max="7" width="11.69140625" style="28" bestFit="1" customWidth="1"/>
    <col min="8" max="8" width="24.15234375" style="28" bestFit="1" customWidth="1"/>
    <col min="9" max="9" width="13.921875" style="28" bestFit="1" customWidth="1"/>
    <col min="10" max="10" width="11.3046875" style="28" bestFit="1" customWidth="1"/>
    <col min="11" max="11" width="20.15234375" style="28" bestFit="1" customWidth="1"/>
    <col min="12" max="12" width="24.23046875" style="28" customWidth="1"/>
    <col min="13" max="13" width="12.921875" style="28" bestFit="1" customWidth="1"/>
    <col min="14" max="14" width="16.4609375" style="28" bestFit="1" customWidth="1"/>
    <col min="15" max="15" width="16.3046875" style="28" bestFit="1" customWidth="1"/>
    <col min="16" max="16384" width="11.07421875" style="28"/>
  </cols>
  <sheetData>
    <row r="1" spans="2:27" s="84" customFormat="1" ht="20.6" customHeight="1"/>
    <row r="2" spans="2:27" ht="20.6" customHeight="1">
      <c r="B2" s="111" t="s">
        <v>91</v>
      </c>
      <c r="C2" s="111"/>
      <c r="D2" s="111"/>
      <c r="E2" s="111"/>
      <c r="F2" s="111"/>
      <c r="G2" s="111"/>
      <c r="H2" s="111"/>
      <c r="I2" s="111"/>
      <c r="J2" s="111"/>
      <c r="K2" s="111"/>
      <c r="L2" s="111"/>
      <c r="M2" s="111"/>
      <c r="N2" s="111"/>
    </row>
    <row r="3" spans="2:27" ht="20.6" customHeight="1">
      <c r="B3" s="111"/>
      <c r="C3" s="111"/>
      <c r="D3" s="111"/>
      <c r="E3" s="111"/>
      <c r="F3" s="111"/>
      <c r="G3" s="111"/>
      <c r="H3" s="111"/>
      <c r="I3" s="111"/>
      <c r="J3" s="111"/>
      <c r="K3" s="111"/>
      <c r="L3" s="111"/>
      <c r="M3" s="111"/>
      <c r="N3" s="111"/>
      <c r="Z3" s="28">
        <v>0</v>
      </c>
      <c r="AA3" s="28">
        <f>AVERAGEIF(Cleaned_datasetB[Hour], Z3, Cleaned_datasetB[Total_Rentals])</f>
        <v>16.348837209302324</v>
      </c>
    </row>
    <row r="4" spans="2:27" ht="20.6" customHeight="1">
      <c r="B4" s="111"/>
      <c r="C4" s="111"/>
      <c r="D4" s="111"/>
      <c r="E4" s="111"/>
      <c r="F4" s="111"/>
      <c r="G4" s="111"/>
      <c r="H4" s="111"/>
      <c r="I4" s="111"/>
      <c r="J4" s="111"/>
      <c r="K4" s="111"/>
      <c r="L4" s="111"/>
      <c r="M4" s="111"/>
      <c r="N4" s="111"/>
      <c r="Z4" s="28">
        <v>1</v>
      </c>
      <c r="AA4" s="28">
        <f>AVERAGEIF(Cleaned_datasetB[Hour], Z4, Cleaned_datasetB[Total_Rentals])</f>
        <v>10.697674418604651</v>
      </c>
    </row>
    <row r="5" spans="2:27" ht="20.6" customHeight="1">
      <c r="Z5" s="28">
        <v>2</v>
      </c>
      <c r="AA5" s="28">
        <f>AVERAGEIF(Cleaned_datasetB[Hour], Z5, Cleaned_datasetB[Total_Rentals])</f>
        <v>7.1707317073170733</v>
      </c>
    </row>
    <row r="6" spans="2:27" s="27" customFormat="1" ht="20.6" customHeight="1" thickBot="1">
      <c r="B6" s="110" t="s">
        <v>34</v>
      </c>
      <c r="C6" s="110"/>
      <c r="E6" s="110" t="s">
        <v>49</v>
      </c>
      <c r="F6" s="110"/>
      <c r="G6" s="50"/>
      <c r="H6" s="24"/>
      <c r="I6" s="24"/>
      <c r="K6" s="110" t="s">
        <v>50</v>
      </c>
      <c r="L6" s="110"/>
      <c r="Z6" s="28">
        <v>3</v>
      </c>
      <c r="AA6" s="28">
        <f>AVERAGEIF(Cleaned_datasetB[Hour], Z6, Cleaned_datasetB[Total_Rentals])</f>
        <v>4.870967741935484</v>
      </c>
    </row>
    <row r="7" spans="2:27" ht="20.6" customHeight="1" thickTop="1">
      <c r="B7" s="11"/>
      <c r="C7" s="25"/>
      <c r="E7" s="11"/>
      <c r="F7" s="25"/>
      <c r="H7" s="11"/>
      <c r="I7" s="25"/>
      <c r="K7" s="11"/>
      <c r="L7" s="25"/>
      <c r="Z7" s="28">
        <v>4</v>
      </c>
      <c r="AA7" s="28">
        <f>AVERAGEIF(Cleaned_datasetB[Hour], Z7, Cleaned_datasetB[Total_Rentals])</f>
        <v>2.15625</v>
      </c>
    </row>
    <row r="8" spans="2:27" ht="20.6" customHeight="1">
      <c r="B8" s="37" t="s">
        <v>35</v>
      </c>
      <c r="C8" s="37" t="s">
        <v>85</v>
      </c>
      <c r="E8" s="19" t="s">
        <v>44</v>
      </c>
      <c r="F8" s="21" t="s">
        <v>45</v>
      </c>
      <c r="G8" s="21" t="s">
        <v>46</v>
      </c>
      <c r="H8" s="21" t="s">
        <v>47</v>
      </c>
      <c r="I8" s="20" t="s">
        <v>86</v>
      </c>
      <c r="K8" s="37" t="s">
        <v>102</v>
      </c>
      <c r="L8" s="20" t="s">
        <v>73</v>
      </c>
      <c r="M8" s="20" t="s">
        <v>72</v>
      </c>
      <c r="N8" s="20" t="s">
        <v>30</v>
      </c>
      <c r="O8" s="85"/>
      <c r="Z8" s="28">
        <v>5</v>
      </c>
      <c r="AA8" s="28">
        <f>AVERAGEIF(Cleaned_datasetB[Hour], Z8, Cleaned_datasetB[Total_Rentals])</f>
        <v>4.2051282051282053</v>
      </c>
    </row>
    <row r="9" spans="2:27" ht="20.6" customHeight="1">
      <c r="B9" s="38" t="s">
        <v>30</v>
      </c>
      <c r="C9" s="39">
        <f>SUM(Cleaned_datasetB[Total_Rentals])</f>
        <v>58304</v>
      </c>
      <c r="E9" s="13" t="s">
        <v>30</v>
      </c>
      <c r="F9" s="17">
        <f>AVERAGE(Cleaned_datasetB[Total_Rentals])</f>
        <v>58.304000000000002</v>
      </c>
      <c r="G9" s="17">
        <f>MIN(Cleaned_datasetB[Total_Rentals])</f>
        <v>1</v>
      </c>
      <c r="H9" s="17">
        <f>MAX(Cleaned_datasetB[Total_Rentals])</f>
        <v>249</v>
      </c>
      <c r="I9" s="14">
        <f>_xlfn.STDEV.S(Cleaned_datasetB[Total_Rentals])</f>
        <v>50.985557867999354</v>
      </c>
      <c r="J9" s="11"/>
      <c r="K9" s="87" t="s">
        <v>63</v>
      </c>
      <c r="L9" s="14">
        <f>CORREL(Cleaned_datasetB[Temperature],Cleaned_datasetB[Registered_Rentals])</f>
        <v>0.16904504909761614</v>
      </c>
      <c r="M9" s="17">
        <f>CORREL(Cleaned_datasetB[Temperature],Cleaned_datasetB[Casual_Rentals])</f>
        <v>0.47022073160199324</v>
      </c>
      <c r="N9" s="17">
        <f>CORREL(Cleaned_datasetB[Temperature],Cleaned_datasetB[Total_Rentals])</f>
        <v>0.22929155386993369</v>
      </c>
      <c r="O9" s="25"/>
      <c r="Z9" s="28">
        <v>6</v>
      </c>
      <c r="AA9" s="28">
        <f>AVERAGEIF(Cleaned_datasetB[Hour], Z9, Cleaned_datasetB[Total_Rentals])</f>
        <v>19.571428571428573</v>
      </c>
    </row>
    <row r="10" spans="2:27" ht="20.6" customHeight="1">
      <c r="B10" s="38" t="s">
        <v>36</v>
      </c>
      <c r="C10" s="39">
        <f>SUM(Cleaned_datasetB[Casual_Rentals])</f>
        <v>4921</v>
      </c>
      <c r="E10" s="13" t="s">
        <v>72</v>
      </c>
      <c r="F10" s="17">
        <f>AVERAGE(Cleaned_datasetB[Casual_Rentals])</f>
        <v>4.9210000000000003</v>
      </c>
      <c r="G10" s="17">
        <f>MIN(Cleaned_datasetB[Casual_Rentals])</f>
        <v>0</v>
      </c>
      <c r="H10" s="17">
        <f>MAX(Cleaned_datasetB[Casual_Rentals])</f>
        <v>62</v>
      </c>
      <c r="I10" s="14">
        <f>_xlfn.STDEV.S(Cleaned_datasetB[Casual_Rentals])</f>
        <v>7.6438987557520797</v>
      </c>
      <c r="K10" s="87" t="s">
        <v>103</v>
      </c>
      <c r="L10" s="14">
        <f>CORREL(Cleaned_datasetB[Assumed_Temperature], Cleaned_datasetB[Registered_Rentals])</f>
        <v>0.13823080131207147</v>
      </c>
      <c r="M10" s="17">
        <f>CORREL(Cleaned_datasetB[Assumed_Temperature], Cleaned_datasetB[Casual_Rentals])</f>
        <v>0.4235527525620208</v>
      </c>
      <c r="N10" s="17">
        <f>CORREL(Cleaned_datasetB[Assumed_Temperature], Cleaned_datasetB[Total_Rentals])</f>
        <v>0.19334918171516929</v>
      </c>
      <c r="O10" s="25"/>
      <c r="Z10" s="28">
        <v>7</v>
      </c>
      <c r="AA10" s="28">
        <f>AVERAGEIF(Cleaned_datasetB[Hour], Z10, Cleaned_datasetB[Total_Rentals])</f>
        <v>54.395348837209305</v>
      </c>
    </row>
    <row r="11" spans="2:27" ht="20.6" customHeight="1">
      <c r="B11" s="38" t="s">
        <v>37</v>
      </c>
      <c r="C11" s="39">
        <f>SUM(Cleaned_datasetB[Registered_Rentals])</f>
        <v>53383</v>
      </c>
      <c r="E11" s="13" t="s">
        <v>73</v>
      </c>
      <c r="F11" s="17">
        <f>AVERAGE(Cleaned_datasetB[Registered_Rentals])</f>
        <v>53.383000000000003</v>
      </c>
      <c r="G11" s="17">
        <f>MIN(Cleaned_datasetB[Registered_Rentals])</f>
        <v>0</v>
      </c>
      <c r="H11" s="17">
        <f>MAX(Cleaned_datasetB[Registered_Rentals])</f>
        <v>247</v>
      </c>
      <c r="I11" s="14">
        <f>_xlfn.STDEV.S(Cleaned_datasetB[Registered_Rentals])</f>
        <v>47.893967711426278</v>
      </c>
      <c r="K11" s="87" t="s">
        <v>64</v>
      </c>
      <c r="L11" s="14">
        <f>CORREL(Cleaned_datasetB[Humidity],Cleaned_datasetB[Registered_Rentals])</f>
        <v>-0.22937044088624536</v>
      </c>
      <c r="M11" s="17">
        <f>CORREL(Cleaned_datasetB[Humidity],Cleaned_datasetB[Casual_Rentals])</f>
        <v>-0.2594074545428624</v>
      </c>
      <c r="N11" s="17">
        <f>CORREL(Cleaned_datasetB[Humidity],Cleaned_datasetB[Total_Rentals])</f>
        <v>-0.25435329828790432</v>
      </c>
      <c r="O11" s="25"/>
      <c r="Z11" s="28">
        <v>8</v>
      </c>
      <c r="AA11" s="28">
        <f>AVERAGEIF(Cleaned_datasetB[Hour], Z11, Cleaned_datasetB[Total_Rentals])</f>
        <v>128.28571428571428</v>
      </c>
    </row>
    <row r="12" spans="2:27" ht="20.6" customHeight="1">
      <c r="B12" s="38" t="s">
        <v>38</v>
      </c>
      <c r="C12" s="39">
        <f>AVERAGE(Cleaned_datasetB[Total_Rentals])</f>
        <v>58.304000000000002</v>
      </c>
      <c r="E12" s="13" t="s">
        <v>63</v>
      </c>
      <c r="F12" s="17">
        <f>AVERAGE(Cleaned_datasetB[Temperature])</f>
        <v>0.20589999999999961</v>
      </c>
      <c r="G12" s="17">
        <f>MIN(Cleaned_datasetB[Temperature])</f>
        <v>0.02</v>
      </c>
      <c r="H12" s="17">
        <f>MAX(Cleaned_datasetB[Temperature])</f>
        <v>0.46</v>
      </c>
      <c r="I12" s="14">
        <f>_xlfn.STDEV.S(Cleaned_datasetB[Temperature])</f>
        <v>7.8977385544392681E-2</v>
      </c>
      <c r="K12" s="88" t="s">
        <v>74</v>
      </c>
      <c r="L12" s="16">
        <f>CORREL(Cleaned_datasetB[Wind_Speed],Cleaned_datasetB[Registered_Rentals])</f>
        <v>9.0058728679306796E-2</v>
      </c>
      <c r="M12" s="18">
        <f>CORREL(Cleaned_datasetB[Wind_Speed],Cleaned_datasetB[Casual_Rentals])</f>
        <v>0.12939194234487605</v>
      </c>
      <c r="N12" s="18">
        <f>CORREL(Cleaned_datasetB[Wind_Speed],Cleaned_datasetB[Total_Rentals])</f>
        <v>0.10399668008577614</v>
      </c>
      <c r="O12" s="25"/>
      <c r="Z12" s="28">
        <v>9</v>
      </c>
      <c r="AA12" s="28">
        <f>AVERAGEIF(Cleaned_datasetB[Hour], Z12, Cleaned_datasetB[Total_Rentals])</f>
        <v>87.428571428571431</v>
      </c>
    </row>
    <row r="13" spans="2:27" ht="20.6" customHeight="1">
      <c r="B13" s="38" t="s">
        <v>39</v>
      </c>
      <c r="C13" s="39">
        <f>MAX(Cleaned_datasetB[Total_Rentals])</f>
        <v>249</v>
      </c>
      <c r="E13" s="13" t="s">
        <v>87</v>
      </c>
      <c r="F13" s="17">
        <f>AVERAGE(Cleaned_datasetB[Assumed_Temperature])</f>
        <v>0.21182558380634439</v>
      </c>
      <c r="G13" s="17">
        <f>MIN(Cleaned_datasetB[Assumed_Temperature])</f>
        <v>0</v>
      </c>
      <c r="H13" s="17">
        <f>MAX(Cleaned_datasetB[Assumed_Temperature])</f>
        <v>0.45450000000000002</v>
      </c>
      <c r="I13" s="14">
        <f>_xlfn.STDEV.S(Cleaned_datasetB[Assumed_Temperature])</f>
        <v>7.6289755347886318E-2</v>
      </c>
      <c r="Z13" s="28">
        <v>10</v>
      </c>
      <c r="AA13" s="28">
        <f>AVERAGEIF(Cleaned_datasetB[Hour], Z13, Cleaned_datasetB[Total_Rentals])</f>
        <v>53.642857142857146</v>
      </c>
    </row>
    <row r="14" spans="2:27" ht="20.6" customHeight="1">
      <c r="B14" s="38" t="s">
        <v>40</v>
      </c>
      <c r="C14" s="39">
        <f>MIN(Cleaned_datasetB[Total_Rentals])</f>
        <v>1</v>
      </c>
      <c r="E14" s="13" t="s">
        <v>64</v>
      </c>
      <c r="F14" s="17">
        <f>AVERAGE(Cleaned_datasetB[Humidity])</f>
        <v>0.58248000000000033</v>
      </c>
      <c r="G14" s="17">
        <f>MIN(Cleaned_datasetB[Humidity])</f>
        <v>0.21</v>
      </c>
      <c r="H14" s="17">
        <f>MAX(Cleaned_datasetB[Humidity])</f>
        <v>1</v>
      </c>
      <c r="I14" s="14">
        <f>_xlfn.STDEV.S(Cleaned_datasetB[Humidity])</f>
        <v>0.18797708632964827</v>
      </c>
      <c r="K14" s="108" t="s">
        <v>93</v>
      </c>
      <c r="L14" s="108"/>
      <c r="M14" s="108"/>
      <c r="N14" s="108"/>
      <c r="Z14" s="28">
        <v>11</v>
      </c>
      <c r="AA14" s="28">
        <f>AVERAGEIF(Cleaned_datasetB[Hour], Z14, Cleaned_datasetB[Total_Rentals])</f>
        <v>59.38095238095238</v>
      </c>
    </row>
    <row r="15" spans="2:27" ht="20.6" customHeight="1">
      <c r="B15" s="38" t="s">
        <v>41</v>
      </c>
      <c r="C15" s="39">
        <f>COUNT(Cleaned_datasetB[Record_ID])</f>
        <v>1000</v>
      </c>
      <c r="E15" s="15" t="s">
        <v>74</v>
      </c>
      <c r="F15" s="18">
        <f>AVERAGE(Cleaned_datasetB[Wind_Speed])</f>
        <v>0.19493129999999903</v>
      </c>
      <c r="G15" s="18">
        <f>MIN(Cleaned_datasetB[Wind_Speed])</f>
        <v>0</v>
      </c>
      <c r="H15" s="18">
        <f>MAX(Cleaned_datasetB[Wind_Speed])</f>
        <v>0.58209999999999995</v>
      </c>
      <c r="I15" s="16">
        <f>_xlfn.STDEV.S(Cleaned_datasetB[Wind_Speed])</f>
        <v>0.12912606627362996</v>
      </c>
      <c r="K15" s="109"/>
      <c r="L15" s="109"/>
      <c r="M15" s="109"/>
      <c r="N15" s="109"/>
      <c r="Z15" s="28">
        <v>12</v>
      </c>
      <c r="AA15" s="28">
        <f>AVERAGEIF(Cleaned_datasetB[Hour], Z15, Cleaned_datasetB[Total_Rentals])</f>
        <v>76.348837209302332</v>
      </c>
    </row>
    <row r="16" spans="2:27" ht="20.6" customHeight="1">
      <c r="B16" s="86" t="s">
        <v>105</v>
      </c>
      <c r="C16" s="39">
        <f>INDEX(Z3:Z26, MATCH(MAX(AA3:AA26), AA3:AA26, 0))</f>
        <v>17</v>
      </c>
      <c r="E16" s="26"/>
      <c r="F16" s="17"/>
      <c r="G16" s="17"/>
      <c r="H16" s="17"/>
      <c r="I16" s="17"/>
      <c r="Z16" s="28">
        <v>13</v>
      </c>
      <c r="AA16" s="28">
        <f>AVERAGEIF(Cleaned_datasetB[Hour], Z16, Cleaned_datasetB[Total_Rentals])</f>
        <v>78.511627906976742</v>
      </c>
    </row>
    <row r="17" spans="2:28" ht="25.3" customHeight="1">
      <c r="B17" s="38" t="s">
        <v>42</v>
      </c>
      <c r="C17" s="39">
        <f>SUM(Cleaned_datasetB[Casual_Rentals])/SUM(Cleaned_datasetB[Total_Rentals])</f>
        <v>8.4402442371020861E-2</v>
      </c>
      <c r="E17" s="112" t="s">
        <v>324</v>
      </c>
      <c r="F17" s="112"/>
      <c r="G17" s="112"/>
      <c r="H17" s="112"/>
      <c r="I17" s="112"/>
      <c r="AA17" s="28">
        <v>14</v>
      </c>
      <c r="AB17" s="28">
        <f>AVERAGEIF(Cleaned_datasetB[Hour], AA17, Cleaned_datasetB[Total_Rentals])</f>
        <v>74.418604651162795</v>
      </c>
    </row>
    <row r="18" spans="2:28" ht="14.6">
      <c r="B18" s="38" t="s">
        <v>43</v>
      </c>
      <c r="C18" s="39">
        <f>SUM(Cleaned_datasetB[Registered_Rentals])/SUM(Cleaned_datasetB[Total_Rentals])</f>
        <v>0.9155975576289791</v>
      </c>
      <c r="E18" s="112"/>
      <c r="F18" s="112"/>
      <c r="G18" s="112"/>
      <c r="H18" s="112"/>
      <c r="I18" s="112"/>
      <c r="Z18" s="28">
        <v>15</v>
      </c>
      <c r="AA18" s="28">
        <f>AVERAGEIF(Cleaned_datasetB[Hour], Z18, Cleaned_datasetB[Total_Rentals])</f>
        <v>77.95348837209302</v>
      </c>
    </row>
    <row r="19" spans="2:28" ht="14.6">
      <c r="B19" s="26"/>
      <c r="C19" s="17"/>
      <c r="E19" s="51"/>
      <c r="F19" s="51"/>
      <c r="G19" s="51"/>
      <c r="H19" s="51"/>
      <c r="I19" s="51"/>
      <c r="Z19" s="28">
        <v>16</v>
      </c>
      <c r="AA19" s="28">
        <f>AVERAGEIF(Cleaned_datasetB[Hour], Z19, Cleaned_datasetB[Total_Rentals])</f>
        <v>89.272727272727266</v>
      </c>
    </row>
    <row r="20" spans="2:28" ht="25.3" customHeight="1">
      <c r="B20" s="108" t="s">
        <v>92</v>
      </c>
      <c r="C20" s="108"/>
      <c r="M20"/>
      <c r="N20"/>
      <c r="O20"/>
      <c r="Z20" s="28">
        <v>17</v>
      </c>
      <c r="AA20" s="28">
        <f>AVERAGEIF(Cleaned_datasetB[Hour], Z20, Cleaned_datasetB[Total_Rentals])</f>
        <v>140.20454545454547</v>
      </c>
    </row>
    <row r="21" spans="2:28" ht="20.6" customHeight="1">
      <c r="B21" s="109"/>
      <c r="C21" s="109"/>
      <c r="M21"/>
      <c r="N21"/>
      <c r="O21"/>
      <c r="Z21" s="28">
        <v>18</v>
      </c>
      <c r="AA21" s="28">
        <f>AVERAGEIF(Cleaned_datasetB[Hour], Z21, Cleaned_datasetB[Total_Rentals])</f>
        <v>122.86046511627907</v>
      </c>
    </row>
    <row r="22" spans="2:28" ht="20.6" customHeight="1">
      <c r="B22" s="26"/>
      <c r="C22" s="26"/>
      <c r="M22"/>
      <c r="N22"/>
      <c r="O22"/>
      <c r="Z22" s="28">
        <v>19</v>
      </c>
      <c r="AA22" s="28">
        <f>AVERAGEIF(Cleaned_datasetB[Hour], Z22, Cleaned_datasetB[Total_Rentals])</f>
        <v>85.139534883720927</v>
      </c>
    </row>
    <row r="23" spans="2:28" s="27" customFormat="1" ht="20.6" customHeight="1" thickBot="1">
      <c r="B23" s="110" t="s">
        <v>51</v>
      </c>
      <c r="C23" s="110"/>
      <c r="E23" s="110" t="s">
        <v>52</v>
      </c>
      <c r="F23" s="110"/>
      <c r="G23" s="110"/>
      <c r="H23" s="50"/>
      <c r="K23" s="110" t="s">
        <v>53</v>
      </c>
      <c r="L23" s="110"/>
      <c r="M23"/>
      <c r="N23"/>
      <c r="O23"/>
      <c r="Z23" s="28">
        <v>20</v>
      </c>
      <c r="AA23" s="28">
        <f>AVERAGEIF(Cleaned_datasetB[Hour], Z23, Cleaned_datasetB[Total_Rentals])</f>
        <v>61.767441860465119</v>
      </c>
    </row>
    <row r="24" spans="2:28" ht="20.6" customHeight="1" thickTop="1">
      <c r="M24"/>
      <c r="N24"/>
      <c r="O24"/>
      <c r="Z24" s="28">
        <v>21</v>
      </c>
      <c r="AA24" s="28">
        <f>AVERAGEIF(Cleaned_datasetB[Hour], Z24, Cleaned_datasetB[Total_Rentals])</f>
        <v>46.418604651162788</v>
      </c>
    </row>
    <row r="25" spans="2:28" ht="20.6" customHeight="1">
      <c r="B25" s="19" t="s">
        <v>35</v>
      </c>
      <c r="C25" s="20" t="s">
        <v>85</v>
      </c>
      <c r="E25" s="19" t="s">
        <v>17</v>
      </c>
      <c r="F25" s="21" t="s">
        <v>79</v>
      </c>
      <c r="G25" s="21" t="s">
        <v>30</v>
      </c>
      <c r="H25" s="20" t="s">
        <v>38</v>
      </c>
      <c r="K25" s="19" t="s">
        <v>31</v>
      </c>
      <c r="L25" s="20" t="s">
        <v>85</v>
      </c>
      <c r="M25"/>
      <c r="N25"/>
      <c r="O25"/>
      <c r="Z25" s="28">
        <v>22</v>
      </c>
      <c r="AA25" s="28">
        <f>AVERAGEIF(Cleaned_datasetB[Hour], Z25, Cleaned_datasetB[Total_Rentals])</f>
        <v>35.069767441860463</v>
      </c>
    </row>
    <row r="26" spans="2:28" ht="20.6" customHeight="1">
      <c r="B26" s="13" t="s">
        <v>75</v>
      </c>
      <c r="C26" s="14">
        <f>AVERAGEIF(Cleaned_datasetB[Is_Holiday],TRUE,Cleaned_datasetB[Total_Rentals])</f>
        <v>41.666666666666664</v>
      </c>
      <c r="E26" s="13" t="s">
        <v>27</v>
      </c>
      <c r="F26" s="17">
        <f>COUNTIF(Cleaned_datasetB[Weather_Description],"Clear")</f>
        <v>606</v>
      </c>
      <c r="G26" s="17">
        <f>SUMIF(Cleaned_datasetB[Weather_Description],"Clear",Cleaned_datasetB[Total_Rentals])</f>
        <v>37373</v>
      </c>
      <c r="H26" s="14">
        <f>AVERAGEIF(Cleaned_datasetB[Weather_Description],"Clear",Cleaned_datasetB[Total_Rentals])</f>
        <v>61.671617161716171</v>
      </c>
      <c r="K26" s="13" t="s">
        <v>90</v>
      </c>
      <c r="L26" s="14" t="str">
        <f>LEFT(TEXT('Cleaned_DatasetB'!B2,"DD-MM-YYYY"),2)</f>
        <v>01</v>
      </c>
      <c r="M26"/>
      <c r="N26"/>
      <c r="O26"/>
      <c r="Z26" s="28">
        <v>23</v>
      </c>
      <c r="AA26" s="28">
        <f>AVERAGEIF(Cleaned_datasetB[Hour], Z26, Cleaned_datasetB[Total_Rentals])</f>
        <v>25.186046511627907</v>
      </c>
    </row>
    <row r="27" spans="2:28" ht="20.6" customHeight="1">
      <c r="B27" s="13" t="s">
        <v>76</v>
      </c>
      <c r="C27" s="14">
        <f>AVERAGEIF(Cleaned_datasetB[Is_Holiday],FALSE,Cleaned_datasetB[Total_Rentals])</f>
        <v>58.713114754098363</v>
      </c>
      <c r="E27" s="13" t="s">
        <v>28</v>
      </c>
      <c r="F27" s="17">
        <f>COUNTIF(Cleaned_datasetB[Weather_Description],"Cloudy")</f>
        <v>309</v>
      </c>
      <c r="G27" s="17">
        <f>SUMIF(Cleaned_datasetB[Weather_Description],"Cloudy",Cleaned_datasetB[Total_Rentals])</f>
        <v>18106</v>
      </c>
      <c r="H27" s="14">
        <f>AVERAGEIF(Cleaned_datasetB[Weather_Description],"Cloudy",Cleaned_datasetB[Total_Rentals])</f>
        <v>58.595469255663431</v>
      </c>
      <c r="K27" s="13" t="s">
        <v>89</v>
      </c>
      <c r="L27" s="14" t="str">
        <f>RIGHT(TEXT('Cleaned_DatasetB'!B2,"DD-MM-YYYY"),4)</f>
        <v>2011</v>
      </c>
      <c r="M27"/>
      <c r="N27"/>
      <c r="O27"/>
    </row>
    <row r="28" spans="2:28" ht="20.6" customHeight="1">
      <c r="B28" s="13" t="s">
        <v>77</v>
      </c>
      <c r="C28" s="14">
        <f>AVERAGEIF(Cleaned_datasetB[Day_Type],"Weekend",Cleaned_datasetB[Total_Rentals])</f>
        <v>48.087878787878786</v>
      </c>
      <c r="E28" s="13" t="s">
        <v>88</v>
      </c>
      <c r="F28" s="17">
        <f>COUNTIF(Cleaned_datasetB[Weather_Description],"Light Rain")</f>
        <v>84</v>
      </c>
      <c r="G28" s="17">
        <f>SUMIF(Cleaned_datasetB[Weather_Description],"Light Rain",Cleaned_datasetB[Total_Rentals])</f>
        <v>2789</v>
      </c>
      <c r="H28" s="14">
        <f>AVERAGEIF(Cleaned_datasetB[Weather_Description],"Light Rain",Cleaned_datasetB[Total_Rentals])</f>
        <v>33.202380952380949</v>
      </c>
      <c r="K28" s="13" t="s">
        <v>48</v>
      </c>
      <c r="L28" s="14" t="str">
        <f>TEXT(MIN(Cleaned_datasetB[Date]),"DD-MMM-YYYY")&amp;" to "&amp;TEXT(MAX(Cleaned_datasetB[Date]),"DD-MMM-YYYY")</f>
        <v>01-Jan-2011 to 14-Feb-2011</v>
      </c>
      <c r="M28"/>
      <c r="N28"/>
      <c r="O28"/>
    </row>
    <row r="29" spans="2:28" ht="20.6" customHeight="1">
      <c r="B29" s="15" t="s">
        <v>78</v>
      </c>
      <c r="C29" s="16">
        <f>AVERAGEIF(Cleaned_datasetB[Day_Type],"Weekday",Cleaned_datasetB[Total_Rentals])</f>
        <v>63.335820895522389</v>
      </c>
      <c r="E29" s="15" t="s">
        <v>29</v>
      </c>
      <c r="F29" s="18">
        <f>COUNTIF(Cleaned_datasetB[Weather_Description],"Heavy Rain")</f>
        <v>1</v>
      </c>
      <c r="G29" s="18">
        <f>SUMIF(Cleaned_datasetB[Weather_Description],"Heavy Rain",Cleaned_datasetB[Total_Rentals])</f>
        <v>36</v>
      </c>
      <c r="H29" s="16">
        <f>AVERAGEIF(Cleaned_datasetB[Weather_Description],"Heavy Rain",Cleaned_datasetB[Total_Rentals])</f>
        <v>36</v>
      </c>
      <c r="K29" s="15" t="s">
        <v>104</v>
      </c>
      <c r="L29" s="16" t="str">
        <f>VLOOKUP(INDEX(Cleaned_datasetB[Season_Code],1), Lookup_Tables!$B$10:$C$13, 2, FALSE)</f>
        <v>Winter</v>
      </c>
      <c r="M29"/>
      <c r="N29"/>
      <c r="O29"/>
    </row>
    <row r="30" spans="2:28" ht="20.6" customHeight="1">
      <c r="M30"/>
      <c r="N30"/>
      <c r="O30"/>
    </row>
    <row r="31" spans="2:28" ht="20.6" customHeight="1">
      <c r="B31" s="107" t="s">
        <v>94</v>
      </c>
      <c r="C31" s="107"/>
      <c r="E31" s="106" t="s">
        <v>106</v>
      </c>
      <c r="F31" s="106"/>
      <c r="G31" s="106"/>
      <c r="H31" s="106"/>
      <c r="I31" s="106"/>
      <c r="M31"/>
      <c r="N31"/>
      <c r="O31"/>
    </row>
    <row r="32" spans="2:28" ht="37.75" customHeight="1">
      <c r="B32" s="107"/>
      <c r="C32" s="107"/>
      <c r="E32" s="106"/>
      <c r="F32" s="106"/>
      <c r="G32" s="106"/>
      <c r="H32" s="106"/>
      <c r="I32" s="106"/>
      <c r="M32"/>
      <c r="N32"/>
      <c r="O32"/>
    </row>
    <row r="33" spans="13:15" ht="20.6" customHeight="1">
      <c r="M33"/>
      <c r="N33"/>
      <c r="O33"/>
    </row>
    <row r="34" spans="13:15" ht="20.6" customHeight="1">
      <c r="M34"/>
      <c r="N34"/>
      <c r="O34"/>
    </row>
    <row r="35" spans="13:15" ht="20.6" customHeight="1">
      <c r="M35"/>
      <c r="N35"/>
      <c r="O35"/>
    </row>
    <row r="36" spans="13:15" ht="20.6" customHeight="1">
      <c r="M36"/>
      <c r="N36"/>
      <c r="O36"/>
    </row>
    <row r="37" spans="13:15" ht="20.6" customHeight="1">
      <c r="M37"/>
      <c r="N37"/>
      <c r="O37"/>
    </row>
    <row r="38" spans="13:15" ht="20.6" customHeight="1">
      <c r="M38"/>
      <c r="N38"/>
    </row>
    <row r="39" spans="13:15" ht="20.6" customHeight="1">
      <c r="M39"/>
      <c r="N39"/>
    </row>
    <row r="40" spans="13:15" ht="20.6" customHeight="1">
      <c r="M40"/>
      <c r="N40"/>
    </row>
    <row r="41" spans="13:15" ht="20.6" customHeight="1">
      <c r="M41"/>
      <c r="N41"/>
    </row>
    <row r="42" spans="13:15" ht="20.6" customHeight="1">
      <c r="M42"/>
      <c r="N42"/>
    </row>
    <row r="43" spans="13:15" ht="20.6" customHeight="1">
      <c r="M43"/>
      <c r="N43"/>
    </row>
    <row r="44" spans="13:15" ht="20.6" customHeight="1">
      <c r="M44"/>
      <c r="N44"/>
    </row>
    <row r="45" spans="13:15" ht="20.6" customHeight="1">
      <c r="M45"/>
      <c r="N45"/>
    </row>
  </sheetData>
  <mergeCells count="12">
    <mergeCell ref="E17:I18"/>
    <mergeCell ref="B2:N4"/>
    <mergeCell ref="K14:N15"/>
    <mergeCell ref="E6:F6"/>
    <mergeCell ref="B6:C6"/>
    <mergeCell ref="K6:L6"/>
    <mergeCell ref="E31:I32"/>
    <mergeCell ref="B31:C32"/>
    <mergeCell ref="B20:C21"/>
    <mergeCell ref="K23:L23"/>
    <mergeCell ref="B23:C23"/>
    <mergeCell ref="E23:G23"/>
  </mergeCells>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FE2DA9-6688-4B99-B3A3-B317E6BD8EF1}">
  <dimension ref="B1:AI365"/>
  <sheetViews>
    <sheetView topLeftCell="A3" zoomScale="93" zoomScaleNormal="130" workbookViewId="0">
      <selection activeCell="G32" sqref="G32"/>
    </sheetView>
  </sheetViews>
  <sheetFormatPr defaultRowHeight="14.6"/>
  <cols>
    <col min="1" max="1" width="9.23046875" style="10"/>
    <col min="2" max="2" width="15.15234375" style="10" customWidth="1"/>
    <col min="3" max="3" width="10.69140625" style="10" bestFit="1" customWidth="1"/>
    <col min="4" max="4" width="14.53515625" style="10" bestFit="1" customWidth="1"/>
    <col min="5" max="5" width="12.3828125" style="10" bestFit="1" customWidth="1"/>
    <col min="6" max="6" width="17.69140625" style="10" bestFit="1" customWidth="1"/>
    <col min="7" max="7" width="19.4609375" style="10" bestFit="1" customWidth="1"/>
    <col min="8" max="8" width="16.07421875" style="10" bestFit="1" customWidth="1"/>
    <col min="9" max="9" width="19.15234375" style="10" bestFit="1" customWidth="1"/>
    <col min="10" max="10" width="10.84375" style="10" bestFit="1" customWidth="1"/>
    <col min="11" max="11" width="12.765625" style="10" bestFit="1" customWidth="1"/>
    <col min="12" max="12" width="11.15234375" style="10" bestFit="1" customWidth="1"/>
    <col min="13" max="13" width="15.53515625" style="10" bestFit="1" customWidth="1"/>
    <col min="14" max="14" width="19.765625" style="10" bestFit="1" customWidth="1"/>
    <col min="15" max="15" width="26.84375" style="10" bestFit="1" customWidth="1"/>
    <col min="16" max="16" width="19.765625" style="10" bestFit="1" customWidth="1"/>
    <col min="17" max="17" width="23.23046875" style="10" bestFit="1" customWidth="1"/>
    <col min="18" max="18" width="18.61328125" style="10" bestFit="1" customWidth="1"/>
    <col min="19" max="19" width="19.921875" style="10" bestFit="1" customWidth="1"/>
    <col min="20" max="20" width="27" style="10" bestFit="1" customWidth="1"/>
    <col min="21" max="21" width="13.07421875" style="10" bestFit="1" customWidth="1"/>
    <col min="22" max="22" width="23.15234375" style="10" bestFit="1" customWidth="1"/>
    <col min="23" max="23" width="26.921875" style="10" bestFit="1" customWidth="1"/>
    <col min="24" max="24" width="21.921875" style="10" bestFit="1" customWidth="1"/>
    <col min="25" max="29" width="18.61328125" style="10" bestFit="1" customWidth="1"/>
    <col min="30" max="30" width="15.69140625" style="10" bestFit="1" customWidth="1"/>
    <col min="31" max="31" width="19.921875" style="10" bestFit="1" customWidth="1"/>
    <col min="32" max="32" width="27" style="10" bestFit="1" customWidth="1"/>
    <col min="33" max="33" width="19.765625" style="10" bestFit="1" customWidth="1"/>
    <col min="34" max="34" width="23.53515625" style="10" bestFit="1" customWidth="1"/>
    <col min="35" max="35" width="18.61328125" style="10" bestFit="1" customWidth="1"/>
    <col min="36" max="36" width="11.15234375" style="10" bestFit="1" customWidth="1"/>
    <col min="37" max="37" width="18.61328125" style="10" bestFit="1" customWidth="1"/>
    <col min="38" max="38" width="11.15234375" style="10" bestFit="1" customWidth="1"/>
    <col min="39" max="39" width="18.61328125" style="10" bestFit="1" customWidth="1"/>
    <col min="40" max="40" width="11.15234375" style="10" bestFit="1" customWidth="1"/>
    <col min="41" max="41" width="18.61328125" style="10" bestFit="1" customWidth="1"/>
    <col min="42" max="42" width="11.15234375" style="10" bestFit="1" customWidth="1"/>
    <col min="43" max="43" width="18.61328125" style="10" bestFit="1" customWidth="1"/>
    <col min="44" max="44" width="11.15234375" style="10" bestFit="1" customWidth="1"/>
    <col min="45" max="45" width="18.61328125" style="10" bestFit="1" customWidth="1"/>
    <col min="46" max="46" width="11.15234375" style="10" bestFit="1" customWidth="1"/>
    <col min="47" max="47" width="18.61328125" style="10" bestFit="1" customWidth="1"/>
    <col min="48" max="48" width="11.15234375" style="10" bestFit="1" customWidth="1"/>
    <col min="49" max="49" width="18.61328125" style="10" bestFit="1" customWidth="1"/>
    <col min="50" max="50" width="11.15234375" style="10" bestFit="1" customWidth="1"/>
    <col min="51" max="51" width="18.61328125" style="10" bestFit="1" customWidth="1"/>
    <col min="52" max="52" width="11.15234375" style="10" bestFit="1" customWidth="1"/>
    <col min="53" max="53" width="18.61328125" style="10" bestFit="1" customWidth="1"/>
    <col min="54" max="54" width="11.15234375" style="10" bestFit="1" customWidth="1"/>
    <col min="55" max="55" width="18.61328125" style="10" bestFit="1" customWidth="1"/>
    <col min="56" max="56" width="15.921875" style="10" bestFit="1" customWidth="1"/>
    <col min="57" max="57" width="23.3828125" style="10" bestFit="1" customWidth="1"/>
    <col min="58" max="16384" width="9.23046875" style="10"/>
  </cols>
  <sheetData>
    <row r="1" spans="2:15" ht="14.6" customHeight="1">
      <c r="C1" s="116" t="s">
        <v>107</v>
      </c>
      <c r="D1" s="116"/>
      <c r="E1" s="116"/>
      <c r="F1" s="116"/>
      <c r="G1" s="116"/>
      <c r="H1" s="116"/>
      <c r="I1" s="116"/>
      <c r="J1" s="116"/>
      <c r="K1" s="116"/>
    </row>
    <row r="2" spans="2:15">
      <c r="C2" s="116"/>
      <c r="D2" s="116"/>
      <c r="E2" s="116"/>
      <c r="F2" s="116"/>
      <c r="G2" s="116"/>
      <c r="H2" s="116"/>
      <c r="I2" s="116"/>
      <c r="J2" s="116"/>
      <c r="K2" s="116"/>
    </row>
    <row r="3" spans="2:15">
      <c r="C3" s="116"/>
      <c r="D3" s="116"/>
      <c r="E3" s="116"/>
      <c r="F3" s="116"/>
      <c r="G3" s="116"/>
      <c r="H3" s="116"/>
      <c r="I3" s="116"/>
      <c r="J3" s="116"/>
      <c r="K3" s="116"/>
    </row>
    <row r="5" spans="2:15" ht="20.6">
      <c r="D5" s="115" t="s">
        <v>101</v>
      </c>
      <c r="E5" s="115"/>
      <c r="F5" s="115"/>
      <c r="G5" s="115"/>
      <c r="H5" s="115"/>
      <c r="I5" s="115"/>
      <c r="J5" s="115"/>
      <c r="K5"/>
    </row>
    <row r="7" spans="2:15">
      <c r="H7" s="117" t="s">
        <v>81</v>
      </c>
      <c r="I7" s="118"/>
    </row>
    <row r="8" spans="2:15">
      <c r="C8" s="117" t="s">
        <v>144</v>
      </c>
      <c r="D8" s="118"/>
      <c r="H8" s="29" t="s">
        <v>167</v>
      </c>
      <c r="I8" s="51" t="s">
        <v>98</v>
      </c>
      <c r="J8" s="51" t="s">
        <v>99</v>
      </c>
      <c r="K8" s="51" t="s">
        <v>97</v>
      </c>
      <c r="N8"/>
    </row>
    <row r="9" spans="2:15">
      <c r="C9" s="29" t="s">
        <v>322</v>
      </c>
      <c r="D9" s="51" t="s">
        <v>98</v>
      </c>
      <c r="E9" s="51" t="s">
        <v>99</v>
      </c>
      <c r="F9" s="51" t="s">
        <v>97</v>
      </c>
      <c r="H9" s="10">
        <v>0</v>
      </c>
      <c r="I9" s="1">
        <v>1.7209302325581395</v>
      </c>
      <c r="J9" s="1">
        <v>14.627906976744185</v>
      </c>
      <c r="K9" s="1">
        <v>16.348837209302324</v>
      </c>
      <c r="N9"/>
    </row>
    <row r="10" spans="2:15" ht="14.6" customHeight="1">
      <c r="C10" s="10" t="s">
        <v>118</v>
      </c>
      <c r="D10" s="1">
        <v>4.4665697674418601</v>
      </c>
      <c r="E10" s="1">
        <v>51.040697674418603</v>
      </c>
      <c r="F10" s="1">
        <v>55.507267441860463</v>
      </c>
      <c r="H10" s="10">
        <v>1</v>
      </c>
      <c r="I10" s="1">
        <v>1.1162790697674418</v>
      </c>
      <c r="J10" s="1">
        <v>9.5813953488372086</v>
      </c>
      <c r="K10" s="1">
        <v>10.697674418604651</v>
      </c>
      <c r="N10"/>
    </row>
    <row r="11" spans="2:15" ht="14.6" customHeight="1">
      <c r="C11" s="10" t="s">
        <v>119</v>
      </c>
      <c r="D11" s="1">
        <v>5.9230769230769234</v>
      </c>
      <c r="E11" s="1">
        <v>58.54807692307692</v>
      </c>
      <c r="F11" s="1">
        <v>64.47115384615384</v>
      </c>
      <c r="H11" s="10">
        <v>2</v>
      </c>
      <c r="I11" s="1">
        <v>0.80487804878048785</v>
      </c>
      <c r="J11" s="1">
        <v>6.3658536585365857</v>
      </c>
      <c r="K11" s="1">
        <v>7.1707317073170733</v>
      </c>
      <c r="N11"/>
    </row>
    <row r="12" spans="2:15">
      <c r="B12"/>
      <c r="C12" s="10" t="s">
        <v>80</v>
      </c>
      <c r="D12" s="1">
        <v>4.9210000000000003</v>
      </c>
      <c r="E12" s="1">
        <v>53.383000000000003</v>
      </c>
      <c r="F12" s="1">
        <v>58.304000000000002</v>
      </c>
      <c r="H12" s="10">
        <v>3</v>
      </c>
      <c r="I12" s="1">
        <v>1.096774193548387</v>
      </c>
      <c r="J12" s="1">
        <v>3.774193548387097</v>
      </c>
      <c r="K12" s="1">
        <v>4.870967741935484</v>
      </c>
      <c r="L12"/>
      <c r="M12"/>
      <c r="N12"/>
    </row>
    <row r="13" spans="2:15">
      <c r="B13"/>
      <c r="C13"/>
      <c r="D13"/>
      <c r="E13"/>
      <c r="H13" s="10">
        <v>4</v>
      </c>
      <c r="I13" s="1">
        <v>0.21875</v>
      </c>
      <c r="J13" s="1">
        <v>1.9375</v>
      </c>
      <c r="K13" s="1">
        <v>2.15625</v>
      </c>
    </row>
    <row r="14" spans="2:15">
      <c r="B14"/>
      <c r="C14"/>
      <c r="D14"/>
      <c r="E14"/>
      <c r="H14" s="10">
        <v>5</v>
      </c>
      <c r="I14" s="1">
        <v>7.6923076923076927E-2</v>
      </c>
      <c r="J14" s="1">
        <v>4.1282051282051286</v>
      </c>
      <c r="K14" s="1">
        <v>4.2051282051282053</v>
      </c>
    </row>
    <row r="15" spans="2:15" ht="14.6" customHeight="1">
      <c r="B15"/>
      <c r="C15" s="30" t="s">
        <v>82</v>
      </c>
      <c r="D15" s="31"/>
      <c r="H15" s="10">
        <v>6</v>
      </c>
      <c r="I15" s="1">
        <v>0.5</v>
      </c>
      <c r="J15" s="1">
        <v>19.071428571428573</v>
      </c>
      <c r="K15" s="1">
        <v>19.571428571428573</v>
      </c>
      <c r="L15" s="113" t="s">
        <v>310</v>
      </c>
      <c r="M15" s="113"/>
      <c r="O15" s="51"/>
    </row>
    <row r="16" spans="2:15">
      <c r="B16"/>
      <c r="C16" s="29" t="s">
        <v>168</v>
      </c>
      <c r="D16" s="51" t="s">
        <v>98</v>
      </c>
      <c r="E16" s="51" t="s">
        <v>99</v>
      </c>
      <c r="F16" s="51" t="s">
        <v>97</v>
      </c>
      <c r="H16" s="10">
        <v>7</v>
      </c>
      <c r="I16" s="1">
        <v>1.4883720930232558</v>
      </c>
      <c r="J16" s="1">
        <v>52.906976744186046</v>
      </c>
      <c r="K16" s="1">
        <v>54.395348837209305</v>
      </c>
      <c r="L16" s="113"/>
      <c r="M16" s="113"/>
      <c r="O16" s="51"/>
    </row>
    <row r="17" spans="2:23">
      <c r="B17"/>
      <c r="C17" s="10" t="s">
        <v>19</v>
      </c>
      <c r="D17" s="1">
        <v>9.0060975609756095</v>
      </c>
      <c r="E17" s="1">
        <v>40.512195121951223</v>
      </c>
      <c r="F17" s="1">
        <v>49.518292682926827</v>
      </c>
      <c r="H17" s="10">
        <v>8</v>
      </c>
      <c r="I17" s="1">
        <v>3.0238095238095237</v>
      </c>
      <c r="J17" s="1">
        <v>125.26190476190476</v>
      </c>
      <c r="K17" s="1">
        <v>128.28571428571428</v>
      </c>
      <c r="L17" s="113"/>
      <c r="M17" s="113"/>
      <c r="O17" s="51"/>
    </row>
    <row r="18" spans="2:23">
      <c r="B18"/>
      <c r="C18" s="10" t="s">
        <v>20</v>
      </c>
      <c r="D18" s="1">
        <v>3.5838926174496644</v>
      </c>
      <c r="E18" s="1">
        <v>53.127516778523493</v>
      </c>
      <c r="F18" s="1">
        <v>56.711409395973156</v>
      </c>
      <c r="H18" s="10">
        <v>9</v>
      </c>
      <c r="I18" s="1">
        <v>4.0952380952380949</v>
      </c>
      <c r="J18" s="1">
        <v>83.333333333333329</v>
      </c>
      <c r="K18" s="1">
        <v>87.428571428571431</v>
      </c>
      <c r="L18" s="113"/>
      <c r="M18" s="113"/>
      <c r="O18" s="51"/>
    </row>
    <row r="19" spans="2:23">
      <c r="B19"/>
      <c r="C19" s="10" t="s">
        <v>21</v>
      </c>
      <c r="D19" s="1">
        <v>3.5984251968503935</v>
      </c>
      <c r="E19" s="1">
        <v>62.409448818897637</v>
      </c>
      <c r="F19" s="1">
        <v>66.00787401574803</v>
      </c>
      <c r="H19" s="10">
        <v>10</v>
      </c>
      <c r="I19" s="1">
        <v>5.1428571428571432</v>
      </c>
      <c r="J19" s="1">
        <v>48.5</v>
      </c>
      <c r="K19" s="1">
        <v>53.642857142857146</v>
      </c>
      <c r="M19"/>
    </row>
    <row r="20" spans="2:23" ht="14.6" customHeight="1">
      <c r="B20"/>
      <c r="C20" s="10" t="s">
        <v>22</v>
      </c>
      <c r="D20" s="1">
        <v>2.6259541984732824</v>
      </c>
      <c r="E20" s="1">
        <v>58.81679389312977</v>
      </c>
      <c r="F20" s="1">
        <v>61.44274809160305</v>
      </c>
      <c r="H20" s="10">
        <v>11</v>
      </c>
      <c r="I20" s="1">
        <v>8.7380952380952372</v>
      </c>
      <c r="J20" s="1">
        <v>50.642857142857146</v>
      </c>
      <c r="K20" s="1">
        <v>59.38095238095238</v>
      </c>
    </row>
    <row r="21" spans="2:23">
      <c r="B21"/>
      <c r="C21" s="10" t="s">
        <v>23</v>
      </c>
      <c r="D21" s="1">
        <v>2.6560000000000001</v>
      </c>
      <c r="E21" s="1">
        <v>65.007999999999996</v>
      </c>
      <c r="F21" s="1">
        <v>67.664000000000001</v>
      </c>
      <c r="H21" s="10">
        <v>12</v>
      </c>
      <c r="I21" s="1">
        <v>11.209302325581396</v>
      </c>
      <c r="J21" s="1">
        <v>65.139534883720927</v>
      </c>
      <c r="K21" s="1">
        <v>76.348837209302332</v>
      </c>
    </row>
    <row r="22" spans="2:23">
      <c r="B22"/>
      <c r="C22" s="10" t="s">
        <v>24</v>
      </c>
      <c r="D22" s="1">
        <v>4</v>
      </c>
      <c r="E22" s="1">
        <v>61.905797101449274</v>
      </c>
      <c r="F22" s="1">
        <v>65.905797101449281</v>
      </c>
      <c r="H22" s="10">
        <v>13</v>
      </c>
      <c r="I22" s="1">
        <v>11.930232558139535</v>
      </c>
      <c r="J22" s="1">
        <v>66.581395348837205</v>
      </c>
      <c r="K22" s="1">
        <v>78.511627906976742</v>
      </c>
    </row>
    <row r="23" spans="2:23">
      <c r="B23"/>
      <c r="C23" s="10" t="s">
        <v>25</v>
      </c>
      <c r="D23" s="1">
        <v>7.3795180722891569</v>
      </c>
      <c r="E23" s="1">
        <v>39.295180722891565</v>
      </c>
      <c r="F23" s="1">
        <v>46.674698795180724</v>
      </c>
      <c r="H23" s="10">
        <v>14</v>
      </c>
      <c r="I23" s="1">
        <v>10.837209302325581</v>
      </c>
      <c r="J23" s="1">
        <v>63.581395348837212</v>
      </c>
      <c r="K23" s="1">
        <v>74.418604651162795</v>
      </c>
      <c r="M23"/>
    </row>
    <row r="24" spans="2:23">
      <c r="B24"/>
      <c r="C24" s="10" t="s">
        <v>80</v>
      </c>
      <c r="D24" s="1">
        <v>4.9210000000000003</v>
      </c>
      <c r="E24" s="1">
        <v>53.383000000000003</v>
      </c>
      <c r="F24" s="1">
        <v>58.304000000000002</v>
      </c>
      <c r="H24" s="10">
        <v>15</v>
      </c>
      <c r="I24" s="1">
        <v>12.465116279069768</v>
      </c>
      <c r="J24" s="1">
        <v>65.488372093023258</v>
      </c>
      <c r="K24" s="1">
        <v>77.95348837209302</v>
      </c>
      <c r="M24"/>
    </row>
    <row r="25" spans="2:23">
      <c r="B25"/>
      <c r="H25" s="10">
        <v>16</v>
      </c>
      <c r="I25" s="1">
        <v>11.204545454545455</v>
      </c>
      <c r="J25" s="1">
        <v>78.068181818181813</v>
      </c>
      <c r="K25" s="1">
        <v>89.272727272727266</v>
      </c>
      <c r="L25"/>
      <c r="M25"/>
    </row>
    <row r="26" spans="2:23" ht="14.6" customHeight="1">
      <c r="B26"/>
      <c r="C26" s="114" t="s">
        <v>317</v>
      </c>
      <c r="D26" s="114"/>
      <c r="E26" s="114"/>
      <c r="F26" s="114"/>
      <c r="H26" s="10">
        <v>17</v>
      </c>
      <c r="I26" s="1">
        <v>8.9772727272727266</v>
      </c>
      <c r="J26" s="1">
        <v>131.22727272727272</v>
      </c>
      <c r="K26" s="1">
        <v>140.20454545454547</v>
      </c>
      <c r="L26"/>
      <c r="M26"/>
      <c r="U26"/>
      <c r="V26"/>
      <c r="W26"/>
    </row>
    <row r="27" spans="2:23" ht="14.6" customHeight="1">
      <c r="B27"/>
      <c r="C27" s="114"/>
      <c r="D27" s="114"/>
      <c r="E27" s="114"/>
      <c r="F27" s="114"/>
      <c r="H27" s="10">
        <v>18</v>
      </c>
      <c r="I27" s="1">
        <v>5.1627906976744189</v>
      </c>
      <c r="J27" s="1">
        <v>117.69767441860465</v>
      </c>
      <c r="K27" s="1">
        <v>122.86046511627907</v>
      </c>
      <c r="L27" s="34"/>
      <c r="M27"/>
      <c r="O27" s="34"/>
      <c r="U27"/>
      <c r="V27"/>
      <c r="W27"/>
    </row>
    <row r="28" spans="2:23">
      <c r="B28"/>
      <c r="C28" s="51"/>
      <c r="D28" s="51"/>
      <c r="E28"/>
      <c r="H28" s="10">
        <v>19</v>
      </c>
      <c r="I28" s="1">
        <v>4.3488372093023253</v>
      </c>
      <c r="J28" s="1">
        <v>80.79069767441861</v>
      </c>
      <c r="K28" s="1">
        <v>85.139534883720927</v>
      </c>
      <c r="L28" s="34"/>
      <c r="M28"/>
      <c r="O28" s="34"/>
      <c r="U28"/>
      <c r="V28"/>
      <c r="W28"/>
    </row>
    <row r="29" spans="2:23" ht="14.6" customHeight="1">
      <c r="B29"/>
      <c r="C29" s="51"/>
      <c r="D29" s="51"/>
      <c r="E29"/>
      <c r="H29" s="10">
        <v>20</v>
      </c>
      <c r="I29" s="1">
        <v>3.2558139534883721</v>
      </c>
      <c r="J29" s="1">
        <v>58.511627906976742</v>
      </c>
      <c r="K29" s="1">
        <v>61.767441860465119</v>
      </c>
      <c r="L29" s="34"/>
      <c r="M29"/>
      <c r="O29" s="34"/>
      <c r="U29"/>
      <c r="V29"/>
      <c r="W29"/>
    </row>
    <row r="30" spans="2:23">
      <c r="D30"/>
      <c r="E30"/>
      <c r="H30" s="10">
        <v>21</v>
      </c>
      <c r="I30" s="1">
        <v>2.7209302325581395</v>
      </c>
      <c r="J30" s="1">
        <v>43.697674418604649</v>
      </c>
      <c r="K30" s="1">
        <v>46.418604651162788</v>
      </c>
      <c r="L30" s="34"/>
      <c r="M30"/>
      <c r="O30" s="34"/>
      <c r="U30"/>
      <c r="V30"/>
      <c r="W30"/>
    </row>
    <row r="31" spans="2:23">
      <c r="D31"/>
      <c r="E31"/>
      <c r="H31" s="10">
        <v>22</v>
      </c>
      <c r="I31" s="1">
        <v>2.3953488372093021</v>
      </c>
      <c r="J31" s="1">
        <v>32.674418604651166</v>
      </c>
      <c r="K31" s="1">
        <v>35.069767441860463</v>
      </c>
      <c r="L31" s="34"/>
      <c r="M31"/>
      <c r="O31" s="34"/>
      <c r="U31"/>
      <c r="V31"/>
      <c r="W31"/>
    </row>
    <row r="32" spans="2:23">
      <c r="D32"/>
      <c r="E32"/>
      <c r="H32" s="10">
        <v>23</v>
      </c>
      <c r="I32" s="1">
        <v>2.3488372093023258</v>
      </c>
      <c r="J32" s="1">
        <v>22.837209302325583</v>
      </c>
      <c r="K32" s="1">
        <v>25.186046511627907</v>
      </c>
      <c r="L32" s="34"/>
      <c r="M32" s="34"/>
      <c r="O32" s="34"/>
      <c r="U32"/>
      <c r="V32"/>
      <c r="W32"/>
    </row>
    <row r="33" spans="2:23">
      <c r="D33"/>
      <c r="E33"/>
      <c r="H33" s="10" t="s">
        <v>80</v>
      </c>
      <c r="I33" s="1">
        <v>4.9210000000000003</v>
      </c>
      <c r="J33" s="1">
        <v>53.383000000000003</v>
      </c>
      <c r="K33" s="1">
        <v>58.304000000000002</v>
      </c>
      <c r="L33" s="34"/>
      <c r="M33" s="34"/>
      <c r="O33" s="34"/>
      <c r="U33"/>
      <c r="V33"/>
      <c r="W33"/>
    </row>
    <row r="34" spans="2:23">
      <c r="B34"/>
      <c r="C34"/>
      <c r="D34"/>
      <c r="E34"/>
      <c r="L34" s="34"/>
      <c r="M34" s="34"/>
      <c r="O34" s="34"/>
      <c r="U34"/>
      <c r="V34"/>
      <c r="W34"/>
    </row>
    <row r="35" spans="2:23" ht="20.6">
      <c r="D35" s="115" t="s">
        <v>83</v>
      </c>
      <c r="E35" s="115"/>
      <c r="F35" s="115"/>
      <c r="G35" s="115"/>
      <c r="H35" s="115"/>
      <c r="I35" s="115"/>
      <c r="J35" s="115"/>
      <c r="K35"/>
      <c r="L35" s="34"/>
      <c r="M35" s="34"/>
      <c r="O35" s="34"/>
      <c r="U35"/>
    </row>
    <row r="36" spans="2:23">
      <c r="L36" s="34"/>
      <c r="M36" s="34"/>
      <c r="O36" s="34"/>
      <c r="U36"/>
    </row>
    <row r="37" spans="2:23">
      <c r="L37" s="34"/>
      <c r="M37" s="34"/>
      <c r="O37" s="34"/>
      <c r="U37"/>
    </row>
    <row r="38" spans="2:23">
      <c r="C38" s="32" t="s">
        <v>108</v>
      </c>
      <c r="D38" s="33"/>
      <c r="H38" s="117" t="s">
        <v>147</v>
      </c>
      <c r="I38" s="118"/>
      <c r="L38" s="34"/>
      <c r="M38" s="34"/>
      <c r="O38" s="34"/>
      <c r="U38"/>
    </row>
    <row r="39" spans="2:23">
      <c r="C39" s="29" t="s">
        <v>17</v>
      </c>
      <c r="D39" s="51" t="s">
        <v>98</v>
      </c>
      <c r="E39" s="51" t="s">
        <v>99</v>
      </c>
      <c r="F39" s="51" t="s">
        <v>97</v>
      </c>
      <c r="H39" s="29" t="s">
        <v>63</v>
      </c>
      <c r="I39" s="51" t="s">
        <v>98</v>
      </c>
      <c r="J39" s="51" t="s">
        <v>99</v>
      </c>
      <c r="K39" s="51" t="s">
        <v>97</v>
      </c>
      <c r="L39" s="34"/>
      <c r="M39" s="34"/>
      <c r="O39" s="34"/>
      <c r="U39"/>
    </row>
    <row r="40" spans="2:23">
      <c r="C40" s="10" t="s">
        <v>27</v>
      </c>
      <c r="D40" s="1">
        <v>5.2986798679867988</v>
      </c>
      <c r="E40" s="1">
        <v>56.372937293729372</v>
      </c>
      <c r="F40" s="1">
        <v>61.671617161716171</v>
      </c>
      <c r="H40" s="10" t="s">
        <v>134</v>
      </c>
      <c r="I40" s="1">
        <v>1.8627450980392157</v>
      </c>
      <c r="J40" s="1">
        <v>27.941176470588236</v>
      </c>
      <c r="K40" s="1">
        <v>29.803921568627452</v>
      </c>
      <c r="O40" s="34"/>
      <c r="U40"/>
    </row>
    <row r="41" spans="2:23">
      <c r="C41" s="10" t="s">
        <v>28</v>
      </c>
      <c r="D41" s="1">
        <v>4.9773462783171523</v>
      </c>
      <c r="E41" s="1">
        <v>53.618122977346282</v>
      </c>
      <c r="F41" s="1">
        <v>58.595469255663431</v>
      </c>
      <c r="H41" s="10" t="s">
        <v>135</v>
      </c>
      <c r="I41" s="1">
        <v>2.3395721925133688</v>
      </c>
      <c r="J41" s="1">
        <v>47.783422459893046</v>
      </c>
      <c r="K41" s="1">
        <v>50.122994652406419</v>
      </c>
      <c r="U41"/>
    </row>
    <row r="42" spans="2:23">
      <c r="C42" s="10" t="s">
        <v>71</v>
      </c>
      <c r="D42" s="1">
        <v>2.0357142857142856</v>
      </c>
      <c r="E42" s="1">
        <v>31.166666666666668</v>
      </c>
      <c r="F42" s="1">
        <v>33.202380952380949</v>
      </c>
      <c r="H42" s="10" t="s">
        <v>136</v>
      </c>
      <c r="I42" s="1">
        <v>4.5400457665903886</v>
      </c>
      <c r="J42" s="1">
        <v>55.455377574370708</v>
      </c>
      <c r="K42" s="1">
        <v>59.995423340961096</v>
      </c>
      <c r="U42"/>
    </row>
    <row r="43" spans="2:23" ht="14.6" customHeight="1">
      <c r="C43" s="10" t="s">
        <v>29</v>
      </c>
      <c r="D43" s="1">
        <v>1</v>
      </c>
      <c r="E43" s="1">
        <v>35</v>
      </c>
      <c r="F43" s="1">
        <v>36</v>
      </c>
      <c r="H43" s="10" t="s">
        <v>137</v>
      </c>
      <c r="I43" s="1">
        <v>13.971428571428572</v>
      </c>
      <c r="J43" s="1">
        <v>79.904761904761898</v>
      </c>
      <c r="K43" s="1">
        <v>93.876190476190473</v>
      </c>
      <c r="U43"/>
    </row>
    <row r="44" spans="2:23">
      <c r="C44" s="10" t="s">
        <v>80</v>
      </c>
      <c r="D44" s="1">
        <v>4.9210000000000003</v>
      </c>
      <c r="E44" s="1">
        <v>53.383000000000003</v>
      </c>
      <c r="F44" s="1">
        <v>58.304000000000002</v>
      </c>
      <c r="H44" s="10" t="s">
        <v>138</v>
      </c>
      <c r="I44" s="1">
        <v>15.151515151515152</v>
      </c>
      <c r="J44" s="1">
        <v>44.333333333333336</v>
      </c>
      <c r="K44" s="1">
        <v>59.484848484848484</v>
      </c>
      <c r="U44"/>
    </row>
    <row r="45" spans="2:23">
      <c r="H45" s="10" t="s">
        <v>80</v>
      </c>
      <c r="I45" s="1">
        <v>4.9210000000000003</v>
      </c>
      <c r="J45" s="1">
        <v>53.383000000000003</v>
      </c>
      <c r="K45" s="1">
        <v>58.304000000000002</v>
      </c>
      <c r="U45"/>
    </row>
    <row r="46" spans="2:23">
      <c r="H46"/>
      <c r="I46"/>
      <c r="J46"/>
      <c r="K46"/>
      <c r="U46"/>
    </row>
    <row r="47" spans="2:23">
      <c r="G47"/>
      <c r="H47"/>
      <c r="I47"/>
      <c r="J47"/>
      <c r="U47"/>
    </row>
    <row r="48" spans="2:23">
      <c r="G48"/>
      <c r="H48"/>
      <c r="I48"/>
      <c r="L48"/>
      <c r="U48"/>
    </row>
    <row r="49" spans="3:21">
      <c r="G49"/>
      <c r="H49" s="119" t="s">
        <v>110</v>
      </c>
      <c r="I49" s="120"/>
      <c r="L49" s="106" t="s">
        <v>312</v>
      </c>
      <c r="M49" s="106"/>
      <c r="U49"/>
    </row>
    <row r="50" spans="3:21">
      <c r="H50" s="29" t="s">
        <v>64</v>
      </c>
      <c r="I50" s="51" t="s">
        <v>98</v>
      </c>
      <c r="J50" s="51" t="s">
        <v>99</v>
      </c>
      <c r="K50" s="51" t="s">
        <v>97</v>
      </c>
      <c r="L50" s="106"/>
      <c r="M50" s="106"/>
      <c r="U50"/>
    </row>
    <row r="51" spans="3:21">
      <c r="H51" s="10" t="s">
        <v>130</v>
      </c>
      <c r="I51" s="1">
        <v>10.459119496855346</v>
      </c>
      <c r="J51" s="1">
        <v>72.522012578616355</v>
      </c>
      <c r="K51" s="1">
        <v>82.981132075471692</v>
      </c>
      <c r="L51" s="106"/>
      <c r="M51" s="106"/>
      <c r="U51"/>
    </row>
    <row r="52" spans="3:21">
      <c r="H52" s="10" t="s">
        <v>131</v>
      </c>
      <c r="I52" s="1">
        <v>4.363844393592677</v>
      </c>
      <c r="J52" s="1">
        <v>57.897025171624712</v>
      </c>
      <c r="K52" s="1">
        <v>62.260869565217391</v>
      </c>
      <c r="L52" s="106"/>
      <c r="M52" s="106"/>
      <c r="U52"/>
    </row>
    <row r="53" spans="3:21">
      <c r="C53" s="32" t="s">
        <v>109</v>
      </c>
      <c r="D53" s="33"/>
      <c r="H53" s="10" t="s">
        <v>132</v>
      </c>
      <c r="I53" s="1">
        <v>3.8287037037037037</v>
      </c>
      <c r="J53" s="1">
        <v>42.430555555555557</v>
      </c>
      <c r="K53" s="1">
        <v>46.25925925925926</v>
      </c>
      <c r="U53"/>
    </row>
    <row r="54" spans="3:21">
      <c r="C54" s="29" t="s">
        <v>146</v>
      </c>
      <c r="D54" s="51" t="s">
        <v>98</v>
      </c>
      <c r="E54" s="51" t="s">
        <v>99</v>
      </c>
      <c r="F54" s="51" t="s">
        <v>97</v>
      </c>
      <c r="H54" s="10" t="s">
        <v>133</v>
      </c>
      <c r="I54" s="1">
        <v>2.7872340425531914</v>
      </c>
      <c r="J54" s="1">
        <v>39.287234042553195</v>
      </c>
      <c r="K54" s="1">
        <v>42.074468085106382</v>
      </c>
      <c r="U54"/>
    </row>
    <row r="55" spans="3:21">
      <c r="C55" s="10" t="s">
        <v>145</v>
      </c>
      <c r="D55" s="1">
        <v>7.963276836158192</v>
      </c>
      <c r="E55" s="1">
        <v>39.689265536723163</v>
      </c>
      <c r="F55" s="1">
        <v>47.652542372881356</v>
      </c>
      <c r="H55" s="10" t="s">
        <v>80</v>
      </c>
      <c r="I55" s="1">
        <v>4.9210000000000003</v>
      </c>
      <c r="J55" s="1">
        <v>53.383000000000003</v>
      </c>
      <c r="K55" s="1">
        <v>58.304000000000002</v>
      </c>
      <c r="U55"/>
    </row>
    <row r="56" spans="3:21">
      <c r="C56" s="10" t="s">
        <v>146</v>
      </c>
      <c r="D56" s="1">
        <v>3.2538699690402475</v>
      </c>
      <c r="E56" s="1">
        <v>60.88699690402477</v>
      </c>
      <c r="F56" s="1">
        <v>64.140866873065022</v>
      </c>
      <c r="H56"/>
      <c r="I56"/>
      <c r="J56"/>
      <c r="M56"/>
      <c r="U56"/>
    </row>
    <row r="57" spans="3:21">
      <c r="C57" s="10" t="s">
        <v>80</v>
      </c>
      <c r="D57" s="1">
        <v>4.9210000000000003</v>
      </c>
      <c r="E57" s="1">
        <v>53.383000000000003</v>
      </c>
      <c r="F57" s="1">
        <v>58.304000000000002</v>
      </c>
      <c r="H57"/>
      <c r="I57"/>
      <c r="J57"/>
      <c r="L57"/>
      <c r="M57"/>
      <c r="U57"/>
    </row>
    <row r="58" spans="3:21" ht="14.6" customHeight="1">
      <c r="C58" s="112" t="s">
        <v>173</v>
      </c>
      <c r="D58" s="112"/>
      <c r="E58" s="112"/>
      <c r="F58" s="112"/>
      <c r="H58" s="119" t="s">
        <v>111</v>
      </c>
      <c r="I58" s="120"/>
      <c r="L58" s="113" t="s">
        <v>323</v>
      </c>
      <c r="M58" s="113"/>
      <c r="U58"/>
    </row>
    <row r="59" spans="3:21" ht="14.6" customHeight="1">
      <c r="C59" s="51"/>
      <c r="D59" s="51"/>
      <c r="H59" s="29" t="s">
        <v>169</v>
      </c>
      <c r="I59" s="51" t="s">
        <v>98</v>
      </c>
      <c r="J59" s="51" t="s">
        <v>99</v>
      </c>
      <c r="K59" s="51" t="s">
        <v>97</v>
      </c>
      <c r="L59" s="113"/>
      <c r="M59" s="113"/>
      <c r="U59"/>
    </row>
    <row r="60" spans="3:21">
      <c r="C60" s="51"/>
      <c r="D60" s="51"/>
      <c r="H60" s="10" t="s">
        <v>134</v>
      </c>
      <c r="I60" s="1">
        <v>4.3990825688073398</v>
      </c>
      <c r="J60" s="1">
        <v>50.61926605504587</v>
      </c>
      <c r="K60" s="1">
        <v>55.018348623853214</v>
      </c>
      <c r="L60" s="113"/>
      <c r="M60" s="113"/>
      <c r="U60"/>
    </row>
    <row r="61" spans="3:21">
      <c r="H61" s="10" t="s">
        <v>135</v>
      </c>
      <c r="I61" s="1">
        <v>3.6410958904109587</v>
      </c>
      <c r="J61" s="1">
        <v>50.846575342465755</v>
      </c>
      <c r="K61" s="1">
        <v>54.487671232876714</v>
      </c>
      <c r="L61" s="113"/>
      <c r="M61" s="113"/>
      <c r="U61"/>
    </row>
    <row r="62" spans="3:21">
      <c r="H62" s="10" t="s">
        <v>136</v>
      </c>
      <c r="I62" s="1">
        <v>6.3797468354430382</v>
      </c>
      <c r="J62" s="1">
        <v>52.725738396624472</v>
      </c>
      <c r="K62" s="1">
        <v>59.105485232067508</v>
      </c>
      <c r="N62"/>
      <c r="U62"/>
    </row>
    <row r="63" spans="3:21">
      <c r="H63" s="10" t="s">
        <v>137</v>
      </c>
      <c r="I63" s="1">
        <v>5.166666666666667</v>
      </c>
      <c r="J63" s="1">
        <v>58.972222222222221</v>
      </c>
      <c r="K63" s="1">
        <v>64.138888888888886</v>
      </c>
      <c r="L63" s="51"/>
      <c r="M63" s="51"/>
      <c r="N63"/>
      <c r="U63"/>
    </row>
    <row r="64" spans="3:21">
      <c r="H64" s="10" t="s">
        <v>138</v>
      </c>
      <c r="I64" s="1">
        <v>8.4285714285714288</v>
      </c>
      <c r="J64" s="1">
        <v>63.875</v>
      </c>
      <c r="K64" s="1">
        <v>72.303571428571431</v>
      </c>
      <c r="L64" s="51"/>
      <c r="M64" s="51"/>
      <c r="N64"/>
    </row>
    <row r="65" spans="3:32">
      <c r="H65" s="10" t="s">
        <v>139</v>
      </c>
      <c r="I65" s="1">
        <v>5.6875</v>
      </c>
      <c r="J65" s="1">
        <v>84.1875</v>
      </c>
      <c r="K65" s="1">
        <v>89.875</v>
      </c>
      <c r="L65"/>
      <c r="M65"/>
      <c r="N65"/>
    </row>
    <row r="66" spans="3:32">
      <c r="H66" s="10" t="s">
        <v>80</v>
      </c>
      <c r="I66" s="1">
        <v>4.9210000000000003</v>
      </c>
      <c r="J66" s="1">
        <v>53.383000000000003</v>
      </c>
      <c r="K66" s="1">
        <v>58.304000000000002</v>
      </c>
      <c r="L66"/>
      <c r="M66"/>
      <c r="N66"/>
    </row>
    <row r="67" spans="3:32">
      <c r="G67"/>
      <c r="H67"/>
      <c r="I67"/>
      <c r="J67"/>
      <c r="L67"/>
      <c r="M67"/>
      <c r="N67"/>
    </row>
    <row r="68" spans="3:32">
      <c r="G68"/>
      <c r="H68"/>
      <c r="I68"/>
      <c r="J68"/>
      <c r="L68"/>
      <c r="M68"/>
      <c r="N68"/>
    </row>
    <row r="69" spans="3:32" ht="20.6">
      <c r="D69" s="115" t="s">
        <v>155</v>
      </c>
      <c r="E69" s="115"/>
      <c r="F69" s="115"/>
      <c r="G69" s="115"/>
      <c r="H69" s="115"/>
      <c r="I69" s="115"/>
      <c r="J69" s="115"/>
      <c r="L69"/>
      <c r="M69"/>
      <c r="N69"/>
      <c r="O69"/>
      <c r="P69"/>
      <c r="T69"/>
      <c r="U69"/>
      <c r="V69"/>
      <c r="Z69"/>
      <c r="AA69"/>
      <c r="AB69"/>
      <c r="AC69"/>
      <c r="AD69"/>
      <c r="AE69"/>
      <c r="AF69"/>
    </row>
    <row r="70" spans="3:32" ht="14.6" customHeight="1">
      <c r="G70"/>
      <c r="H70"/>
      <c r="I70"/>
      <c r="J70"/>
      <c r="L70"/>
      <c r="M70"/>
      <c r="N70"/>
      <c r="O70"/>
      <c r="P70"/>
      <c r="T70"/>
      <c r="U70"/>
      <c r="V70"/>
      <c r="Z70"/>
      <c r="AA70"/>
      <c r="AB70"/>
      <c r="AC70"/>
      <c r="AD70"/>
      <c r="AE70"/>
      <c r="AF70"/>
    </row>
    <row r="71" spans="3:32">
      <c r="G71"/>
      <c r="H71"/>
      <c r="I71"/>
      <c r="J71"/>
      <c r="L71"/>
      <c r="M71"/>
      <c r="N71"/>
      <c r="T71"/>
      <c r="U71"/>
      <c r="V71"/>
      <c r="Z71"/>
      <c r="AA71"/>
      <c r="AB71"/>
      <c r="AC71"/>
      <c r="AD71"/>
      <c r="AE71"/>
      <c r="AF71"/>
    </row>
    <row r="72" spans="3:32" ht="14.6" customHeight="1">
      <c r="C72" s="119" t="s">
        <v>112</v>
      </c>
      <c r="D72" s="120"/>
      <c r="F72"/>
      <c r="J72" s="119" t="s">
        <v>148</v>
      </c>
      <c r="K72" s="120"/>
      <c r="L72"/>
      <c r="N72"/>
      <c r="T72"/>
      <c r="U72"/>
      <c r="V72"/>
      <c r="Z72"/>
      <c r="AA72"/>
      <c r="AB72"/>
      <c r="AC72"/>
      <c r="AD72"/>
      <c r="AE72"/>
      <c r="AF72"/>
    </row>
    <row r="73" spans="3:32">
      <c r="C73" s="29" t="s">
        <v>152</v>
      </c>
      <c r="D73" s="29" t="s">
        <v>151</v>
      </c>
      <c r="E73"/>
      <c r="F73"/>
      <c r="J73" s="29" t="s">
        <v>149</v>
      </c>
      <c r="K73" s="29" t="s">
        <v>150</v>
      </c>
      <c r="L73"/>
      <c r="M73"/>
      <c r="N73"/>
      <c r="T73"/>
      <c r="U73"/>
      <c r="V73"/>
      <c r="Z73"/>
      <c r="AA73"/>
      <c r="AB73"/>
      <c r="AC73"/>
      <c r="AD73"/>
      <c r="AE73"/>
      <c r="AF73"/>
    </row>
    <row r="74" spans="3:32" ht="14.6" customHeight="1">
      <c r="C74" s="29" t="s">
        <v>59</v>
      </c>
      <c r="D74" s="51" t="s">
        <v>145</v>
      </c>
      <c r="E74" s="51" t="s">
        <v>146</v>
      </c>
      <c r="F74" s="51" t="s">
        <v>80</v>
      </c>
      <c r="J74" s="29" t="s">
        <v>167</v>
      </c>
      <c r="K74" s="51" t="s">
        <v>95</v>
      </c>
      <c r="L74" s="51" t="s">
        <v>96</v>
      </c>
      <c r="M74" s="51" t="s">
        <v>80</v>
      </c>
      <c r="N74"/>
      <c r="T74"/>
      <c r="U74"/>
      <c r="V74"/>
      <c r="Z74"/>
      <c r="AA74"/>
      <c r="AB74"/>
      <c r="AC74"/>
      <c r="AD74"/>
      <c r="AE74"/>
      <c r="AF74"/>
    </row>
    <row r="75" spans="3:32" ht="14.6" customHeight="1">
      <c r="C75" s="10" t="s">
        <v>27</v>
      </c>
      <c r="D75" s="1">
        <v>51.963470319634702</v>
      </c>
      <c r="E75" s="1">
        <v>67.165374677002589</v>
      </c>
      <c r="F75" s="1">
        <v>61.671617161716171</v>
      </c>
      <c r="J75" s="10">
        <v>0</v>
      </c>
      <c r="K75" s="1">
        <v>10.689655172413794</v>
      </c>
      <c r="L75" s="1">
        <v>28.071428571428573</v>
      </c>
      <c r="M75" s="1">
        <v>16.348837209302324</v>
      </c>
      <c r="T75"/>
      <c r="U75"/>
      <c r="V75"/>
      <c r="Z75"/>
      <c r="AA75"/>
      <c r="AB75"/>
      <c r="AC75"/>
      <c r="AD75"/>
      <c r="AE75"/>
      <c r="AF75"/>
    </row>
    <row r="76" spans="3:32">
      <c r="C76" s="10" t="s">
        <v>28</v>
      </c>
      <c r="D76" s="1">
        <v>43.132075471698116</v>
      </c>
      <c r="E76" s="1">
        <v>66.669950738916256</v>
      </c>
      <c r="F76" s="1">
        <v>58.595469255663431</v>
      </c>
      <c r="J76" s="10">
        <v>1</v>
      </c>
      <c r="K76" s="1">
        <v>5.1034482758620694</v>
      </c>
      <c r="L76" s="1">
        <v>22.285714285714285</v>
      </c>
      <c r="M76" s="1">
        <v>10.697674418604651</v>
      </c>
    </row>
    <row r="77" spans="3:32">
      <c r="C77" s="10" t="s">
        <v>71</v>
      </c>
      <c r="D77" s="1">
        <v>31.620689655172413</v>
      </c>
      <c r="E77" s="1">
        <v>34.036363636363639</v>
      </c>
      <c r="F77" s="1">
        <v>33.202380952380949</v>
      </c>
      <c r="J77" s="10">
        <v>2</v>
      </c>
      <c r="K77" s="1">
        <v>2.6296296296296298</v>
      </c>
      <c r="L77" s="1">
        <v>15.928571428571429</v>
      </c>
      <c r="M77" s="1">
        <v>7.1707317073170733</v>
      </c>
    </row>
    <row r="78" spans="3:32">
      <c r="C78" s="10" t="s">
        <v>29</v>
      </c>
      <c r="D78" s="1"/>
      <c r="E78" s="1">
        <v>36</v>
      </c>
      <c r="F78" s="1">
        <v>36</v>
      </c>
      <c r="J78" s="10">
        <v>3</v>
      </c>
      <c r="K78" s="1">
        <v>1.411764705882353</v>
      </c>
      <c r="L78" s="1">
        <v>9.0714285714285712</v>
      </c>
      <c r="M78" s="1">
        <v>4.870967741935484</v>
      </c>
      <c r="S78"/>
      <c r="T78"/>
      <c r="U78"/>
      <c r="V78"/>
    </row>
    <row r="79" spans="3:32">
      <c r="C79" s="10" t="s">
        <v>80</v>
      </c>
      <c r="D79" s="1">
        <v>47.652542372881356</v>
      </c>
      <c r="E79" s="1">
        <v>64.140866873065022</v>
      </c>
      <c r="F79" s="1">
        <v>58.304000000000002</v>
      </c>
      <c r="J79" s="10">
        <v>4</v>
      </c>
      <c r="K79" s="1">
        <v>1.7894736842105263</v>
      </c>
      <c r="L79" s="1">
        <v>2.6923076923076925</v>
      </c>
      <c r="M79" s="1">
        <v>2.15625</v>
      </c>
      <c r="S79"/>
      <c r="T79"/>
      <c r="U79"/>
      <c r="V79"/>
    </row>
    <row r="80" spans="3:32" ht="14.6" customHeight="1">
      <c r="J80" s="10">
        <v>5</v>
      </c>
      <c r="K80" s="1">
        <v>4.7241379310344831</v>
      </c>
      <c r="L80" s="1">
        <v>2.7</v>
      </c>
      <c r="M80" s="1">
        <v>4.2051282051282053</v>
      </c>
      <c r="S80"/>
      <c r="T80"/>
      <c r="U80"/>
      <c r="V80"/>
    </row>
    <row r="81" spans="2:22">
      <c r="J81" s="10">
        <v>6</v>
      </c>
      <c r="K81" s="1">
        <v>27.379310344827587</v>
      </c>
      <c r="L81" s="1">
        <v>2.1538461538461537</v>
      </c>
      <c r="M81" s="1">
        <v>19.571428571428573</v>
      </c>
      <c r="S81"/>
      <c r="T81"/>
      <c r="U81"/>
      <c r="V81"/>
    </row>
    <row r="82" spans="2:22">
      <c r="C82" s="113" t="s">
        <v>311</v>
      </c>
      <c r="D82" s="113"/>
      <c r="E82" s="113"/>
      <c r="F82" s="113"/>
      <c r="J82" s="10">
        <v>7</v>
      </c>
      <c r="K82" s="1">
        <v>78.034482758620683</v>
      </c>
      <c r="L82" s="1">
        <v>5.4285714285714288</v>
      </c>
      <c r="M82" s="1">
        <v>54.395348837209305</v>
      </c>
      <c r="S82"/>
      <c r="T82"/>
      <c r="U82"/>
      <c r="V82"/>
    </row>
    <row r="83" spans="2:22">
      <c r="C83" s="113"/>
      <c r="D83" s="113"/>
      <c r="E83" s="113"/>
      <c r="F83" s="113"/>
      <c r="J83" s="10">
        <v>8</v>
      </c>
      <c r="K83" s="1">
        <v>183.53571428571428</v>
      </c>
      <c r="L83" s="1">
        <v>17.785714285714285</v>
      </c>
      <c r="M83" s="1">
        <v>128.28571428571428</v>
      </c>
      <c r="S83"/>
      <c r="T83"/>
      <c r="U83"/>
      <c r="V83"/>
    </row>
    <row r="84" spans="2:22">
      <c r="J84" s="10">
        <v>9</v>
      </c>
      <c r="K84" s="1">
        <v>115.67857142857143</v>
      </c>
      <c r="L84" s="1">
        <v>30.928571428571427</v>
      </c>
      <c r="M84" s="1">
        <v>87.428571428571431</v>
      </c>
      <c r="S84"/>
      <c r="T84"/>
      <c r="U84"/>
      <c r="V84"/>
    </row>
    <row r="85" spans="2:22">
      <c r="J85" s="10">
        <v>10</v>
      </c>
      <c r="K85" s="1">
        <v>49.071428571428569</v>
      </c>
      <c r="L85" s="1">
        <v>62.785714285714285</v>
      </c>
      <c r="M85" s="1">
        <v>53.642857142857146</v>
      </c>
      <c r="S85"/>
      <c r="T85"/>
      <c r="U85"/>
      <c r="V85"/>
    </row>
    <row r="86" spans="2:22">
      <c r="C86" s="119" t="s">
        <v>153</v>
      </c>
      <c r="D86" s="120"/>
      <c r="J86" s="10">
        <v>11</v>
      </c>
      <c r="K86" s="1">
        <v>50.607142857142854</v>
      </c>
      <c r="L86" s="1">
        <v>76.928571428571431</v>
      </c>
      <c r="M86" s="1">
        <v>59.38095238095238</v>
      </c>
    </row>
    <row r="87" spans="2:22">
      <c r="C87" s="29" t="s">
        <v>154</v>
      </c>
      <c r="D87" s="29" t="s">
        <v>64</v>
      </c>
      <c r="E87"/>
      <c r="F87"/>
      <c r="G87"/>
      <c r="H87"/>
      <c r="J87" s="10">
        <v>12</v>
      </c>
      <c r="K87" s="1">
        <v>64.58620689655173</v>
      </c>
      <c r="L87" s="1">
        <v>100.71428571428571</v>
      </c>
      <c r="M87" s="1">
        <v>76.348837209302332</v>
      </c>
    </row>
    <row r="88" spans="2:22">
      <c r="C88" s="29" t="s">
        <v>63</v>
      </c>
      <c r="D88" s="51" t="s">
        <v>130</v>
      </c>
      <c r="E88" s="51" t="s">
        <v>131</v>
      </c>
      <c r="F88" s="51" t="s">
        <v>132</v>
      </c>
      <c r="G88" s="51" t="s">
        <v>133</v>
      </c>
      <c r="H88" s="51" t="s">
        <v>80</v>
      </c>
      <c r="J88" s="10">
        <v>13</v>
      </c>
      <c r="K88" s="1">
        <v>67.172413793103445</v>
      </c>
      <c r="L88" s="1">
        <v>102</v>
      </c>
      <c r="M88" s="1">
        <v>78.511627906976742</v>
      </c>
    </row>
    <row r="89" spans="2:22">
      <c r="C89" s="10" t="s">
        <v>134</v>
      </c>
      <c r="D89" s="1">
        <v>47.666666666666664</v>
      </c>
      <c r="E89" s="1">
        <v>26.243243243243242</v>
      </c>
      <c r="F89" s="1">
        <v>24</v>
      </c>
      <c r="G89" s="1"/>
      <c r="H89" s="1">
        <v>29.803921568627452</v>
      </c>
      <c r="J89" s="10">
        <v>14</v>
      </c>
      <c r="K89" s="1">
        <v>60.551724137931032</v>
      </c>
      <c r="L89" s="1">
        <v>103.14285714285714</v>
      </c>
      <c r="M89" s="1">
        <v>74.418604651162795</v>
      </c>
    </row>
    <row r="90" spans="2:22">
      <c r="C90" s="10" t="s">
        <v>135</v>
      </c>
      <c r="D90" s="1">
        <v>69.978260869565219</v>
      </c>
      <c r="E90" s="1">
        <v>51.571428571428569</v>
      </c>
      <c r="F90" s="1">
        <v>41.450704225352112</v>
      </c>
      <c r="G90" s="1">
        <v>41.720588235294116</v>
      </c>
      <c r="H90" s="1">
        <v>50.122994652406419</v>
      </c>
      <c r="J90" s="10">
        <v>15</v>
      </c>
      <c r="K90" s="1">
        <v>61.482758620689658</v>
      </c>
      <c r="L90" s="1">
        <v>112.07142857142857</v>
      </c>
      <c r="M90" s="1">
        <v>77.95348837209302</v>
      </c>
    </row>
    <row r="91" spans="2:22">
      <c r="B91"/>
      <c r="C91" s="10" t="s">
        <v>136</v>
      </c>
      <c r="D91" s="1">
        <v>88.119402985074629</v>
      </c>
      <c r="E91" s="1">
        <v>72.107594936708864</v>
      </c>
      <c r="F91" s="1">
        <v>42.070796460176993</v>
      </c>
      <c r="G91" s="1">
        <v>42.090909090909093</v>
      </c>
      <c r="H91" s="1">
        <v>59.995423340961096</v>
      </c>
      <c r="J91" s="10">
        <v>16</v>
      </c>
      <c r="K91" s="1">
        <v>82.63333333333334</v>
      </c>
      <c r="L91" s="1">
        <v>103.5</v>
      </c>
      <c r="M91" s="1">
        <v>89.272727272727266</v>
      </c>
    </row>
    <row r="92" spans="2:22">
      <c r="B92"/>
      <c r="C92" s="10" t="s">
        <v>137</v>
      </c>
      <c r="D92" s="1">
        <v>101.48148148148148</v>
      </c>
      <c r="E92" s="1">
        <v>96.862745098039213</v>
      </c>
      <c r="F92" s="1">
        <v>89.05263157894737</v>
      </c>
      <c r="G92" s="1">
        <v>60.625</v>
      </c>
      <c r="H92" s="1">
        <v>93.876190476190473</v>
      </c>
      <c r="J92" s="10">
        <v>17</v>
      </c>
      <c r="K92" s="1">
        <v>165.56666666666666</v>
      </c>
      <c r="L92" s="1">
        <v>85.857142857142861</v>
      </c>
      <c r="M92" s="1">
        <v>140.20454545454547</v>
      </c>
    </row>
    <row r="93" spans="2:22">
      <c r="B93"/>
      <c r="C93" s="10" t="s">
        <v>138</v>
      </c>
      <c r="D93" s="1">
        <v>90.2</v>
      </c>
      <c r="E93" s="1">
        <v>78.5</v>
      </c>
      <c r="F93" s="1">
        <v>60.375</v>
      </c>
      <c r="G93" s="1">
        <v>32.384615384615387</v>
      </c>
      <c r="H93" s="1">
        <v>59.484848484848484</v>
      </c>
      <c r="J93" s="10">
        <v>18</v>
      </c>
      <c r="K93" s="1">
        <v>151.20689655172413</v>
      </c>
      <c r="L93" s="1">
        <v>64.142857142857139</v>
      </c>
      <c r="M93" s="1">
        <v>122.86046511627907</v>
      </c>
    </row>
    <row r="94" spans="2:22">
      <c r="B94"/>
      <c r="C94" s="10" t="s">
        <v>80</v>
      </c>
      <c r="D94" s="1">
        <v>82.981132075471692</v>
      </c>
      <c r="E94" s="1">
        <v>62.260869565217391</v>
      </c>
      <c r="F94" s="1">
        <v>46.25925925925926</v>
      </c>
      <c r="G94" s="1">
        <v>42.074468085106382</v>
      </c>
      <c r="H94" s="1">
        <v>58.304000000000002</v>
      </c>
      <c r="J94" s="10">
        <v>19</v>
      </c>
      <c r="K94" s="1">
        <v>102.03448275862068</v>
      </c>
      <c r="L94" s="1">
        <v>50.142857142857146</v>
      </c>
      <c r="M94" s="1">
        <v>85.139534883720927</v>
      </c>
    </row>
    <row r="95" spans="2:22">
      <c r="J95" s="10">
        <v>20</v>
      </c>
      <c r="K95" s="1">
        <v>72.275862068965523</v>
      </c>
      <c r="L95" s="1">
        <v>40</v>
      </c>
      <c r="M95" s="1">
        <v>61.767441860465119</v>
      </c>
    </row>
    <row r="96" spans="2:22">
      <c r="J96" s="10">
        <v>21</v>
      </c>
      <c r="K96" s="1">
        <v>50.896551724137929</v>
      </c>
      <c r="L96" s="1">
        <v>37.142857142857146</v>
      </c>
      <c r="M96" s="1">
        <v>46.418604651162788</v>
      </c>
    </row>
    <row r="97" spans="10:14">
      <c r="J97" s="10">
        <v>22</v>
      </c>
      <c r="K97" s="1">
        <v>37.103448275862071</v>
      </c>
      <c r="L97" s="1">
        <v>30.857142857142858</v>
      </c>
      <c r="M97" s="1">
        <v>35.069767441860463</v>
      </c>
    </row>
    <row r="98" spans="10:14">
      <c r="J98" s="10">
        <v>23</v>
      </c>
      <c r="K98" s="1">
        <v>23.689655172413794</v>
      </c>
      <c r="L98" s="1">
        <v>28.285714285714285</v>
      </c>
      <c r="M98" s="1">
        <v>25.186046511627907</v>
      </c>
    </row>
    <row r="99" spans="10:14">
      <c r="J99" s="10" t="s">
        <v>80</v>
      </c>
      <c r="K99" s="1">
        <v>63.335820895522389</v>
      </c>
      <c r="L99" s="1">
        <v>48.087878787878786</v>
      </c>
      <c r="M99" s="1">
        <v>58.304000000000002</v>
      </c>
    </row>
    <row r="100" spans="10:14">
      <c r="M100"/>
    </row>
    <row r="101" spans="10:14">
      <c r="M101"/>
    </row>
    <row r="102" spans="10:14">
      <c r="M102"/>
    </row>
    <row r="103" spans="10:14">
      <c r="M103"/>
      <c r="N103"/>
    </row>
    <row r="104" spans="10:14">
      <c r="M104"/>
      <c r="N104"/>
    </row>
    <row r="115" spans="2:11">
      <c r="B115"/>
    </row>
    <row r="116" spans="2:11">
      <c r="B116"/>
    </row>
    <row r="117" spans="2:11">
      <c r="B117"/>
      <c r="C117"/>
      <c r="D117"/>
      <c r="E117"/>
    </row>
    <row r="118" spans="2:11">
      <c r="B118"/>
      <c r="C118"/>
      <c r="D118"/>
      <c r="E118"/>
    </row>
    <row r="119" spans="2:11">
      <c r="B119"/>
      <c r="C119"/>
      <c r="D119"/>
      <c r="E119"/>
    </row>
    <row r="120" spans="2:11">
      <c r="B120"/>
      <c r="C120"/>
      <c r="D120"/>
      <c r="E120"/>
    </row>
    <row r="121" spans="2:11">
      <c r="B121"/>
      <c r="C121"/>
      <c r="D121"/>
      <c r="E121"/>
    </row>
    <row r="122" spans="2:11">
      <c r="C122"/>
      <c r="D122"/>
      <c r="E122"/>
    </row>
    <row r="123" spans="2:11">
      <c r="C123"/>
      <c r="F123"/>
    </row>
    <row r="124" spans="2:11">
      <c r="C124"/>
      <c r="F124"/>
    </row>
    <row r="125" spans="2:11">
      <c r="C125"/>
      <c r="F125"/>
    </row>
    <row r="126" spans="2:11">
      <c r="F126"/>
    </row>
    <row r="127" spans="2:11">
      <c r="F127"/>
    </row>
    <row r="128" spans="2:11">
      <c r="F128"/>
      <c r="H128"/>
      <c r="I128"/>
      <c r="J128"/>
      <c r="K128"/>
    </row>
    <row r="129" spans="6:35">
      <c r="F129"/>
      <c r="H129"/>
      <c r="I129"/>
      <c r="J129"/>
      <c r="K129"/>
    </row>
    <row r="130" spans="6:35">
      <c r="F130"/>
      <c r="X130"/>
      <c r="Y130"/>
      <c r="Z130"/>
      <c r="AA130"/>
      <c r="AB130"/>
      <c r="AC130"/>
    </row>
    <row r="131" spans="6:35">
      <c r="F131"/>
      <c r="X131"/>
      <c r="Y131"/>
      <c r="Z131"/>
      <c r="AA131"/>
      <c r="AB131"/>
      <c r="AC131"/>
    </row>
    <row r="132" spans="6:35">
      <c r="F132"/>
      <c r="X132"/>
      <c r="Y132"/>
      <c r="Z132"/>
      <c r="AA132"/>
      <c r="AB132"/>
      <c r="AC132"/>
    </row>
    <row r="133" spans="6:35">
      <c r="F133"/>
      <c r="X133"/>
      <c r="Y133"/>
      <c r="Z133"/>
      <c r="AA133"/>
      <c r="AB133"/>
      <c r="AC133"/>
    </row>
    <row r="134" spans="6:35">
      <c r="F134"/>
      <c r="X134"/>
      <c r="Y134"/>
      <c r="Z134"/>
      <c r="AA134"/>
      <c r="AB134"/>
      <c r="AC134"/>
    </row>
    <row r="135" spans="6:35">
      <c r="F135"/>
      <c r="G135" t="s">
        <v>208</v>
      </c>
      <c r="H135"/>
      <c r="X135"/>
      <c r="Y135"/>
      <c r="Z135"/>
      <c r="AA135"/>
      <c r="AB135"/>
      <c r="AC135"/>
    </row>
    <row r="136" spans="6:35">
      <c r="F136"/>
      <c r="G136" s="29" t="s">
        <v>192</v>
      </c>
      <c r="H136" t="s">
        <v>193</v>
      </c>
      <c r="X136"/>
      <c r="Y136"/>
      <c r="Z136"/>
    </row>
    <row r="137" spans="6:35">
      <c r="F137"/>
      <c r="G137" s="23">
        <v>40544</v>
      </c>
      <c r="H137" s="1">
        <v>985</v>
      </c>
      <c r="X137"/>
      <c r="Y137"/>
    </row>
    <row r="138" spans="6:35">
      <c r="F138"/>
      <c r="G138" s="23">
        <v>40545</v>
      </c>
      <c r="H138" s="1">
        <v>801</v>
      </c>
      <c r="X138"/>
      <c r="Y138"/>
    </row>
    <row r="139" spans="6:35">
      <c r="F139"/>
      <c r="G139" s="23">
        <v>40546</v>
      </c>
      <c r="H139" s="1">
        <v>1349</v>
      </c>
      <c r="X139"/>
      <c r="Y139"/>
    </row>
    <row r="140" spans="6:35">
      <c r="F140"/>
      <c r="G140" s="23">
        <v>40547</v>
      </c>
      <c r="H140" s="1">
        <v>1562</v>
      </c>
      <c r="X140"/>
      <c r="Y140"/>
    </row>
    <row r="141" spans="6:35">
      <c r="F141"/>
      <c r="G141" s="23">
        <v>40548</v>
      </c>
      <c r="H141" s="1">
        <v>1600</v>
      </c>
    </row>
    <row r="142" spans="6:35">
      <c r="G142" s="23">
        <v>40549</v>
      </c>
      <c r="H142" s="1">
        <v>1606</v>
      </c>
    </row>
    <row r="143" spans="6:35">
      <c r="G143" s="23">
        <v>40550</v>
      </c>
      <c r="H143" s="1">
        <v>1510</v>
      </c>
    </row>
    <row r="144" spans="6:35">
      <c r="G144" s="23">
        <v>40551</v>
      </c>
      <c r="H144" s="1">
        <v>959</v>
      </c>
      <c r="I144"/>
      <c r="J144" s="29" t="s">
        <v>170</v>
      </c>
      <c r="K144" s="51" t="s">
        <v>98</v>
      </c>
      <c r="L144" s="51" t="s">
        <v>99</v>
      </c>
      <c r="M144"/>
      <c r="N144"/>
      <c r="O144"/>
      <c r="P144"/>
      <c r="Q144"/>
      <c r="R144"/>
      <c r="S144"/>
      <c r="T144"/>
      <c r="U144"/>
      <c r="V144"/>
      <c r="W144"/>
      <c r="X144"/>
      <c r="Y144"/>
      <c r="Z144"/>
      <c r="AA144"/>
      <c r="AB144"/>
      <c r="AC144"/>
      <c r="AD144"/>
      <c r="AE144"/>
      <c r="AF144"/>
      <c r="AG144"/>
      <c r="AH144"/>
      <c r="AI144"/>
    </row>
    <row r="145" spans="4:35">
      <c r="G145" s="23">
        <v>40552</v>
      </c>
      <c r="H145" s="1">
        <v>822</v>
      </c>
      <c r="I145"/>
      <c r="J145" s="10">
        <v>0</v>
      </c>
      <c r="K145" s="1">
        <v>1.7209302325581395</v>
      </c>
      <c r="L145" s="1">
        <v>14.627906976744185</v>
      </c>
      <c r="M145"/>
      <c r="N145"/>
      <c r="O145"/>
      <c r="P145"/>
      <c r="Q145"/>
      <c r="R145"/>
      <c r="S145"/>
      <c r="T145"/>
      <c r="U145"/>
      <c r="V145"/>
      <c r="W145"/>
      <c r="X145"/>
      <c r="Y145"/>
      <c r="Z145"/>
      <c r="AA145"/>
      <c r="AB145"/>
      <c r="AC145"/>
      <c r="AD145"/>
      <c r="AE145"/>
      <c r="AF145"/>
      <c r="AG145"/>
      <c r="AH145"/>
      <c r="AI145"/>
    </row>
    <row r="146" spans="4:35">
      <c r="G146" s="23">
        <v>40553</v>
      </c>
      <c r="H146" s="1">
        <v>1321</v>
      </c>
      <c r="I146"/>
      <c r="J146" s="10">
        <v>1</v>
      </c>
      <c r="K146" s="1">
        <v>1.1162790697674418</v>
      </c>
      <c r="L146" s="1">
        <v>9.5813953488372086</v>
      </c>
      <c r="M146"/>
      <c r="N146"/>
      <c r="O146"/>
      <c r="P146"/>
      <c r="Q146"/>
      <c r="R146"/>
      <c r="S146"/>
      <c r="T146"/>
      <c r="U146"/>
      <c r="V146"/>
      <c r="W146"/>
      <c r="X146"/>
      <c r="Y146"/>
      <c r="Z146"/>
      <c r="AA146"/>
      <c r="AB146"/>
      <c r="AC146"/>
      <c r="AD146"/>
      <c r="AE146"/>
      <c r="AF146"/>
      <c r="AG146"/>
      <c r="AH146"/>
      <c r="AI146"/>
    </row>
    <row r="147" spans="4:35">
      <c r="G147" s="23">
        <v>40554</v>
      </c>
      <c r="H147" s="1">
        <v>1263</v>
      </c>
      <c r="I147"/>
      <c r="J147" s="10">
        <v>2</v>
      </c>
      <c r="K147" s="1">
        <v>0.80487804878048785</v>
      </c>
      <c r="L147" s="1">
        <v>6.3658536585365857</v>
      </c>
      <c r="M147"/>
      <c r="N147"/>
      <c r="O147"/>
      <c r="P147"/>
      <c r="Q147"/>
      <c r="R147"/>
      <c r="S147"/>
      <c r="T147"/>
      <c r="U147"/>
      <c r="V147"/>
      <c r="W147"/>
      <c r="X147"/>
      <c r="Y147"/>
      <c r="Z147"/>
      <c r="AA147"/>
      <c r="AB147"/>
      <c r="AC147"/>
      <c r="AD147"/>
      <c r="AE147"/>
      <c r="AF147"/>
      <c r="AG147"/>
      <c r="AH147"/>
      <c r="AI147"/>
    </row>
    <row r="148" spans="4:35">
      <c r="G148" s="23">
        <v>40555</v>
      </c>
      <c r="H148" s="1">
        <v>1162</v>
      </c>
      <c r="I148"/>
      <c r="J148" s="10">
        <v>3</v>
      </c>
      <c r="K148" s="1">
        <v>1.096774193548387</v>
      </c>
      <c r="L148" s="1">
        <v>3.774193548387097</v>
      </c>
    </row>
    <row r="149" spans="4:35">
      <c r="G149" s="23">
        <v>40556</v>
      </c>
      <c r="H149" s="1">
        <v>1406</v>
      </c>
      <c r="I149"/>
      <c r="J149" s="10">
        <v>4</v>
      </c>
      <c r="K149" s="1">
        <v>0.21875</v>
      </c>
      <c r="L149" s="1">
        <v>1.9375</v>
      </c>
    </row>
    <row r="150" spans="4:35">
      <c r="G150" s="23">
        <v>40557</v>
      </c>
      <c r="H150" s="1">
        <v>1421</v>
      </c>
      <c r="I150"/>
      <c r="J150" s="10">
        <v>5</v>
      </c>
      <c r="K150" s="1">
        <v>7.6923076923076927E-2</v>
      </c>
      <c r="L150" s="1">
        <v>4.1282051282051286</v>
      </c>
    </row>
    <row r="151" spans="4:35">
      <c r="G151" s="23">
        <v>40558</v>
      </c>
      <c r="H151" s="1">
        <v>1248</v>
      </c>
      <c r="I151"/>
      <c r="J151" s="10">
        <v>6</v>
      </c>
      <c r="K151" s="1">
        <v>0.5</v>
      </c>
      <c r="L151" s="1">
        <v>19.071428571428573</v>
      </c>
    </row>
    <row r="152" spans="4:35">
      <c r="G152" s="23">
        <v>40559</v>
      </c>
      <c r="H152" s="1">
        <v>1204</v>
      </c>
      <c r="I152"/>
      <c r="J152" s="10">
        <v>7</v>
      </c>
      <c r="K152" s="1">
        <v>1.4883720930232558</v>
      </c>
      <c r="L152" s="1">
        <v>52.906976744186046</v>
      </c>
    </row>
    <row r="153" spans="4:35">
      <c r="G153" s="23">
        <v>40560</v>
      </c>
      <c r="H153" s="1">
        <v>1000</v>
      </c>
      <c r="I153"/>
      <c r="J153" s="10">
        <v>8</v>
      </c>
      <c r="K153" s="1">
        <v>3.0238095238095237</v>
      </c>
      <c r="L153" s="1">
        <v>125.26190476190476</v>
      </c>
    </row>
    <row r="154" spans="4:35">
      <c r="G154" s="23">
        <v>40561</v>
      </c>
      <c r="H154" s="1">
        <v>683</v>
      </c>
      <c r="I154"/>
      <c r="J154" s="10">
        <v>9</v>
      </c>
      <c r="K154" s="1">
        <v>4.0952380952380949</v>
      </c>
      <c r="L154" s="1">
        <v>83.333333333333329</v>
      </c>
    </row>
    <row r="155" spans="4:35">
      <c r="G155" s="23">
        <v>40562</v>
      </c>
      <c r="H155" s="1">
        <v>1650</v>
      </c>
      <c r="I155"/>
      <c r="J155" s="10">
        <v>10</v>
      </c>
      <c r="K155" s="1">
        <v>5.1428571428571432</v>
      </c>
      <c r="L155" s="1">
        <v>48.5</v>
      </c>
    </row>
    <row r="156" spans="4:35">
      <c r="G156" s="23">
        <v>40563</v>
      </c>
      <c r="H156" s="1">
        <v>1927</v>
      </c>
      <c r="I156"/>
      <c r="J156" s="10">
        <v>11</v>
      </c>
      <c r="K156" s="1">
        <v>8.7380952380952372</v>
      </c>
      <c r="L156" s="1">
        <v>50.642857142857146</v>
      </c>
    </row>
    <row r="157" spans="4:35">
      <c r="D157"/>
      <c r="E157"/>
      <c r="G157" s="23">
        <v>40564</v>
      </c>
      <c r="H157" s="1">
        <v>1543</v>
      </c>
      <c r="I157"/>
      <c r="J157" s="10">
        <v>12</v>
      </c>
      <c r="K157" s="1">
        <v>11.209302325581396</v>
      </c>
      <c r="L157" s="1">
        <v>65.139534883720927</v>
      </c>
    </row>
    <row r="158" spans="4:35">
      <c r="D158"/>
      <c r="E158"/>
      <c r="G158" s="23">
        <v>40565</v>
      </c>
      <c r="H158" s="1">
        <v>981</v>
      </c>
      <c r="I158"/>
      <c r="J158" s="10">
        <v>13</v>
      </c>
      <c r="K158" s="1">
        <v>11.930232558139535</v>
      </c>
      <c r="L158" s="1">
        <v>66.581395348837205</v>
      </c>
    </row>
    <row r="159" spans="4:35">
      <c r="D159"/>
      <c r="E159"/>
      <c r="G159" s="23">
        <v>40566</v>
      </c>
      <c r="H159" s="1">
        <v>986</v>
      </c>
      <c r="I159"/>
      <c r="J159" s="10">
        <v>14</v>
      </c>
      <c r="K159" s="1">
        <v>10.837209302325581</v>
      </c>
      <c r="L159" s="1">
        <v>63.581395348837212</v>
      </c>
    </row>
    <row r="160" spans="4:35">
      <c r="D160"/>
      <c r="E160"/>
      <c r="G160" s="23">
        <v>40567</v>
      </c>
      <c r="H160" s="1">
        <v>1416</v>
      </c>
      <c r="I160"/>
      <c r="J160" s="10">
        <v>15</v>
      </c>
      <c r="K160" s="1">
        <v>12.465116279069768</v>
      </c>
      <c r="L160" s="1">
        <v>65.488372093023258</v>
      </c>
    </row>
    <row r="161" spans="4:19">
      <c r="D161"/>
      <c r="E161"/>
      <c r="G161" s="23">
        <v>40568</v>
      </c>
      <c r="H161" s="1">
        <v>1985</v>
      </c>
      <c r="I161"/>
      <c r="J161" s="10">
        <v>16</v>
      </c>
      <c r="K161" s="1">
        <v>11.204545454545455</v>
      </c>
      <c r="L161" s="1">
        <v>78.068181818181813</v>
      </c>
    </row>
    <row r="162" spans="4:19">
      <c r="D162"/>
      <c r="E162"/>
      <c r="G162" s="23">
        <v>40569</v>
      </c>
      <c r="H162" s="1">
        <v>506</v>
      </c>
      <c r="I162"/>
      <c r="J162" s="10">
        <v>17</v>
      </c>
      <c r="K162" s="1">
        <v>8.9772727272727266</v>
      </c>
      <c r="L162" s="1">
        <v>131.22727272727272</v>
      </c>
    </row>
    <row r="163" spans="4:19">
      <c r="D163"/>
      <c r="E163"/>
      <c r="G163" s="23">
        <v>40570</v>
      </c>
      <c r="H163" s="1">
        <v>431</v>
      </c>
      <c r="I163"/>
      <c r="J163" s="10">
        <v>18</v>
      </c>
      <c r="K163" s="1">
        <v>5.1627906976744189</v>
      </c>
      <c r="L163" s="1">
        <v>117.69767441860465</v>
      </c>
    </row>
    <row r="164" spans="4:19">
      <c r="D164"/>
      <c r="E164"/>
      <c r="G164" s="23">
        <v>40571</v>
      </c>
      <c r="H164" s="1">
        <v>1167</v>
      </c>
      <c r="I164"/>
      <c r="J164" s="10">
        <v>19</v>
      </c>
      <c r="K164" s="1">
        <v>4.3488372093023253</v>
      </c>
      <c r="L164" s="1">
        <v>80.79069767441861</v>
      </c>
    </row>
    <row r="165" spans="4:19">
      <c r="D165"/>
      <c r="E165"/>
      <c r="G165" s="23">
        <v>40572</v>
      </c>
      <c r="H165" s="1">
        <v>1098</v>
      </c>
      <c r="I165"/>
      <c r="J165" s="10">
        <v>20</v>
      </c>
      <c r="K165" s="1">
        <v>3.2558139534883721</v>
      </c>
      <c r="L165" s="1">
        <v>58.511627906976742</v>
      </c>
    </row>
    <row r="166" spans="4:19">
      <c r="D166"/>
      <c r="E166"/>
      <c r="G166" s="23">
        <v>40573</v>
      </c>
      <c r="H166" s="1">
        <v>1096</v>
      </c>
      <c r="I166"/>
      <c r="J166" s="10">
        <v>21</v>
      </c>
      <c r="K166" s="1">
        <v>2.7209302325581395</v>
      </c>
      <c r="L166" s="1">
        <v>43.697674418604649</v>
      </c>
    </row>
    <row r="167" spans="4:19">
      <c r="D167"/>
      <c r="E167"/>
      <c r="G167" s="23">
        <v>40574</v>
      </c>
      <c r="H167" s="1">
        <v>1501</v>
      </c>
      <c r="I167"/>
      <c r="J167" s="10">
        <v>22</v>
      </c>
      <c r="K167" s="1">
        <v>2.3953488372093021</v>
      </c>
      <c r="L167" s="1">
        <v>32.674418604651166</v>
      </c>
    </row>
    <row r="168" spans="4:19">
      <c r="D168"/>
      <c r="E168"/>
      <c r="G168" s="23" t="s">
        <v>80</v>
      </c>
      <c r="H168" s="1">
        <v>38189</v>
      </c>
      <c r="I168"/>
      <c r="J168" s="10">
        <v>23</v>
      </c>
      <c r="K168" s="1">
        <v>2.3488372093023258</v>
      </c>
      <c r="L168" s="1">
        <v>22.837209302325583</v>
      </c>
    </row>
    <row r="169" spans="4:19">
      <c r="D169"/>
      <c r="E169"/>
      <c r="H169"/>
      <c r="I169"/>
      <c r="J169" s="10" t="s">
        <v>80</v>
      </c>
      <c r="K169" s="1">
        <v>4.9210000000000003</v>
      </c>
      <c r="L169" s="1">
        <v>53.383000000000003</v>
      </c>
    </row>
    <row r="170" spans="4:19">
      <c r="D170"/>
      <c r="E170"/>
      <c r="H170"/>
      <c r="I170"/>
      <c r="J170"/>
      <c r="K170"/>
    </row>
    <row r="171" spans="4:19">
      <c r="D171" s="29" t="s">
        <v>192</v>
      </c>
      <c r="E171" s="51" t="s">
        <v>213</v>
      </c>
      <c r="F171" s="51" t="s">
        <v>212</v>
      </c>
      <c r="G171" s="51" t="s">
        <v>209</v>
      </c>
      <c r="H171" s="51" t="s">
        <v>211</v>
      </c>
      <c r="I171" s="51" t="s">
        <v>210</v>
      </c>
      <c r="J171" s="51" t="s">
        <v>200</v>
      </c>
      <c r="K171" s="51" t="s">
        <v>201</v>
      </c>
      <c r="L171" s="51" t="s">
        <v>202</v>
      </c>
      <c r="M171" s="51" t="s">
        <v>203</v>
      </c>
      <c r="N171" s="51" t="s">
        <v>204</v>
      </c>
      <c r="O171" s="51" t="s">
        <v>205</v>
      </c>
      <c r="P171" s="51" t="s">
        <v>206</v>
      </c>
      <c r="Q171" s="51" t="s">
        <v>207</v>
      </c>
      <c r="R171" s="51" t="s">
        <v>193</v>
      </c>
      <c r="S171"/>
    </row>
    <row r="172" spans="4:19">
      <c r="D172" s="10" t="s">
        <v>27</v>
      </c>
      <c r="E172" s="1">
        <v>606</v>
      </c>
      <c r="F172" s="1">
        <v>606</v>
      </c>
      <c r="G172" s="1">
        <v>606</v>
      </c>
      <c r="H172" s="1">
        <v>606</v>
      </c>
      <c r="I172" s="1">
        <v>606</v>
      </c>
      <c r="J172" s="1">
        <v>0</v>
      </c>
      <c r="K172" s="1">
        <v>799</v>
      </c>
      <c r="L172" s="1">
        <v>7303</v>
      </c>
      <c r="M172" s="1">
        <v>1764</v>
      </c>
      <c r="N172" s="1">
        <v>606</v>
      </c>
      <c r="O172" s="1">
        <v>122.14300934891492</v>
      </c>
      <c r="P172" s="1">
        <v>3211</v>
      </c>
      <c r="Q172" s="1">
        <v>34162</v>
      </c>
      <c r="R172" s="1">
        <v>37373</v>
      </c>
      <c r="S172"/>
    </row>
    <row r="173" spans="4:19">
      <c r="D173" s="67" t="s">
        <v>19</v>
      </c>
      <c r="E173" s="1">
        <v>123</v>
      </c>
      <c r="F173" s="1">
        <v>123</v>
      </c>
      <c r="G173" s="1">
        <v>123</v>
      </c>
      <c r="H173" s="1">
        <v>123</v>
      </c>
      <c r="I173" s="1">
        <v>123</v>
      </c>
      <c r="J173" s="1">
        <v>0</v>
      </c>
      <c r="K173" s="1">
        <v>160</v>
      </c>
      <c r="L173" s="1">
        <v>1492</v>
      </c>
      <c r="M173" s="1">
        <v>0</v>
      </c>
      <c r="N173" s="1">
        <v>123</v>
      </c>
      <c r="O173" s="1">
        <v>26.57953489148581</v>
      </c>
      <c r="P173" s="1">
        <v>1203</v>
      </c>
      <c r="Q173" s="1">
        <v>5458</v>
      </c>
      <c r="R173" s="1">
        <v>6661</v>
      </c>
      <c r="S173"/>
    </row>
    <row r="174" spans="4:19">
      <c r="D174" s="68" t="s">
        <v>215</v>
      </c>
      <c r="E174" s="1">
        <v>6</v>
      </c>
      <c r="F174" s="1">
        <v>6</v>
      </c>
      <c r="G174" s="1">
        <v>6</v>
      </c>
      <c r="H174" s="1">
        <v>6</v>
      </c>
      <c r="I174" s="1">
        <v>6</v>
      </c>
      <c r="J174" s="1">
        <v>0</v>
      </c>
      <c r="K174" s="1">
        <v>6</v>
      </c>
      <c r="L174" s="1">
        <v>122</v>
      </c>
      <c r="M174" s="1">
        <v>0</v>
      </c>
      <c r="N174" s="1">
        <v>6</v>
      </c>
      <c r="O174" s="1">
        <v>1.4878348914858097</v>
      </c>
      <c r="P174" s="1">
        <v>24</v>
      </c>
      <c r="Q174" s="1">
        <v>141</v>
      </c>
      <c r="R174" s="1">
        <v>165</v>
      </c>
      <c r="S174"/>
    </row>
    <row r="175" spans="4:19">
      <c r="D175" s="68" t="s">
        <v>222</v>
      </c>
      <c r="E175" s="1">
        <v>24</v>
      </c>
      <c r="F175" s="1">
        <v>24</v>
      </c>
      <c r="G175" s="1">
        <v>24</v>
      </c>
      <c r="H175" s="1">
        <v>24</v>
      </c>
      <c r="I175" s="1">
        <v>24</v>
      </c>
      <c r="J175" s="1">
        <v>0</v>
      </c>
      <c r="K175" s="1">
        <v>24</v>
      </c>
      <c r="L175" s="1">
        <v>276</v>
      </c>
      <c r="M175" s="1">
        <v>0</v>
      </c>
      <c r="N175" s="1">
        <v>24</v>
      </c>
      <c r="O175" s="1">
        <v>2.7882000000000007</v>
      </c>
      <c r="P175" s="1">
        <v>54</v>
      </c>
      <c r="Q175" s="1">
        <v>768</v>
      </c>
      <c r="R175" s="1">
        <v>822</v>
      </c>
      <c r="S175"/>
    </row>
    <row r="176" spans="4:19">
      <c r="D176" s="68" t="s">
        <v>229</v>
      </c>
      <c r="E176" s="1">
        <v>19</v>
      </c>
      <c r="F176" s="1">
        <v>19</v>
      </c>
      <c r="G176" s="1">
        <v>19</v>
      </c>
      <c r="H176" s="1">
        <v>19</v>
      </c>
      <c r="I176" s="1">
        <v>19</v>
      </c>
      <c r="J176" s="1">
        <v>0</v>
      </c>
      <c r="K176" s="1">
        <v>19</v>
      </c>
      <c r="L176" s="1">
        <v>213</v>
      </c>
      <c r="M176" s="1">
        <v>0</v>
      </c>
      <c r="N176" s="1">
        <v>19</v>
      </c>
      <c r="O176" s="1">
        <v>4.4544999999999995</v>
      </c>
      <c r="P176" s="1">
        <v>248</v>
      </c>
      <c r="Q176" s="1">
        <v>911</v>
      </c>
      <c r="R176" s="1">
        <v>1159</v>
      </c>
      <c r="S176"/>
    </row>
    <row r="177" spans="4:19">
      <c r="D177" s="68" t="s">
        <v>234</v>
      </c>
      <c r="E177" s="1">
        <v>21</v>
      </c>
      <c r="F177" s="1">
        <v>21</v>
      </c>
      <c r="G177" s="1">
        <v>21</v>
      </c>
      <c r="H177" s="1">
        <v>21</v>
      </c>
      <c r="I177" s="1">
        <v>21</v>
      </c>
      <c r="J177" s="1">
        <v>0</v>
      </c>
      <c r="K177" s="1">
        <v>21</v>
      </c>
      <c r="L177" s="1">
        <v>261</v>
      </c>
      <c r="M177" s="1">
        <v>0</v>
      </c>
      <c r="N177" s="1">
        <v>21</v>
      </c>
      <c r="O177" s="1">
        <v>2.1217000000000006</v>
      </c>
      <c r="P177" s="1">
        <v>150</v>
      </c>
      <c r="Q177" s="1">
        <v>832</v>
      </c>
      <c r="R177" s="1">
        <v>982</v>
      </c>
      <c r="S177"/>
    </row>
    <row r="178" spans="4:19">
      <c r="D178" s="68" t="s">
        <v>240</v>
      </c>
      <c r="E178" s="1">
        <v>16</v>
      </c>
      <c r="F178" s="1">
        <v>16</v>
      </c>
      <c r="G178" s="1">
        <v>16</v>
      </c>
      <c r="H178" s="1">
        <v>16</v>
      </c>
      <c r="I178" s="1">
        <v>16</v>
      </c>
      <c r="J178" s="1">
        <v>0</v>
      </c>
      <c r="K178" s="1">
        <v>16</v>
      </c>
      <c r="L178" s="1">
        <v>157</v>
      </c>
      <c r="M178" s="1">
        <v>0</v>
      </c>
      <c r="N178" s="1">
        <v>16</v>
      </c>
      <c r="O178" s="1">
        <v>4.1210999999999993</v>
      </c>
      <c r="P178" s="1">
        <v>115</v>
      </c>
      <c r="Q178" s="1">
        <v>764</v>
      </c>
      <c r="R178" s="1">
        <v>879</v>
      </c>
      <c r="S178"/>
    </row>
    <row r="179" spans="4:19">
      <c r="D179" s="68" t="s">
        <v>246</v>
      </c>
      <c r="E179" s="1">
        <v>24</v>
      </c>
      <c r="F179" s="1">
        <v>24</v>
      </c>
      <c r="G179" s="1">
        <v>24</v>
      </c>
      <c r="H179" s="1">
        <v>24</v>
      </c>
      <c r="I179" s="1">
        <v>24</v>
      </c>
      <c r="J179" s="1">
        <v>0</v>
      </c>
      <c r="K179" s="1">
        <v>48</v>
      </c>
      <c r="L179" s="1">
        <v>276</v>
      </c>
      <c r="M179" s="1">
        <v>0</v>
      </c>
      <c r="N179" s="1">
        <v>24</v>
      </c>
      <c r="O179" s="1">
        <v>7.0000999999999971</v>
      </c>
      <c r="P179" s="1">
        <v>354</v>
      </c>
      <c r="Q179" s="1">
        <v>1269</v>
      </c>
      <c r="R179" s="1">
        <v>1623</v>
      </c>
      <c r="S179"/>
    </row>
    <row r="180" spans="4:19">
      <c r="D180" s="68" t="s">
        <v>253</v>
      </c>
      <c r="E180" s="1">
        <v>13</v>
      </c>
      <c r="F180" s="1">
        <v>13</v>
      </c>
      <c r="G180" s="1">
        <v>13</v>
      </c>
      <c r="H180" s="1">
        <v>13</v>
      </c>
      <c r="I180" s="1">
        <v>13</v>
      </c>
      <c r="J180" s="1">
        <v>0</v>
      </c>
      <c r="K180" s="1">
        <v>26</v>
      </c>
      <c r="L180" s="1">
        <v>187</v>
      </c>
      <c r="M180" s="1">
        <v>0</v>
      </c>
      <c r="N180" s="1">
        <v>13</v>
      </c>
      <c r="O180" s="1">
        <v>4.6060999999999996</v>
      </c>
      <c r="P180" s="1">
        <v>258</v>
      </c>
      <c r="Q180" s="1">
        <v>773</v>
      </c>
      <c r="R180" s="1">
        <v>1031</v>
      </c>
      <c r="S180"/>
    </row>
    <row r="181" spans="4:19">
      <c r="D181" s="67" t="s">
        <v>20</v>
      </c>
      <c r="E181" s="1">
        <v>85</v>
      </c>
      <c r="F181" s="1">
        <v>85</v>
      </c>
      <c r="G181" s="1">
        <v>85</v>
      </c>
      <c r="H181" s="1">
        <v>85</v>
      </c>
      <c r="I181" s="1">
        <v>85</v>
      </c>
      <c r="J181" s="1">
        <v>0</v>
      </c>
      <c r="K181" s="1">
        <v>106</v>
      </c>
      <c r="L181" s="1">
        <v>831</v>
      </c>
      <c r="M181" s="1">
        <v>85</v>
      </c>
      <c r="N181" s="1">
        <v>85</v>
      </c>
      <c r="O181" s="1">
        <v>16.448704674457431</v>
      </c>
      <c r="P181" s="1">
        <v>257</v>
      </c>
      <c r="Q181" s="1">
        <v>3947</v>
      </c>
      <c r="R181" s="1">
        <v>4204</v>
      </c>
      <c r="S181"/>
    </row>
    <row r="182" spans="4:19">
      <c r="D182" s="68" t="s">
        <v>216</v>
      </c>
      <c r="E182" s="1">
        <v>22</v>
      </c>
      <c r="F182" s="1">
        <v>22</v>
      </c>
      <c r="G182" s="1">
        <v>22</v>
      </c>
      <c r="H182" s="1">
        <v>22</v>
      </c>
      <c r="I182" s="1">
        <v>22</v>
      </c>
      <c r="J182" s="1">
        <v>0</v>
      </c>
      <c r="K182" s="1">
        <v>22</v>
      </c>
      <c r="L182" s="1">
        <v>271</v>
      </c>
      <c r="M182" s="1">
        <v>22</v>
      </c>
      <c r="N182" s="1">
        <v>22</v>
      </c>
      <c r="O182" s="1">
        <v>4.1606046744574288</v>
      </c>
      <c r="P182" s="1">
        <v>120</v>
      </c>
      <c r="Q182" s="1">
        <v>1229</v>
      </c>
      <c r="R182" s="1">
        <v>1349</v>
      </c>
      <c r="S182"/>
    </row>
    <row r="183" spans="4:19">
      <c r="D183" s="68" t="s">
        <v>223</v>
      </c>
      <c r="E183" s="1">
        <v>16</v>
      </c>
      <c r="F183" s="1">
        <v>16</v>
      </c>
      <c r="G183" s="1">
        <v>16</v>
      </c>
      <c r="H183" s="1">
        <v>16</v>
      </c>
      <c r="I183" s="1">
        <v>16</v>
      </c>
      <c r="J183" s="1">
        <v>0</v>
      </c>
      <c r="K183" s="1">
        <v>16</v>
      </c>
      <c r="L183" s="1">
        <v>184</v>
      </c>
      <c r="M183" s="1">
        <v>16</v>
      </c>
      <c r="N183" s="1">
        <v>16</v>
      </c>
      <c r="O183" s="1">
        <v>2.3637000000000001</v>
      </c>
      <c r="P183" s="1">
        <v>22</v>
      </c>
      <c r="Q183" s="1">
        <v>758</v>
      </c>
      <c r="R183" s="1">
        <v>780</v>
      </c>
      <c r="S183"/>
    </row>
    <row r="184" spans="4:19">
      <c r="D184" s="68" t="s">
        <v>258</v>
      </c>
      <c r="E184" s="1">
        <v>1</v>
      </c>
      <c r="F184" s="1">
        <v>1</v>
      </c>
      <c r="G184" s="1">
        <v>1</v>
      </c>
      <c r="H184" s="1">
        <v>1</v>
      </c>
      <c r="I184" s="1">
        <v>1</v>
      </c>
      <c r="J184" s="1">
        <v>0</v>
      </c>
      <c r="K184" s="1">
        <v>1</v>
      </c>
      <c r="L184" s="1">
        <v>17</v>
      </c>
      <c r="M184" s="1">
        <v>1</v>
      </c>
      <c r="N184" s="1">
        <v>1</v>
      </c>
      <c r="O184" s="1">
        <v>0.19700000000000001</v>
      </c>
      <c r="P184" s="1">
        <v>4</v>
      </c>
      <c r="Q184" s="1">
        <v>67</v>
      </c>
      <c r="R184" s="1">
        <v>71</v>
      </c>
      <c r="S184"/>
    </row>
    <row r="185" spans="4:19">
      <c r="D185" s="68" t="s">
        <v>235</v>
      </c>
      <c r="E185" s="1">
        <v>18</v>
      </c>
      <c r="F185" s="1">
        <v>18</v>
      </c>
      <c r="G185" s="1">
        <v>18</v>
      </c>
      <c r="H185" s="1">
        <v>18</v>
      </c>
      <c r="I185" s="1">
        <v>18</v>
      </c>
      <c r="J185" s="1">
        <v>0</v>
      </c>
      <c r="K185" s="1">
        <v>18</v>
      </c>
      <c r="L185" s="1">
        <v>190</v>
      </c>
      <c r="M185" s="1">
        <v>18</v>
      </c>
      <c r="N185" s="1">
        <v>18</v>
      </c>
      <c r="O185" s="1">
        <v>2.0153000000000003</v>
      </c>
      <c r="P185" s="1">
        <v>61</v>
      </c>
      <c r="Q185" s="1">
        <v>1128</v>
      </c>
      <c r="R185" s="1">
        <v>1189</v>
      </c>
    </row>
    <row r="186" spans="4:19">
      <c r="D186" s="68" t="s">
        <v>241</v>
      </c>
      <c r="E186" s="1">
        <v>7</v>
      </c>
      <c r="F186" s="1">
        <v>7</v>
      </c>
      <c r="G186" s="1">
        <v>7</v>
      </c>
      <c r="H186" s="1">
        <v>7</v>
      </c>
      <c r="I186" s="1">
        <v>7</v>
      </c>
      <c r="J186" s="1">
        <v>0</v>
      </c>
      <c r="K186" s="1">
        <v>7</v>
      </c>
      <c r="L186" s="1">
        <v>40</v>
      </c>
      <c r="M186" s="1">
        <v>7</v>
      </c>
      <c r="N186" s="1">
        <v>7</v>
      </c>
      <c r="O186" s="1">
        <v>1.4850000000000003</v>
      </c>
      <c r="P186" s="1">
        <v>5</v>
      </c>
      <c r="Q186" s="1">
        <v>163</v>
      </c>
      <c r="R186" s="1">
        <v>168</v>
      </c>
    </row>
    <row r="187" spans="4:19">
      <c r="D187" s="68" t="s">
        <v>247</v>
      </c>
      <c r="E187" s="1">
        <v>13</v>
      </c>
      <c r="F187" s="1">
        <v>13</v>
      </c>
      <c r="G187" s="1">
        <v>13</v>
      </c>
      <c r="H187" s="1">
        <v>13</v>
      </c>
      <c r="I187" s="1">
        <v>13</v>
      </c>
      <c r="J187" s="1">
        <v>0</v>
      </c>
      <c r="K187" s="1">
        <v>26</v>
      </c>
      <c r="L187" s="1">
        <v>101</v>
      </c>
      <c r="M187" s="1">
        <v>13</v>
      </c>
      <c r="N187" s="1">
        <v>13</v>
      </c>
      <c r="O187" s="1">
        <v>3.5758000000000001</v>
      </c>
      <c r="P187" s="1">
        <v>37</v>
      </c>
      <c r="Q187" s="1">
        <v>459</v>
      </c>
      <c r="R187" s="1">
        <v>496</v>
      </c>
    </row>
    <row r="188" spans="4:19">
      <c r="D188" s="68" t="s">
        <v>254</v>
      </c>
      <c r="E188" s="1">
        <v>8</v>
      </c>
      <c r="F188" s="1">
        <v>8</v>
      </c>
      <c r="G188" s="1">
        <v>8</v>
      </c>
      <c r="H188" s="1">
        <v>8</v>
      </c>
      <c r="I188" s="1">
        <v>8</v>
      </c>
      <c r="J188" s="1">
        <v>0</v>
      </c>
      <c r="K188" s="1">
        <v>16</v>
      </c>
      <c r="L188" s="1">
        <v>28</v>
      </c>
      <c r="M188" s="1">
        <v>8</v>
      </c>
      <c r="N188" s="1">
        <v>8</v>
      </c>
      <c r="O188" s="1">
        <v>2.6513</v>
      </c>
      <c r="P188" s="1">
        <v>8</v>
      </c>
      <c r="Q188" s="1">
        <v>143</v>
      </c>
      <c r="R188" s="1">
        <v>151</v>
      </c>
    </row>
    <row r="189" spans="4:19">
      <c r="D189" s="67" t="s">
        <v>21</v>
      </c>
      <c r="E189" s="1">
        <v>52</v>
      </c>
      <c r="F189" s="1">
        <v>52</v>
      </c>
      <c r="G189" s="1">
        <v>52</v>
      </c>
      <c r="H189" s="1">
        <v>52</v>
      </c>
      <c r="I189" s="1">
        <v>52</v>
      </c>
      <c r="J189" s="1">
        <v>0</v>
      </c>
      <c r="K189" s="1">
        <v>71</v>
      </c>
      <c r="L189" s="1">
        <v>625</v>
      </c>
      <c r="M189" s="1">
        <v>104</v>
      </c>
      <c r="N189" s="1">
        <v>52</v>
      </c>
      <c r="O189" s="1">
        <v>10.260934891485809</v>
      </c>
      <c r="P189" s="1">
        <v>207</v>
      </c>
      <c r="Q189" s="1">
        <v>3386</v>
      </c>
      <c r="R189" s="1">
        <v>3593</v>
      </c>
    </row>
    <row r="190" spans="4:19">
      <c r="D190" s="68" t="s">
        <v>217</v>
      </c>
      <c r="E190" s="1">
        <v>22</v>
      </c>
      <c r="F190" s="1">
        <v>22</v>
      </c>
      <c r="G190" s="1">
        <v>22</v>
      </c>
      <c r="H190" s="1">
        <v>22</v>
      </c>
      <c r="I190" s="1">
        <v>22</v>
      </c>
      <c r="J190" s="1">
        <v>0</v>
      </c>
      <c r="K190" s="1">
        <v>22</v>
      </c>
      <c r="L190" s="1">
        <v>263</v>
      </c>
      <c r="M190" s="1">
        <v>44</v>
      </c>
      <c r="N190" s="1">
        <v>22</v>
      </c>
      <c r="O190" s="1">
        <v>4.7605348914858094</v>
      </c>
      <c r="P190" s="1">
        <v>103</v>
      </c>
      <c r="Q190" s="1">
        <v>1417</v>
      </c>
      <c r="R190" s="1">
        <v>1520</v>
      </c>
    </row>
    <row r="191" spans="4:19">
      <c r="D191" s="68" t="s">
        <v>224</v>
      </c>
      <c r="E191" s="1">
        <v>2</v>
      </c>
      <c r="F191" s="1">
        <v>2</v>
      </c>
      <c r="G191" s="1">
        <v>2</v>
      </c>
      <c r="H191" s="1">
        <v>2</v>
      </c>
      <c r="I191" s="1">
        <v>2</v>
      </c>
      <c r="J191" s="1">
        <v>0</v>
      </c>
      <c r="K191" s="1">
        <v>2</v>
      </c>
      <c r="L191" s="1">
        <v>1</v>
      </c>
      <c r="M191" s="1">
        <v>4</v>
      </c>
      <c r="N191" s="1">
        <v>2</v>
      </c>
      <c r="O191" s="1">
        <v>0.31819999999999998</v>
      </c>
      <c r="P191" s="1">
        <v>2</v>
      </c>
      <c r="Q191" s="1">
        <v>13</v>
      </c>
      <c r="R191" s="1">
        <v>15</v>
      </c>
    </row>
    <row r="192" spans="4:19">
      <c r="D192" s="68" t="s">
        <v>236</v>
      </c>
      <c r="E192" s="1">
        <v>9</v>
      </c>
      <c r="F192" s="1">
        <v>9</v>
      </c>
      <c r="G192" s="1">
        <v>9</v>
      </c>
      <c r="H192" s="1">
        <v>9</v>
      </c>
      <c r="I192" s="1">
        <v>9</v>
      </c>
      <c r="J192" s="1">
        <v>0</v>
      </c>
      <c r="K192" s="1">
        <v>9</v>
      </c>
      <c r="L192" s="1">
        <v>104</v>
      </c>
      <c r="M192" s="1">
        <v>18</v>
      </c>
      <c r="N192" s="1">
        <v>9</v>
      </c>
      <c r="O192" s="1">
        <v>1.8031000000000001</v>
      </c>
      <c r="P192" s="1">
        <v>45</v>
      </c>
      <c r="Q192" s="1">
        <v>550</v>
      </c>
      <c r="R192" s="1">
        <v>595</v>
      </c>
    </row>
    <row r="193" spans="4:18">
      <c r="D193" s="68" t="s">
        <v>248</v>
      </c>
      <c r="E193" s="1">
        <v>19</v>
      </c>
      <c r="F193" s="1">
        <v>19</v>
      </c>
      <c r="G193" s="1">
        <v>19</v>
      </c>
      <c r="H193" s="1">
        <v>19</v>
      </c>
      <c r="I193" s="1">
        <v>19</v>
      </c>
      <c r="J193" s="1">
        <v>0</v>
      </c>
      <c r="K193" s="1">
        <v>38</v>
      </c>
      <c r="L193" s="1">
        <v>257</v>
      </c>
      <c r="M193" s="1">
        <v>38</v>
      </c>
      <c r="N193" s="1">
        <v>19</v>
      </c>
      <c r="O193" s="1">
        <v>3.3791000000000002</v>
      </c>
      <c r="P193" s="1">
        <v>57</v>
      </c>
      <c r="Q193" s="1">
        <v>1406</v>
      </c>
      <c r="R193" s="1">
        <v>1463</v>
      </c>
    </row>
    <row r="194" spans="4:18">
      <c r="D194" s="67" t="s">
        <v>22</v>
      </c>
      <c r="E194" s="1">
        <v>77</v>
      </c>
      <c r="F194" s="1">
        <v>77</v>
      </c>
      <c r="G194" s="1">
        <v>77</v>
      </c>
      <c r="H194" s="1">
        <v>77</v>
      </c>
      <c r="I194" s="1">
        <v>77</v>
      </c>
      <c r="J194" s="1">
        <v>0</v>
      </c>
      <c r="K194" s="1">
        <v>100</v>
      </c>
      <c r="L194" s="1">
        <v>1015</v>
      </c>
      <c r="M194" s="1">
        <v>231</v>
      </c>
      <c r="N194" s="1">
        <v>77</v>
      </c>
      <c r="O194" s="1">
        <v>16.727999999999994</v>
      </c>
      <c r="P194" s="1">
        <v>241</v>
      </c>
      <c r="Q194" s="1">
        <v>5215</v>
      </c>
      <c r="R194" s="1">
        <v>5456</v>
      </c>
    </row>
    <row r="195" spans="4:18">
      <c r="D195" s="68" t="s">
        <v>218</v>
      </c>
      <c r="E195" s="1">
        <v>23</v>
      </c>
      <c r="F195" s="1">
        <v>23</v>
      </c>
      <c r="G195" s="1">
        <v>23</v>
      </c>
      <c r="H195" s="1">
        <v>23</v>
      </c>
      <c r="I195" s="1">
        <v>23</v>
      </c>
      <c r="J195" s="1">
        <v>0</v>
      </c>
      <c r="K195" s="1">
        <v>23</v>
      </c>
      <c r="L195" s="1">
        <v>273</v>
      </c>
      <c r="M195" s="1">
        <v>69</v>
      </c>
      <c r="N195" s="1">
        <v>23</v>
      </c>
      <c r="O195" s="1">
        <v>5.2732000000000001</v>
      </c>
      <c r="P195" s="1">
        <v>82</v>
      </c>
      <c r="Q195" s="1">
        <v>1518</v>
      </c>
      <c r="R195" s="1">
        <v>1600</v>
      </c>
    </row>
    <row r="196" spans="4:18">
      <c r="D196" s="68" t="s">
        <v>225</v>
      </c>
      <c r="E196" s="1">
        <v>20</v>
      </c>
      <c r="F196" s="1">
        <v>20</v>
      </c>
      <c r="G196" s="1">
        <v>20</v>
      </c>
      <c r="H196" s="1">
        <v>20</v>
      </c>
      <c r="I196" s="1">
        <v>20</v>
      </c>
      <c r="J196" s="1">
        <v>0</v>
      </c>
      <c r="K196" s="1">
        <v>20</v>
      </c>
      <c r="L196" s="1">
        <v>268</v>
      </c>
      <c r="M196" s="1">
        <v>60</v>
      </c>
      <c r="N196" s="1">
        <v>20</v>
      </c>
      <c r="O196" s="1">
        <v>3.1516000000000002</v>
      </c>
      <c r="P196" s="1">
        <v>25</v>
      </c>
      <c r="Q196" s="1">
        <v>1124</v>
      </c>
      <c r="R196" s="1">
        <v>1149</v>
      </c>
    </row>
    <row r="197" spans="4:18">
      <c r="D197" s="68" t="s">
        <v>230</v>
      </c>
      <c r="E197" s="1">
        <v>11</v>
      </c>
      <c r="F197" s="1">
        <v>11</v>
      </c>
      <c r="G197" s="1">
        <v>11</v>
      </c>
      <c r="H197" s="1">
        <v>11</v>
      </c>
      <c r="I197" s="1">
        <v>11</v>
      </c>
      <c r="J197" s="1">
        <v>0</v>
      </c>
      <c r="K197" s="1">
        <v>11</v>
      </c>
      <c r="L197" s="1">
        <v>198</v>
      </c>
      <c r="M197" s="1">
        <v>33</v>
      </c>
      <c r="N197" s="1">
        <v>11</v>
      </c>
      <c r="O197" s="1">
        <v>3.7271999999999998</v>
      </c>
      <c r="P197" s="1">
        <v>61</v>
      </c>
      <c r="Q197" s="1">
        <v>970</v>
      </c>
      <c r="R197" s="1">
        <v>1031</v>
      </c>
    </row>
    <row r="198" spans="4:18">
      <c r="D198" s="68" t="s">
        <v>242</v>
      </c>
      <c r="E198" s="1">
        <v>11</v>
      </c>
      <c r="F198" s="1">
        <v>11</v>
      </c>
      <c r="G198" s="1">
        <v>11</v>
      </c>
      <c r="H198" s="1">
        <v>11</v>
      </c>
      <c r="I198" s="1">
        <v>11</v>
      </c>
      <c r="J198" s="1">
        <v>0</v>
      </c>
      <c r="K198" s="1">
        <v>22</v>
      </c>
      <c r="L198" s="1">
        <v>198</v>
      </c>
      <c r="M198" s="1">
        <v>33</v>
      </c>
      <c r="N198" s="1">
        <v>11</v>
      </c>
      <c r="O198" s="1">
        <v>3.0756999999999999</v>
      </c>
      <c r="P198" s="1">
        <v>51</v>
      </c>
      <c r="Q198" s="1">
        <v>939</v>
      </c>
      <c r="R198" s="1">
        <v>990</v>
      </c>
    </row>
    <row r="199" spans="4:18">
      <c r="D199" s="68" t="s">
        <v>249</v>
      </c>
      <c r="E199" s="1">
        <v>12</v>
      </c>
      <c r="F199" s="1">
        <v>12</v>
      </c>
      <c r="G199" s="1">
        <v>12</v>
      </c>
      <c r="H199" s="1">
        <v>12</v>
      </c>
      <c r="I199" s="1">
        <v>12</v>
      </c>
      <c r="J199" s="1">
        <v>0</v>
      </c>
      <c r="K199" s="1">
        <v>24</v>
      </c>
      <c r="L199" s="1">
        <v>78</v>
      </c>
      <c r="M199" s="1">
        <v>36</v>
      </c>
      <c r="N199" s="1">
        <v>12</v>
      </c>
      <c r="O199" s="1">
        <v>1.5003</v>
      </c>
      <c r="P199" s="1">
        <v>22</v>
      </c>
      <c r="Q199" s="1">
        <v>664</v>
      </c>
      <c r="R199" s="1">
        <v>686</v>
      </c>
    </row>
    <row r="200" spans="4:18">
      <c r="D200" s="67" t="s">
        <v>23</v>
      </c>
      <c r="E200" s="1">
        <v>96</v>
      </c>
      <c r="F200" s="1">
        <v>96</v>
      </c>
      <c r="G200" s="1">
        <v>96</v>
      </c>
      <c r="H200" s="1">
        <v>96</v>
      </c>
      <c r="I200" s="1">
        <v>96</v>
      </c>
      <c r="J200" s="1">
        <v>0</v>
      </c>
      <c r="K200" s="1">
        <v>136</v>
      </c>
      <c r="L200" s="1">
        <v>1179</v>
      </c>
      <c r="M200" s="1">
        <v>384</v>
      </c>
      <c r="N200" s="1">
        <v>96</v>
      </c>
      <c r="O200" s="1">
        <v>18.121799999999983</v>
      </c>
      <c r="P200" s="1">
        <v>249</v>
      </c>
      <c r="Q200" s="1">
        <v>6389</v>
      </c>
      <c r="R200" s="1">
        <v>6638</v>
      </c>
    </row>
    <row r="201" spans="4:18">
      <c r="D201" s="68" t="s">
        <v>219</v>
      </c>
      <c r="E201" s="1">
        <v>15</v>
      </c>
      <c r="F201" s="1">
        <v>15</v>
      </c>
      <c r="G201" s="1">
        <v>15</v>
      </c>
      <c r="H201" s="1">
        <v>15</v>
      </c>
      <c r="I201" s="1">
        <v>15</v>
      </c>
      <c r="J201" s="1">
        <v>0</v>
      </c>
      <c r="K201" s="1">
        <v>15</v>
      </c>
      <c r="L201" s="1">
        <v>176</v>
      </c>
      <c r="M201" s="1">
        <v>60</v>
      </c>
      <c r="N201" s="1">
        <v>15</v>
      </c>
      <c r="O201" s="1">
        <v>3.7274000000000003</v>
      </c>
      <c r="P201" s="1">
        <v>77</v>
      </c>
      <c r="Q201" s="1">
        <v>1148</v>
      </c>
      <c r="R201" s="1">
        <v>1225</v>
      </c>
    </row>
    <row r="202" spans="4:18">
      <c r="D202" s="68" t="s">
        <v>226</v>
      </c>
      <c r="E202" s="1">
        <v>22</v>
      </c>
      <c r="F202" s="1">
        <v>22</v>
      </c>
      <c r="G202" s="1">
        <v>22</v>
      </c>
      <c r="H202" s="1">
        <v>22</v>
      </c>
      <c r="I202" s="1">
        <v>22</v>
      </c>
      <c r="J202" s="1">
        <v>0</v>
      </c>
      <c r="K202" s="1">
        <v>22</v>
      </c>
      <c r="L202" s="1">
        <v>255</v>
      </c>
      <c r="M202" s="1">
        <v>88</v>
      </c>
      <c r="N202" s="1">
        <v>22</v>
      </c>
      <c r="O202" s="1">
        <v>3.3181000000000003</v>
      </c>
      <c r="P202" s="1">
        <v>32</v>
      </c>
      <c r="Q202" s="1">
        <v>1299</v>
      </c>
      <c r="R202" s="1">
        <v>1331</v>
      </c>
    </row>
    <row r="203" spans="4:18">
      <c r="D203" s="68" t="s">
        <v>231</v>
      </c>
      <c r="E203" s="1">
        <v>11</v>
      </c>
      <c r="F203" s="1">
        <v>11</v>
      </c>
      <c r="G203" s="1">
        <v>11</v>
      </c>
      <c r="H203" s="1">
        <v>11</v>
      </c>
      <c r="I203" s="1">
        <v>11</v>
      </c>
      <c r="J203" s="1">
        <v>0</v>
      </c>
      <c r="K203" s="1">
        <v>11</v>
      </c>
      <c r="L203" s="1">
        <v>65</v>
      </c>
      <c r="M203" s="1">
        <v>44</v>
      </c>
      <c r="N203" s="1">
        <v>11</v>
      </c>
      <c r="O203" s="1">
        <v>2.6061000000000001</v>
      </c>
      <c r="P203" s="1">
        <v>17</v>
      </c>
      <c r="Q203" s="1">
        <v>605</v>
      </c>
      <c r="R203" s="1">
        <v>622</v>
      </c>
    </row>
    <row r="204" spans="4:18">
      <c r="D204" s="68" t="s">
        <v>237</v>
      </c>
      <c r="E204" s="1">
        <v>8</v>
      </c>
      <c r="F204" s="1">
        <v>8</v>
      </c>
      <c r="G204" s="1">
        <v>8</v>
      </c>
      <c r="H204" s="1">
        <v>8</v>
      </c>
      <c r="I204" s="1">
        <v>8</v>
      </c>
      <c r="J204" s="1">
        <v>0</v>
      </c>
      <c r="K204" s="1">
        <v>8</v>
      </c>
      <c r="L204" s="1">
        <v>156</v>
      </c>
      <c r="M204" s="1">
        <v>32</v>
      </c>
      <c r="N204" s="1">
        <v>8</v>
      </c>
      <c r="O204" s="1">
        <v>1.7576000000000001</v>
      </c>
      <c r="P204" s="1">
        <v>15</v>
      </c>
      <c r="Q204" s="1">
        <v>416</v>
      </c>
      <c r="R204" s="1">
        <v>431</v>
      </c>
    </row>
    <row r="205" spans="4:18">
      <c r="D205" s="68" t="s">
        <v>243</v>
      </c>
      <c r="E205" s="1">
        <v>23</v>
      </c>
      <c r="F205" s="1">
        <v>23</v>
      </c>
      <c r="G205" s="1">
        <v>23</v>
      </c>
      <c r="H205" s="1">
        <v>23</v>
      </c>
      <c r="I205" s="1">
        <v>23</v>
      </c>
      <c r="J205" s="1">
        <v>0</v>
      </c>
      <c r="K205" s="1">
        <v>46</v>
      </c>
      <c r="L205" s="1">
        <v>272</v>
      </c>
      <c r="M205" s="1">
        <v>92</v>
      </c>
      <c r="N205" s="1">
        <v>23</v>
      </c>
      <c r="O205" s="1">
        <v>4.0911999999999997</v>
      </c>
      <c r="P205" s="1">
        <v>61</v>
      </c>
      <c r="Q205" s="1">
        <v>1489</v>
      </c>
      <c r="R205" s="1">
        <v>1550</v>
      </c>
    </row>
    <row r="206" spans="4:18">
      <c r="D206" s="68" t="s">
        <v>250</v>
      </c>
      <c r="E206" s="1">
        <v>17</v>
      </c>
      <c r="F206" s="1">
        <v>17</v>
      </c>
      <c r="G206" s="1">
        <v>17</v>
      </c>
      <c r="H206" s="1">
        <v>17</v>
      </c>
      <c r="I206" s="1">
        <v>17</v>
      </c>
      <c r="J206" s="1">
        <v>0</v>
      </c>
      <c r="K206" s="1">
        <v>34</v>
      </c>
      <c r="L206" s="1">
        <v>255</v>
      </c>
      <c r="M206" s="1">
        <v>68</v>
      </c>
      <c r="N206" s="1">
        <v>17</v>
      </c>
      <c r="O206" s="1">
        <v>2.6214</v>
      </c>
      <c r="P206" s="1">
        <v>47</v>
      </c>
      <c r="Q206" s="1">
        <v>1432</v>
      </c>
      <c r="R206" s="1">
        <v>1479</v>
      </c>
    </row>
    <row r="207" spans="4:18">
      <c r="D207" s="67" t="s">
        <v>24</v>
      </c>
      <c r="E207" s="1">
        <v>78</v>
      </c>
      <c r="F207" s="1">
        <v>78</v>
      </c>
      <c r="G207" s="1">
        <v>78</v>
      </c>
      <c r="H207" s="1">
        <v>78</v>
      </c>
      <c r="I207" s="1">
        <v>78</v>
      </c>
      <c r="J207" s="1">
        <v>0</v>
      </c>
      <c r="K207" s="1">
        <v>103</v>
      </c>
      <c r="L207" s="1">
        <v>996</v>
      </c>
      <c r="M207" s="1">
        <v>390</v>
      </c>
      <c r="N207" s="1">
        <v>78</v>
      </c>
      <c r="O207" s="1">
        <v>14.576299999999998</v>
      </c>
      <c r="P207" s="1">
        <v>359</v>
      </c>
      <c r="Q207" s="1">
        <v>5814</v>
      </c>
      <c r="R207" s="1">
        <v>6173</v>
      </c>
    </row>
    <row r="208" spans="4:18">
      <c r="D208" s="68" t="s">
        <v>220</v>
      </c>
      <c r="E208" s="1">
        <v>8</v>
      </c>
      <c r="F208" s="1">
        <v>8</v>
      </c>
      <c r="G208" s="1">
        <v>8</v>
      </c>
      <c r="H208" s="1">
        <v>8</v>
      </c>
      <c r="I208" s="1">
        <v>8</v>
      </c>
      <c r="J208" s="1">
        <v>0</v>
      </c>
      <c r="K208" s="1">
        <v>8</v>
      </c>
      <c r="L208" s="1">
        <v>112</v>
      </c>
      <c r="M208" s="1">
        <v>40</v>
      </c>
      <c r="N208" s="1">
        <v>8</v>
      </c>
      <c r="O208" s="1">
        <v>1.6213000000000002</v>
      </c>
      <c r="P208" s="1">
        <v>64</v>
      </c>
      <c r="Q208" s="1">
        <v>735</v>
      </c>
      <c r="R208" s="1">
        <v>799</v>
      </c>
    </row>
    <row r="209" spans="4:18">
      <c r="D209" s="68" t="s">
        <v>227</v>
      </c>
      <c r="E209" s="1">
        <v>21</v>
      </c>
      <c r="F209" s="1">
        <v>21</v>
      </c>
      <c r="G209" s="1">
        <v>21</v>
      </c>
      <c r="H209" s="1">
        <v>21</v>
      </c>
      <c r="I209" s="1">
        <v>21</v>
      </c>
      <c r="J209" s="1">
        <v>0</v>
      </c>
      <c r="K209" s="1">
        <v>21</v>
      </c>
      <c r="L209" s="1">
        <v>227</v>
      </c>
      <c r="M209" s="1">
        <v>105</v>
      </c>
      <c r="N209" s="1">
        <v>21</v>
      </c>
      <c r="O209" s="1">
        <v>3.8637999999999999</v>
      </c>
      <c r="P209" s="1">
        <v>51</v>
      </c>
      <c r="Q209" s="1">
        <v>1307</v>
      </c>
      <c r="R209" s="1">
        <v>1358</v>
      </c>
    </row>
    <row r="210" spans="4:18">
      <c r="D210" s="68" t="s">
        <v>232</v>
      </c>
      <c r="E210" s="1">
        <v>19</v>
      </c>
      <c r="F210" s="1">
        <v>19</v>
      </c>
      <c r="G210" s="1">
        <v>19</v>
      </c>
      <c r="H210" s="1">
        <v>19</v>
      </c>
      <c r="I210" s="1">
        <v>19</v>
      </c>
      <c r="J210" s="1">
        <v>0</v>
      </c>
      <c r="K210" s="1">
        <v>19</v>
      </c>
      <c r="L210" s="1">
        <v>266</v>
      </c>
      <c r="M210" s="1">
        <v>95</v>
      </c>
      <c r="N210" s="1">
        <v>19</v>
      </c>
      <c r="O210" s="1">
        <v>2.6213000000000002</v>
      </c>
      <c r="P210" s="1">
        <v>74</v>
      </c>
      <c r="Q210" s="1">
        <v>1438</v>
      </c>
      <c r="R210" s="1">
        <v>1512</v>
      </c>
    </row>
    <row r="211" spans="4:18">
      <c r="D211" s="68" t="s">
        <v>238</v>
      </c>
      <c r="E211" s="1">
        <v>5</v>
      </c>
      <c r="F211" s="1">
        <v>5</v>
      </c>
      <c r="G211" s="1">
        <v>5</v>
      </c>
      <c r="H211" s="1">
        <v>5</v>
      </c>
      <c r="I211" s="1">
        <v>5</v>
      </c>
      <c r="J211" s="1">
        <v>0</v>
      </c>
      <c r="K211" s="1">
        <v>5</v>
      </c>
      <c r="L211" s="1">
        <v>96</v>
      </c>
      <c r="M211" s="1">
        <v>25</v>
      </c>
      <c r="N211" s="1">
        <v>5</v>
      </c>
      <c r="O211" s="1">
        <v>1.1818</v>
      </c>
      <c r="P211" s="1">
        <v>15</v>
      </c>
      <c r="Q211" s="1">
        <v>372</v>
      </c>
      <c r="R211" s="1">
        <v>387</v>
      </c>
    </row>
    <row r="212" spans="4:18">
      <c r="D212" s="68" t="s">
        <v>244</v>
      </c>
      <c r="E212" s="1">
        <v>3</v>
      </c>
      <c r="F212" s="1">
        <v>3</v>
      </c>
      <c r="G212" s="1">
        <v>3</v>
      </c>
      <c r="H212" s="1">
        <v>3</v>
      </c>
      <c r="I212" s="1">
        <v>3</v>
      </c>
      <c r="J212" s="1">
        <v>0</v>
      </c>
      <c r="K212" s="1">
        <v>6</v>
      </c>
      <c r="L212" s="1">
        <v>26</v>
      </c>
      <c r="M212" s="1">
        <v>15</v>
      </c>
      <c r="N212" s="1">
        <v>3</v>
      </c>
      <c r="O212" s="1">
        <v>0.59089999999999998</v>
      </c>
      <c r="P212" s="1">
        <v>6</v>
      </c>
      <c r="Q212" s="1">
        <v>365</v>
      </c>
      <c r="R212" s="1">
        <v>371</v>
      </c>
    </row>
    <row r="213" spans="4:18">
      <c r="D213" s="68" t="s">
        <v>251</v>
      </c>
      <c r="E213" s="1">
        <v>22</v>
      </c>
      <c r="F213" s="1">
        <v>22</v>
      </c>
      <c r="G213" s="1">
        <v>22</v>
      </c>
      <c r="H213" s="1">
        <v>22</v>
      </c>
      <c r="I213" s="1">
        <v>22</v>
      </c>
      <c r="J213" s="1">
        <v>0</v>
      </c>
      <c r="K213" s="1">
        <v>44</v>
      </c>
      <c r="L213" s="1">
        <v>269</v>
      </c>
      <c r="M213" s="1">
        <v>110</v>
      </c>
      <c r="N213" s="1">
        <v>22</v>
      </c>
      <c r="O213" s="1">
        <v>4.6971999999999996</v>
      </c>
      <c r="P213" s="1">
        <v>149</v>
      </c>
      <c r="Q213" s="1">
        <v>1597</v>
      </c>
      <c r="R213" s="1">
        <v>1746</v>
      </c>
    </row>
    <row r="214" spans="4:18">
      <c r="D214" s="67" t="s">
        <v>25</v>
      </c>
      <c r="E214" s="1">
        <v>95</v>
      </c>
      <c r="F214" s="1">
        <v>95</v>
      </c>
      <c r="G214" s="1">
        <v>95</v>
      </c>
      <c r="H214" s="1">
        <v>95</v>
      </c>
      <c r="I214" s="1">
        <v>95</v>
      </c>
      <c r="J214" s="1">
        <v>0</v>
      </c>
      <c r="K214" s="1">
        <v>123</v>
      </c>
      <c r="L214" s="1">
        <v>1165</v>
      </c>
      <c r="M214" s="1">
        <v>570</v>
      </c>
      <c r="N214" s="1">
        <v>95</v>
      </c>
      <c r="O214" s="1">
        <v>19.427734891485805</v>
      </c>
      <c r="P214" s="1">
        <v>695</v>
      </c>
      <c r="Q214" s="1">
        <v>3953</v>
      </c>
      <c r="R214" s="1">
        <v>4648</v>
      </c>
    </row>
    <row r="215" spans="4:18">
      <c r="D215" s="68" t="s">
        <v>214</v>
      </c>
      <c r="E215" s="1">
        <v>12</v>
      </c>
      <c r="F215" s="1">
        <v>12</v>
      </c>
      <c r="G215" s="1">
        <v>12</v>
      </c>
      <c r="H215" s="1">
        <v>12</v>
      </c>
      <c r="I215" s="1">
        <v>12</v>
      </c>
      <c r="J215" s="1">
        <v>0</v>
      </c>
      <c r="K215" s="1">
        <v>12</v>
      </c>
      <c r="L215" s="1">
        <v>73</v>
      </c>
      <c r="M215" s="1">
        <v>72</v>
      </c>
      <c r="N215" s="1">
        <v>12</v>
      </c>
      <c r="O215" s="1">
        <v>3.6392348914858093</v>
      </c>
      <c r="P215" s="1">
        <v>98</v>
      </c>
      <c r="Q215" s="1">
        <v>207</v>
      </c>
      <c r="R215" s="1">
        <v>305</v>
      </c>
    </row>
    <row r="216" spans="4:18">
      <c r="D216" s="68" t="s">
        <v>221</v>
      </c>
      <c r="E216" s="1">
        <v>11</v>
      </c>
      <c r="F216" s="1">
        <v>11</v>
      </c>
      <c r="G216" s="1">
        <v>11</v>
      </c>
      <c r="H216" s="1">
        <v>11</v>
      </c>
      <c r="I216" s="1">
        <v>11</v>
      </c>
      <c r="J216" s="1">
        <v>0</v>
      </c>
      <c r="K216" s="1">
        <v>11</v>
      </c>
      <c r="L216" s="1">
        <v>198</v>
      </c>
      <c r="M216" s="1">
        <v>66</v>
      </c>
      <c r="N216" s="1">
        <v>11</v>
      </c>
      <c r="O216" s="1">
        <v>1.4092</v>
      </c>
      <c r="P216" s="1">
        <v>47</v>
      </c>
      <c r="Q216" s="1">
        <v>575</v>
      </c>
      <c r="R216" s="1">
        <v>622</v>
      </c>
    </row>
    <row r="217" spans="4:18">
      <c r="D217" s="68" t="s">
        <v>228</v>
      </c>
      <c r="E217" s="1">
        <v>12</v>
      </c>
      <c r="F217" s="1">
        <v>12</v>
      </c>
      <c r="G217" s="1">
        <v>12</v>
      </c>
      <c r="H217" s="1">
        <v>12</v>
      </c>
      <c r="I217" s="1">
        <v>12</v>
      </c>
      <c r="J217" s="1">
        <v>0</v>
      </c>
      <c r="K217" s="1">
        <v>12</v>
      </c>
      <c r="L217" s="1">
        <v>118</v>
      </c>
      <c r="M217" s="1">
        <v>72</v>
      </c>
      <c r="N217" s="1">
        <v>12</v>
      </c>
      <c r="O217" s="1">
        <v>2.6365000000000003</v>
      </c>
      <c r="P217" s="1">
        <v>95</v>
      </c>
      <c r="Q217" s="1">
        <v>486</v>
      </c>
      <c r="R217" s="1">
        <v>581</v>
      </c>
    </row>
    <row r="218" spans="4:18">
      <c r="D218" s="68" t="s">
        <v>233</v>
      </c>
      <c r="E218" s="1">
        <v>15</v>
      </c>
      <c r="F218" s="1">
        <v>15</v>
      </c>
      <c r="G218" s="1">
        <v>15</v>
      </c>
      <c r="H218" s="1">
        <v>15</v>
      </c>
      <c r="I218" s="1">
        <v>15</v>
      </c>
      <c r="J218" s="1">
        <v>0</v>
      </c>
      <c r="K218" s="1">
        <v>15</v>
      </c>
      <c r="L218" s="1">
        <v>222</v>
      </c>
      <c r="M218" s="1">
        <v>90</v>
      </c>
      <c r="N218" s="1">
        <v>15</v>
      </c>
      <c r="O218" s="1">
        <v>1.4700000000000002</v>
      </c>
      <c r="P218" s="1">
        <v>72</v>
      </c>
      <c r="Q218" s="1">
        <v>688</v>
      </c>
      <c r="R218" s="1">
        <v>760</v>
      </c>
    </row>
    <row r="219" spans="4:18">
      <c r="D219" s="68" t="s">
        <v>239</v>
      </c>
      <c r="E219" s="1">
        <v>17</v>
      </c>
      <c r="F219" s="1">
        <v>17</v>
      </c>
      <c r="G219" s="1">
        <v>17</v>
      </c>
      <c r="H219" s="1">
        <v>17</v>
      </c>
      <c r="I219" s="1">
        <v>17</v>
      </c>
      <c r="J219" s="1">
        <v>0</v>
      </c>
      <c r="K219" s="1">
        <v>17</v>
      </c>
      <c r="L219" s="1">
        <v>192</v>
      </c>
      <c r="M219" s="1">
        <v>102</v>
      </c>
      <c r="N219" s="1">
        <v>17</v>
      </c>
      <c r="O219" s="1">
        <v>3.6061000000000001</v>
      </c>
      <c r="P219" s="1">
        <v>78</v>
      </c>
      <c r="Q219" s="1">
        <v>601</v>
      </c>
      <c r="R219" s="1">
        <v>679</v>
      </c>
    </row>
    <row r="220" spans="4:18">
      <c r="D220" s="68" t="s">
        <v>245</v>
      </c>
      <c r="E220" s="1">
        <v>4</v>
      </c>
      <c r="F220" s="1">
        <v>4</v>
      </c>
      <c r="G220" s="1">
        <v>4</v>
      </c>
      <c r="H220" s="1">
        <v>4</v>
      </c>
      <c r="I220" s="1">
        <v>4</v>
      </c>
      <c r="J220" s="1">
        <v>0</v>
      </c>
      <c r="K220" s="1">
        <v>8</v>
      </c>
      <c r="L220" s="1">
        <v>86</v>
      </c>
      <c r="M220" s="1">
        <v>24</v>
      </c>
      <c r="N220" s="1">
        <v>4</v>
      </c>
      <c r="O220" s="1">
        <v>1.0758000000000001</v>
      </c>
      <c r="P220" s="1">
        <v>17</v>
      </c>
      <c r="Q220" s="1">
        <v>212</v>
      </c>
      <c r="R220" s="1">
        <v>229</v>
      </c>
    </row>
    <row r="221" spans="4:18">
      <c r="D221" s="68" t="s">
        <v>252</v>
      </c>
      <c r="E221" s="1">
        <v>24</v>
      </c>
      <c r="F221" s="1">
        <v>24</v>
      </c>
      <c r="G221" s="1">
        <v>24</v>
      </c>
      <c r="H221" s="1">
        <v>24</v>
      </c>
      <c r="I221" s="1">
        <v>24</v>
      </c>
      <c r="J221" s="1">
        <v>0</v>
      </c>
      <c r="K221" s="1">
        <v>48</v>
      </c>
      <c r="L221" s="1">
        <v>276</v>
      </c>
      <c r="M221" s="1">
        <v>144</v>
      </c>
      <c r="N221" s="1">
        <v>24</v>
      </c>
      <c r="O221" s="1">
        <v>5.5908999999999995</v>
      </c>
      <c r="P221" s="1">
        <v>288</v>
      </c>
      <c r="Q221" s="1">
        <v>1184</v>
      </c>
      <c r="R221" s="1">
        <v>1472</v>
      </c>
    </row>
    <row r="222" spans="4:18">
      <c r="D222" s="10" t="s">
        <v>28</v>
      </c>
      <c r="E222" s="1">
        <v>309</v>
      </c>
      <c r="F222" s="1">
        <v>309</v>
      </c>
      <c r="G222" s="1">
        <v>309</v>
      </c>
      <c r="H222" s="1">
        <v>309</v>
      </c>
      <c r="I222" s="1">
        <v>309</v>
      </c>
      <c r="J222" s="1">
        <v>0</v>
      </c>
      <c r="K222" s="1">
        <v>393</v>
      </c>
      <c r="L222" s="1">
        <v>3525</v>
      </c>
      <c r="M222" s="1">
        <v>926</v>
      </c>
      <c r="N222" s="1">
        <v>618</v>
      </c>
      <c r="O222" s="1">
        <v>71.088739565943257</v>
      </c>
      <c r="P222" s="1">
        <v>1538</v>
      </c>
      <c r="Q222" s="1">
        <v>16568</v>
      </c>
      <c r="R222" s="1">
        <v>18106</v>
      </c>
    </row>
    <row r="223" spans="4:18">
      <c r="D223" s="67" t="s">
        <v>19</v>
      </c>
      <c r="E223" s="1">
        <v>36</v>
      </c>
      <c r="F223" s="1">
        <v>36</v>
      </c>
      <c r="G223" s="1">
        <v>36</v>
      </c>
      <c r="H223" s="1">
        <v>36</v>
      </c>
      <c r="I223" s="1">
        <v>36</v>
      </c>
      <c r="J223" s="1">
        <v>0</v>
      </c>
      <c r="K223" s="1">
        <v>46</v>
      </c>
      <c r="L223" s="1">
        <v>361</v>
      </c>
      <c r="M223" s="1">
        <v>0</v>
      </c>
      <c r="N223" s="1">
        <v>72</v>
      </c>
      <c r="O223" s="1">
        <v>10.081569782971622</v>
      </c>
      <c r="P223" s="1">
        <v>242</v>
      </c>
      <c r="Q223" s="1">
        <v>999</v>
      </c>
      <c r="R223" s="1">
        <v>1241</v>
      </c>
    </row>
    <row r="224" spans="4:18">
      <c r="D224" s="68" t="s">
        <v>215</v>
      </c>
      <c r="E224" s="1">
        <v>12</v>
      </c>
      <c r="F224" s="1">
        <v>12</v>
      </c>
      <c r="G224" s="1">
        <v>12</v>
      </c>
      <c r="H224" s="1">
        <v>12</v>
      </c>
      <c r="I224" s="1">
        <v>12</v>
      </c>
      <c r="J224" s="1">
        <v>0</v>
      </c>
      <c r="K224" s="1">
        <v>12</v>
      </c>
      <c r="L224" s="1">
        <v>90</v>
      </c>
      <c r="M224" s="1">
        <v>0</v>
      </c>
      <c r="N224" s="1">
        <v>24</v>
      </c>
      <c r="O224" s="1">
        <v>4.2784697829716194</v>
      </c>
      <c r="P224" s="1">
        <v>75</v>
      </c>
      <c r="Q224" s="1">
        <v>342</v>
      </c>
      <c r="R224" s="1">
        <v>417</v>
      </c>
    </row>
    <row r="225" spans="4:18">
      <c r="D225" s="68" t="s">
        <v>229</v>
      </c>
      <c r="E225" s="1">
        <v>5</v>
      </c>
      <c r="F225" s="1">
        <v>5</v>
      </c>
      <c r="G225" s="1">
        <v>5</v>
      </c>
      <c r="H225" s="1">
        <v>5</v>
      </c>
      <c r="I225" s="1">
        <v>5</v>
      </c>
      <c r="J225" s="1">
        <v>0</v>
      </c>
      <c r="K225" s="1">
        <v>5</v>
      </c>
      <c r="L225" s="1">
        <v>63</v>
      </c>
      <c r="M225" s="1">
        <v>0</v>
      </c>
      <c r="N225" s="1">
        <v>10</v>
      </c>
      <c r="O225" s="1">
        <v>1.1667000000000001</v>
      </c>
      <c r="P225" s="1">
        <v>3</v>
      </c>
      <c r="Q225" s="1">
        <v>42</v>
      </c>
      <c r="R225" s="1">
        <v>45</v>
      </c>
    </row>
    <row r="226" spans="4:18">
      <c r="D226" s="68" t="s">
        <v>234</v>
      </c>
      <c r="E226" s="1">
        <v>2</v>
      </c>
      <c r="F226" s="1">
        <v>2</v>
      </c>
      <c r="G226" s="1">
        <v>2</v>
      </c>
      <c r="H226" s="1">
        <v>2</v>
      </c>
      <c r="I226" s="1">
        <v>2</v>
      </c>
      <c r="J226" s="1">
        <v>0</v>
      </c>
      <c r="K226" s="1">
        <v>2</v>
      </c>
      <c r="L226" s="1">
        <v>11</v>
      </c>
      <c r="M226" s="1">
        <v>0</v>
      </c>
      <c r="N226" s="1">
        <v>4</v>
      </c>
      <c r="O226" s="1">
        <v>0.15160000000000001</v>
      </c>
      <c r="P226" s="1">
        <v>0</v>
      </c>
      <c r="Q226" s="1">
        <v>4</v>
      </c>
      <c r="R226" s="1">
        <v>4</v>
      </c>
    </row>
    <row r="227" spans="4:18">
      <c r="D227" s="68" t="s">
        <v>240</v>
      </c>
      <c r="E227" s="1">
        <v>7</v>
      </c>
      <c r="F227" s="1">
        <v>7</v>
      </c>
      <c r="G227" s="1">
        <v>7</v>
      </c>
      <c r="H227" s="1">
        <v>7</v>
      </c>
      <c r="I227" s="1">
        <v>7</v>
      </c>
      <c r="J227" s="1">
        <v>0</v>
      </c>
      <c r="K227" s="1">
        <v>7</v>
      </c>
      <c r="L227" s="1">
        <v>113</v>
      </c>
      <c r="M227" s="1">
        <v>0</v>
      </c>
      <c r="N227" s="1">
        <v>14</v>
      </c>
      <c r="O227" s="1">
        <v>1.6362999999999999</v>
      </c>
      <c r="P227" s="1">
        <v>25</v>
      </c>
      <c r="Q227" s="1">
        <v>192</v>
      </c>
      <c r="R227" s="1">
        <v>217</v>
      </c>
    </row>
    <row r="228" spans="4:18">
      <c r="D228" s="68" t="s">
        <v>253</v>
      </c>
      <c r="E228" s="1">
        <v>10</v>
      </c>
      <c r="F228" s="1">
        <v>10</v>
      </c>
      <c r="G228" s="1">
        <v>10</v>
      </c>
      <c r="H228" s="1">
        <v>10</v>
      </c>
      <c r="I228" s="1">
        <v>10</v>
      </c>
      <c r="J228" s="1">
        <v>0</v>
      </c>
      <c r="K228" s="1">
        <v>20</v>
      </c>
      <c r="L228" s="1">
        <v>84</v>
      </c>
      <c r="M228" s="1">
        <v>0</v>
      </c>
      <c r="N228" s="1">
        <v>20</v>
      </c>
      <c r="O228" s="1">
        <v>2.8485</v>
      </c>
      <c r="P228" s="1">
        <v>139</v>
      </c>
      <c r="Q228" s="1">
        <v>419</v>
      </c>
      <c r="R228" s="1">
        <v>558</v>
      </c>
    </row>
    <row r="229" spans="4:18">
      <c r="D229" s="67" t="s">
        <v>20</v>
      </c>
      <c r="E229" s="1">
        <v>57</v>
      </c>
      <c r="F229" s="1">
        <v>57</v>
      </c>
      <c r="G229" s="1">
        <v>57</v>
      </c>
      <c r="H229" s="1">
        <v>57</v>
      </c>
      <c r="I229" s="1">
        <v>57</v>
      </c>
      <c r="J229" s="1">
        <v>0</v>
      </c>
      <c r="K229" s="1">
        <v>68</v>
      </c>
      <c r="L229" s="1">
        <v>700</v>
      </c>
      <c r="M229" s="1">
        <v>57</v>
      </c>
      <c r="N229" s="1">
        <v>114</v>
      </c>
      <c r="O229" s="1">
        <v>11.591099999999999</v>
      </c>
      <c r="P229" s="1">
        <v>264</v>
      </c>
      <c r="Q229" s="1">
        <v>3711</v>
      </c>
      <c r="R229" s="1">
        <v>3975</v>
      </c>
    </row>
    <row r="230" spans="4:18">
      <c r="D230" s="68" t="s">
        <v>223</v>
      </c>
      <c r="E230" s="1">
        <v>8</v>
      </c>
      <c r="F230" s="1">
        <v>8</v>
      </c>
      <c r="G230" s="1">
        <v>8</v>
      </c>
      <c r="H230" s="1">
        <v>8</v>
      </c>
      <c r="I230" s="1">
        <v>8</v>
      </c>
      <c r="J230" s="1">
        <v>0</v>
      </c>
      <c r="K230" s="1">
        <v>8</v>
      </c>
      <c r="L230" s="1">
        <v>92</v>
      </c>
      <c r="M230" s="1">
        <v>8</v>
      </c>
      <c r="N230" s="1">
        <v>16</v>
      </c>
      <c r="O230" s="1">
        <v>1.2576000000000001</v>
      </c>
      <c r="P230" s="1">
        <v>19</v>
      </c>
      <c r="Q230" s="1">
        <v>522</v>
      </c>
      <c r="R230" s="1">
        <v>541</v>
      </c>
    </row>
    <row r="231" spans="4:18">
      <c r="D231" s="68" t="s">
        <v>258</v>
      </c>
      <c r="E231" s="1">
        <v>18</v>
      </c>
      <c r="F231" s="1">
        <v>18</v>
      </c>
      <c r="G231" s="1">
        <v>18</v>
      </c>
      <c r="H231" s="1">
        <v>18</v>
      </c>
      <c r="I231" s="1">
        <v>18</v>
      </c>
      <c r="J231" s="1">
        <v>0</v>
      </c>
      <c r="K231" s="1">
        <v>18</v>
      </c>
      <c r="L231" s="1">
        <v>154</v>
      </c>
      <c r="M231" s="1">
        <v>18</v>
      </c>
      <c r="N231" s="1">
        <v>36</v>
      </c>
      <c r="O231" s="1">
        <v>3.3031000000000001</v>
      </c>
      <c r="P231" s="1">
        <v>103</v>
      </c>
      <c r="Q231" s="1">
        <v>689</v>
      </c>
      <c r="R231" s="1">
        <v>792</v>
      </c>
    </row>
    <row r="232" spans="4:18">
      <c r="D232" s="68" t="s">
        <v>235</v>
      </c>
      <c r="E232" s="1">
        <v>5</v>
      </c>
      <c r="F232" s="1">
        <v>5</v>
      </c>
      <c r="G232" s="1">
        <v>5</v>
      </c>
      <c r="H232" s="1">
        <v>5</v>
      </c>
      <c r="I232" s="1">
        <v>5</v>
      </c>
      <c r="J232" s="1">
        <v>0</v>
      </c>
      <c r="K232" s="1">
        <v>5</v>
      </c>
      <c r="L232" s="1">
        <v>84</v>
      </c>
      <c r="M232" s="1">
        <v>5</v>
      </c>
      <c r="N232" s="1">
        <v>10</v>
      </c>
      <c r="O232" s="1">
        <v>0.69709999999999994</v>
      </c>
      <c r="P232" s="1">
        <v>25</v>
      </c>
      <c r="Q232" s="1">
        <v>202</v>
      </c>
      <c r="R232" s="1">
        <v>227</v>
      </c>
    </row>
    <row r="233" spans="4:18">
      <c r="D233" s="68" t="s">
        <v>241</v>
      </c>
      <c r="E233" s="1">
        <v>15</v>
      </c>
      <c r="F233" s="1">
        <v>15</v>
      </c>
      <c r="G233" s="1">
        <v>15</v>
      </c>
      <c r="H233" s="1">
        <v>15</v>
      </c>
      <c r="I233" s="1">
        <v>15</v>
      </c>
      <c r="J233" s="1">
        <v>0</v>
      </c>
      <c r="K233" s="1">
        <v>15</v>
      </c>
      <c r="L233" s="1">
        <v>195</v>
      </c>
      <c r="M233" s="1">
        <v>15</v>
      </c>
      <c r="N233" s="1">
        <v>30</v>
      </c>
      <c r="O233" s="1">
        <v>2.6213000000000002</v>
      </c>
      <c r="P233" s="1">
        <v>34</v>
      </c>
      <c r="Q233" s="1">
        <v>1165</v>
      </c>
      <c r="R233" s="1">
        <v>1199</v>
      </c>
    </row>
    <row r="234" spans="4:18">
      <c r="D234" s="68" t="s">
        <v>247</v>
      </c>
      <c r="E234" s="1">
        <v>11</v>
      </c>
      <c r="F234" s="1">
        <v>11</v>
      </c>
      <c r="G234" s="1">
        <v>11</v>
      </c>
      <c r="H234" s="1">
        <v>11</v>
      </c>
      <c r="I234" s="1">
        <v>11</v>
      </c>
      <c r="J234" s="1">
        <v>0</v>
      </c>
      <c r="K234" s="1">
        <v>22</v>
      </c>
      <c r="L234" s="1">
        <v>175</v>
      </c>
      <c r="M234" s="1">
        <v>11</v>
      </c>
      <c r="N234" s="1">
        <v>22</v>
      </c>
      <c r="O234" s="1">
        <v>3.7119999999999997</v>
      </c>
      <c r="P234" s="1">
        <v>83</v>
      </c>
      <c r="Q234" s="1">
        <v>1133</v>
      </c>
      <c r="R234" s="1">
        <v>1216</v>
      </c>
    </row>
    <row r="235" spans="4:18">
      <c r="D235" s="67" t="s">
        <v>21</v>
      </c>
      <c r="E235" s="1">
        <v>63</v>
      </c>
      <c r="F235" s="1">
        <v>63</v>
      </c>
      <c r="G235" s="1">
        <v>63</v>
      </c>
      <c r="H235" s="1">
        <v>63</v>
      </c>
      <c r="I235" s="1">
        <v>63</v>
      </c>
      <c r="J235" s="1">
        <v>0</v>
      </c>
      <c r="K235" s="1">
        <v>85</v>
      </c>
      <c r="L235" s="1">
        <v>773</v>
      </c>
      <c r="M235" s="1">
        <v>126</v>
      </c>
      <c r="N235" s="1">
        <v>126</v>
      </c>
      <c r="O235" s="1">
        <v>14.697499999999996</v>
      </c>
      <c r="P235" s="1">
        <v>243</v>
      </c>
      <c r="Q235" s="1">
        <v>4072</v>
      </c>
      <c r="R235" s="1">
        <v>4315</v>
      </c>
    </row>
    <row r="236" spans="4:18">
      <c r="D236" s="68" t="s">
        <v>217</v>
      </c>
      <c r="E236" s="1">
        <v>1</v>
      </c>
      <c r="F236" s="1">
        <v>1</v>
      </c>
      <c r="G236" s="1">
        <v>1</v>
      </c>
      <c r="H236" s="1">
        <v>1</v>
      </c>
      <c r="I236" s="1">
        <v>1</v>
      </c>
      <c r="J236" s="1">
        <v>0</v>
      </c>
      <c r="K236" s="1">
        <v>1</v>
      </c>
      <c r="L236" s="1">
        <v>10</v>
      </c>
      <c r="M236" s="1">
        <v>2</v>
      </c>
      <c r="N236" s="1">
        <v>2</v>
      </c>
      <c r="O236" s="1">
        <v>0.13639999999999999</v>
      </c>
      <c r="P236" s="1">
        <v>5</v>
      </c>
      <c r="Q236" s="1">
        <v>37</v>
      </c>
      <c r="R236" s="1">
        <v>42</v>
      </c>
    </row>
    <row r="237" spans="4:18">
      <c r="D237" s="68" t="s">
        <v>224</v>
      </c>
      <c r="E237" s="1">
        <v>14</v>
      </c>
      <c r="F237" s="1">
        <v>14</v>
      </c>
      <c r="G237" s="1">
        <v>14</v>
      </c>
      <c r="H237" s="1">
        <v>14</v>
      </c>
      <c r="I237" s="1">
        <v>14</v>
      </c>
      <c r="J237" s="1">
        <v>0</v>
      </c>
      <c r="K237" s="1">
        <v>14</v>
      </c>
      <c r="L237" s="1">
        <v>145</v>
      </c>
      <c r="M237" s="1">
        <v>28</v>
      </c>
      <c r="N237" s="1">
        <v>28</v>
      </c>
      <c r="O237" s="1">
        <v>2.7576000000000001</v>
      </c>
      <c r="P237" s="1">
        <v>38</v>
      </c>
      <c r="Q237" s="1">
        <v>964</v>
      </c>
      <c r="R237" s="1">
        <v>1002</v>
      </c>
    </row>
    <row r="238" spans="4:18">
      <c r="D238" s="68" t="s">
        <v>257</v>
      </c>
      <c r="E238" s="1">
        <v>12</v>
      </c>
      <c r="F238" s="1">
        <v>12</v>
      </c>
      <c r="G238" s="1">
        <v>12</v>
      </c>
      <c r="H238" s="1">
        <v>12</v>
      </c>
      <c r="I238" s="1">
        <v>12</v>
      </c>
      <c r="J238" s="1">
        <v>0</v>
      </c>
      <c r="K238" s="1">
        <v>12</v>
      </c>
      <c r="L238" s="1">
        <v>210</v>
      </c>
      <c r="M238" s="1">
        <v>24</v>
      </c>
      <c r="N238" s="1">
        <v>24</v>
      </c>
      <c r="O238" s="1">
        <v>2.7880000000000003</v>
      </c>
      <c r="P238" s="1">
        <v>9</v>
      </c>
      <c r="Q238" s="1">
        <v>674</v>
      </c>
      <c r="R238" s="1">
        <v>683</v>
      </c>
    </row>
    <row r="239" spans="4:18">
      <c r="D239" s="68" t="s">
        <v>236</v>
      </c>
      <c r="E239" s="1">
        <v>14</v>
      </c>
      <c r="F239" s="1">
        <v>14</v>
      </c>
      <c r="G239" s="1">
        <v>14</v>
      </c>
      <c r="H239" s="1">
        <v>14</v>
      </c>
      <c r="I239" s="1">
        <v>14</v>
      </c>
      <c r="J239" s="1">
        <v>0</v>
      </c>
      <c r="K239" s="1">
        <v>14</v>
      </c>
      <c r="L239" s="1">
        <v>169</v>
      </c>
      <c r="M239" s="1">
        <v>28</v>
      </c>
      <c r="N239" s="1">
        <v>28</v>
      </c>
      <c r="O239" s="1">
        <v>3.5910000000000002</v>
      </c>
      <c r="P239" s="1">
        <v>141</v>
      </c>
      <c r="Q239" s="1">
        <v>1249</v>
      </c>
      <c r="R239" s="1">
        <v>1390</v>
      </c>
    </row>
    <row r="240" spans="4:18">
      <c r="D240" s="68" t="s">
        <v>256</v>
      </c>
      <c r="E240" s="1">
        <v>18</v>
      </c>
      <c r="F240" s="1">
        <v>18</v>
      </c>
      <c r="G240" s="1">
        <v>18</v>
      </c>
      <c r="H240" s="1">
        <v>18</v>
      </c>
      <c r="I240" s="1">
        <v>18</v>
      </c>
      <c r="J240" s="1">
        <v>0</v>
      </c>
      <c r="K240" s="1">
        <v>36</v>
      </c>
      <c r="L240" s="1">
        <v>223</v>
      </c>
      <c r="M240" s="1">
        <v>36</v>
      </c>
      <c r="N240" s="1">
        <v>36</v>
      </c>
      <c r="O240" s="1">
        <v>4.3184000000000005</v>
      </c>
      <c r="P240" s="1">
        <v>43</v>
      </c>
      <c r="Q240" s="1">
        <v>1089</v>
      </c>
      <c r="R240" s="1">
        <v>1132</v>
      </c>
    </row>
    <row r="241" spans="4:18">
      <c r="D241" s="68" t="s">
        <v>248</v>
      </c>
      <c r="E241" s="1">
        <v>4</v>
      </c>
      <c r="F241" s="1">
        <v>4</v>
      </c>
      <c r="G241" s="1">
        <v>4</v>
      </c>
      <c r="H241" s="1">
        <v>4</v>
      </c>
      <c r="I241" s="1">
        <v>4</v>
      </c>
      <c r="J241" s="1">
        <v>0</v>
      </c>
      <c r="K241" s="1">
        <v>8</v>
      </c>
      <c r="L241" s="1">
        <v>16</v>
      </c>
      <c r="M241" s="1">
        <v>8</v>
      </c>
      <c r="N241" s="1">
        <v>8</v>
      </c>
      <c r="O241" s="1">
        <v>1.1061000000000001</v>
      </c>
      <c r="P241" s="1">
        <v>7</v>
      </c>
      <c r="Q241" s="1">
        <v>59</v>
      </c>
      <c r="R241" s="1">
        <v>66</v>
      </c>
    </row>
    <row r="242" spans="4:18">
      <c r="D242" s="67" t="s">
        <v>22</v>
      </c>
      <c r="E242" s="1">
        <v>24</v>
      </c>
      <c r="F242" s="1">
        <v>24</v>
      </c>
      <c r="G242" s="1">
        <v>24</v>
      </c>
      <c r="H242" s="1">
        <v>24</v>
      </c>
      <c r="I242" s="1">
        <v>24</v>
      </c>
      <c r="J242" s="1">
        <v>0</v>
      </c>
      <c r="K242" s="1">
        <v>35</v>
      </c>
      <c r="L242" s="1">
        <v>222</v>
      </c>
      <c r="M242" s="1">
        <v>72</v>
      </c>
      <c r="N242" s="1">
        <v>48</v>
      </c>
      <c r="O242" s="1">
        <v>5.5152999999999999</v>
      </c>
      <c r="P242" s="1">
        <v>58</v>
      </c>
      <c r="Q242" s="1">
        <v>1548</v>
      </c>
      <c r="R242" s="1">
        <v>1606</v>
      </c>
    </row>
    <row r="243" spans="4:18">
      <c r="D243" s="68" t="s">
        <v>225</v>
      </c>
      <c r="E243" s="1">
        <v>2</v>
      </c>
      <c r="F243" s="1">
        <v>2</v>
      </c>
      <c r="G243" s="1">
        <v>2</v>
      </c>
      <c r="H243" s="1">
        <v>2</v>
      </c>
      <c r="I243" s="1">
        <v>2</v>
      </c>
      <c r="J243" s="1">
        <v>0</v>
      </c>
      <c r="K243" s="1">
        <v>2</v>
      </c>
      <c r="L243" s="1">
        <v>1</v>
      </c>
      <c r="M243" s="1">
        <v>6</v>
      </c>
      <c r="N243" s="1">
        <v>4</v>
      </c>
      <c r="O243" s="1">
        <v>0.37880000000000003</v>
      </c>
      <c r="P243" s="1">
        <v>0</v>
      </c>
      <c r="Q243" s="1">
        <v>13</v>
      </c>
      <c r="R243" s="1">
        <v>13</v>
      </c>
    </row>
    <row r="244" spans="4:18">
      <c r="D244" s="68" t="s">
        <v>230</v>
      </c>
      <c r="E244" s="1">
        <v>9</v>
      </c>
      <c r="F244" s="1">
        <v>9</v>
      </c>
      <c r="G244" s="1">
        <v>9</v>
      </c>
      <c r="H244" s="1">
        <v>9</v>
      </c>
      <c r="I244" s="1">
        <v>9</v>
      </c>
      <c r="J244" s="1">
        <v>0</v>
      </c>
      <c r="K244" s="1">
        <v>9</v>
      </c>
      <c r="L244" s="1">
        <v>68</v>
      </c>
      <c r="M244" s="1">
        <v>27</v>
      </c>
      <c r="N244" s="1">
        <v>18</v>
      </c>
      <c r="O244" s="1">
        <v>2.4546000000000001</v>
      </c>
      <c r="P244" s="1">
        <v>15</v>
      </c>
      <c r="Q244" s="1">
        <v>592</v>
      </c>
      <c r="R244" s="1">
        <v>607</v>
      </c>
    </row>
    <row r="245" spans="4:18">
      <c r="D245" s="68" t="s">
        <v>255</v>
      </c>
      <c r="E245" s="1">
        <v>2</v>
      </c>
      <c r="F245" s="1">
        <v>2</v>
      </c>
      <c r="G245" s="1">
        <v>2</v>
      </c>
      <c r="H245" s="1">
        <v>2</v>
      </c>
      <c r="I245" s="1">
        <v>2</v>
      </c>
      <c r="J245" s="1">
        <v>0</v>
      </c>
      <c r="K245" s="1">
        <v>2</v>
      </c>
      <c r="L245" s="1">
        <v>1</v>
      </c>
      <c r="M245" s="1">
        <v>6</v>
      </c>
      <c r="N245" s="1">
        <v>4</v>
      </c>
      <c r="O245" s="1">
        <v>0.46970000000000001</v>
      </c>
      <c r="P245" s="1">
        <v>3</v>
      </c>
      <c r="Q245" s="1">
        <v>19</v>
      </c>
      <c r="R245" s="1">
        <v>22</v>
      </c>
    </row>
    <row r="246" spans="4:18">
      <c r="D246" s="68" t="s">
        <v>242</v>
      </c>
      <c r="E246" s="1">
        <v>4</v>
      </c>
      <c r="F246" s="1">
        <v>4</v>
      </c>
      <c r="G246" s="1">
        <v>4</v>
      </c>
      <c r="H246" s="1">
        <v>4</v>
      </c>
      <c r="I246" s="1">
        <v>4</v>
      </c>
      <c r="J246" s="1">
        <v>0</v>
      </c>
      <c r="K246" s="1">
        <v>8</v>
      </c>
      <c r="L246" s="1">
        <v>42</v>
      </c>
      <c r="M246" s="1">
        <v>12</v>
      </c>
      <c r="N246" s="1">
        <v>8</v>
      </c>
      <c r="O246" s="1">
        <v>0.98490000000000011</v>
      </c>
      <c r="P246" s="1">
        <v>14</v>
      </c>
      <c r="Q246" s="1">
        <v>286</v>
      </c>
      <c r="R246" s="1">
        <v>300</v>
      </c>
    </row>
    <row r="247" spans="4:18">
      <c r="D247" s="68" t="s">
        <v>249</v>
      </c>
      <c r="E247" s="1">
        <v>7</v>
      </c>
      <c r="F247" s="1">
        <v>7</v>
      </c>
      <c r="G247" s="1">
        <v>7</v>
      </c>
      <c r="H247" s="1">
        <v>7</v>
      </c>
      <c r="I247" s="1">
        <v>7</v>
      </c>
      <c r="J247" s="1">
        <v>0</v>
      </c>
      <c r="K247" s="1">
        <v>14</v>
      </c>
      <c r="L247" s="1">
        <v>110</v>
      </c>
      <c r="M247" s="1">
        <v>21</v>
      </c>
      <c r="N247" s="1">
        <v>14</v>
      </c>
      <c r="O247" s="1">
        <v>1.2273000000000001</v>
      </c>
      <c r="P247" s="1">
        <v>26</v>
      </c>
      <c r="Q247" s="1">
        <v>638</v>
      </c>
      <c r="R247" s="1">
        <v>664</v>
      </c>
    </row>
    <row r="248" spans="4:18">
      <c r="D248" s="67" t="s">
        <v>23</v>
      </c>
      <c r="E248" s="1">
        <v>26</v>
      </c>
      <c r="F248" s="1">
        <v>26</v>
      </c>
      <c r="G248" s="1">
        <v>26</v>
      </c>
      <c r="H248" s="1">
        <v>26</v>
      </c>
      <c r="I248" s="1">
        <v>26</v>
      </c>
      <c r="J248" s="1">
        <v>0</v>
      </c>
      <c r="K248" s="1">
        <v>29</v>
      </c>
      <c r="L248" s="1">
        <v>344</v>
      </c>
      <c r="M248" s="1">
        <v>104</v>
      </c>
      <c r="N248" s="1">
        <v>52</v>
      </c>
      <c r="O248" s="1">
        <v>5.8334000000000001</v>
      </c>
      <c r="P248" s="1">
        <v>83</v>
      </c>
      <c r="Q248" s="1">
        <v>1711</v>
      </c>
      <c r="R248" s="1">
        <v>1794</v>
      </c>
    </row>
    <row r="249" spans="4:18">
      <c r="D249" s="68" t="s">
        <v>219</v>
      </c>
      <c r="E249" s="1">
        <v>8</v>
      </c>
      <c r="F249" s="1">
        <v>8</v>
      </c>
      <c r="G249" s="1">
        <v>8</v>
      </c>
      <c r="H249" s="1">
        <v>8</v>
      </c>
      <c r="I249" s="1">
        <v>8</v>
      </c>
      <c r="J249" s="1">
        <v>0</v>
      </c>
      <c r="K249" s="1">
        <v>8</v>
      </c>
      <c r="L249" s="1">
        <v>97</v>
      </c>
      <c r="M249" s="1">
        <v>32</v>
      </c>
      <c r="N249" s="1">
        <v>16</v>
      </c>
      <c r="O249" s="1">
        <v>1.6363999999999999</v>
      </c>
      <c r="P249" s="1">
        <v>11</v>
      </c>
      <c r="Q249" s="1">
        <v>370</v>
      </c>
      <c r="R249" s="1">
        <v>381</v>
      </c>
    </row>
    <row r="250" spans="4:18">
      <c r="D250" s="68" t="s">
        <v>226</v>
      </c>
      <c r="E250" s="1">
        <v>2</v>
      </c>
      <c r="F250" s="1">
        <v>2</v>
      </c>
      <c r="G250" s="1">
        <v>2</v>
      </c>
      <c r="H250" s="1">
        <v>2</v>
      </c>
      <c r="I250" s="1">
        <v>2</v>
      </c>
      <c r="J250" s="1">
        <v>0</v>
      </c>
      <c r="K250" s="1">
        <v>2</v>
      </c>
      <c r="L250" s="1">
        <v>21</v>
      </c>
      <c r="M250" s="1">
        <v>8</v>
      </c>
      <c r="N250" s="1">
        <v>4</v>
      </c>
      <c r="O250" s="1">
        <v>0.30309999999999998</v>
      </c>
      <c r="P250" s="1">
        <v>6</v>
      </c>
      <c r="Q250" s="1">
        <v>69</v>
      </c>
      <c r="R250" s="1">
        <v>75</v>
      </c>
    </row>
    <row r="251" spans="4:18">
      <c r="D251" s="68" t="s">
        <v>231</v>
      </c>
      <c r="E251" s="1">
        <v>13</v>
      </c>
      <c r="F251" s="1">
        <v>13</v>
      </c>
      <c r="G251" s="1">
        <v>13</v>
      </c>
      <c r="H251" s="1">
        <v>13</v>
      </c>
      <c r="I251" s="1">
        <v>13</v>
      </c>
      <c r="J251" s="1">
        <v>0</v>
      </c>
      <c r="K251" s="1">
        <v>13</v>
      </c>
      <c r="L251" s="1">
        <v>211</v>
      </c>
      <c r="M251" s="1">
        <v>52</v>
      </c>
      <c r="N251" s="1">
        <v>26</v>
      </c>
      <c r="O251" s="1">
        <v>3.5150999999999999</v>
      </c>
      <c r="P251" s="1">
        <v>66</v>
      </c>
      <c r="Q251" s="1">
        <v>1239</v>
      </c>
      <c r="R251" s="1">
        <v>1305</v>
      </c>
    </row>
    <row r="252" spans="4:18">
      <c r="D252" s="68" t="s">
        <v>250</v>
      </c>
      <c r="E252" s="1">
        <v>3</v>
      </c>
      <c r="F252" s="1">
        <v>3</v>
      </c>
      <c r="G252" s="1">
        <v>3</v>
      </c>
      <c r="H252" s="1">
        <v>3</v>
      </c>
      <c r="I252" s="1">
        <v>3</v>
      </c>
      <c r="J252" s="1">
        <v>0</v>
      </c>
      <c r="K252" s="1">
        <v>6</v>
      </c>
      <c r="L252" s="1">
        <v>15</v>
      </c>
      <c r="M252" s="1">
        <v>12</v>
      </c>
      <c r="N252" s="1">
        <v>6</v>
      </c>
      <c r="O252" s="1">
        <v>0.37880000000000003</v>
      </c>
      <c r="P252" s="1">
        <v>0</v>
      </c>
      <c r="Q252" s="1">
        <v>33</v>
      </c>
      <c r="R252" s="1">
        <v>33</v>
      </c>
    </row>
    <row r="253" spans="4:18">
      <c r="D253" s="67" t="s">
        <v>24</v>
      </c>
      <c r="E253" s="1">
        <v>51</v>
      </c>
      <c r="F253" s="1">
        <v>51</v>
      </c>
      <c r="G253" s="1">
        <v>51</v>
      </c>
      <c r="H253" s="1">
        <v>51</v>
      </c>
      <c r="I253" s="1">
        <v>51</v>
      </c>
      <c r="J253" s="1">
        <v>0</v>
      </c>
      <c r="K253" s="1">
        <v>71</v>
      </c>
      <c r="L253" s="1">
        <v>559</v>
      </c>
      <c r="M253" s="1">
        <v>255</v>
      </c>
      <c r="N253" s="1">
        <v>102</v>
      </c>
      <c r="O253" s="1">
        <v>11.379100000000001</v>
      </c>
      <c r="P253" s="1">
        <v>184</v>
      </c>
      <c r="Q253" s="1">
        <v>2452</v>
      </c>
      <c r="R253" s="1">
        <v>2636</v>
      </c>
    </row>
    <row r="254" spans="4:18">
      <c r="D254" s="68" t="s">
        <v>220</v>
      </c>
      <c r="E254" s="1">
        <v>14</v>
      </c>
      <c r="F254" s="1">
        <v>14</v>
      </c>
      <c r="G254" s="1">
        <v>14</v>
      </c>
      <c r="H254" s="1">
        <v>14</v>
      </c>
      <c r="I254" s="1">
        <v>14</v>
      </c>
      <c r="J254" s="1">
        <v>0</v>
      </c>
      <c r="K254" s="1">
        <v>14</v>
      </c>
      <c r="L254" s="1">
        <v>156</v>
      </c>
      <c r="M254" s="1">
        <v>70</v>
      </c>
      <c r="N254" s="1">
        <v>28</v>
      </c>
      <c r="O254" s="1">
        <v>2.9093000000000004</v>
      </c>
      <c r="P254" s="1">
        <v>84</v>
      </c>
      <c r="Q254" s="1">
        <v>622</v>
      </c>
      <c r="R254" s="1">
        <v>706</v>
      </c>
    </row>
    <row r="255" spans="4:18">
      <c r="D255" s="68" t="s">
        <v>227</v>
      </c>
      <c r="E255" s="1">
        <v>2</v>
      </c>
      <c r="F255" s="1">
        <v>2</v>
      </c>
      <c r="G255" s="1">
        <v>2</v>
      </c>
      <c r="H255" s="1">
        <v>2</v>
      </c>
      <c r="I255" s="1">
        <v>2</v>
      </c>
      <c r="J255" s="1">
        <v>0</v>
      </c>
      <c r="K255" s="1">
        <v>2</v>
      </c>
      <c r="L255" s="1">
        <v>45</v>
      </c>
      <c r="M255" s="1">
        <v>10</v>
      </c>
      <c r="N255" s="1">
        <v>4</v>
      </c>
      <c r="O255" s="1">
        <v>0.46970000000000001</v>
      </c>
      <c r="P255" s="1">
        <v>3</v>
      </c>
      <c r="Q255" s="1">
        <v>60</v>
      </c>
      <c r="R255" s="1">
        <v>63</v>
      </c>
    </row>
    <row r="256" spans="4:18">
      <c r="D256" s="68" t="s">
        <v>232</v>
      </c>
      <c r="E256" s="1">
        <v>3</v>
      </c>
      <c r="F256" s="1">
        <v>3</v>
      </c>
      <c r="G256" s="1">
        <v>3</v>
      </c>
      <c r="H256" s="1">
        <v>3</v>
      </c>
      <c r="I256" s="1">
        <v>3</v>
      </c>
      <c r="J256" s="1">
        <v>0</v>
      </c>
      <c r="K256" s="1">
        <v>3</v>
      </c>
      <c r="L256" s="1">
        <v>5</v>
      </c>
      <c r="M256" s="1">
        <v>15</v>
      </c>
      <c r="N256" s="1">
        <v>6</v>
      </c>
      <c r="O256" s="1">
        <v>0.71219999999999994</v>
      </c>
      <c r="P256" s="1">
        <v>1</v>
      </c>
      <c r="Q256" s="1">
        <v>27</v>
      </c>
      <c r="R256" s="1">
        <v>28</v>
      </c>
    </row>
    <row r="257" spans="4:18">
      <c r="D257" s="68" t="s">
        <v>238</v>
      </c>
      <c r="E257" s="1">
        <v>12</v>
      </c>
      <c r="F257" s="1">
        <v>12</v>
      </c>
      <c r="G257" s="1">
        <v>12</v>
      </c>
      <c r="H257" s="1">
        <v>12</v>
      </c>
      <c r="I257" s="1">
        <v>12</v>
      </c>
      <c r="J257" s="1">
        <v>0</v>
      </c>
      <c r="K257" s="1">
        <v>12</v>
      </c>
      <c r="L257" s="1">
        <v>107</v>
      </c>
      <c r="M257" s="1">
        <v>60</v>
      </c>
      <c r="N257" s="1">
        <v>24</v>
      </c>
      <c r="O257" s="1">
        <v>2.6213000000000006</v>
      </c>
      <c r="P257" s="1">
        <v>14</v>
      </c>
      <c r="Q257" s="1">
        <v>488</v>
      </c>
      <c r="R257" s="1">
        <v>502</v>
      </c>
    </row>
    <row r="258" spans="4:18">
      <c r="D258" s="68" t="s">
        <v>244</v>
      </c>
      <c r="E258" s="1">
        <v>20</v>
      </c>
      <c r="F258" s="1">
        <v>20</v>
      </c>
      <c r="G258" s="1">
        <v>20</v>
      </c>
      <c r="H258" s="1">
        <v>20</v>
      </c>
      <c r="I258" s="1">
        <v>20</v>
      </c>
      <c r="J258" s="1">
        <v>0</v>
      </c>
      <c r="K258" s="1">
        <v>40</v>
      </c>
      <c r="L258" s="1">
        <v>246</v>
      </c>
      <c r="M258" s="1">
        <v>100</v>
      </c>
      <c r="N258" s="1">
        <v>40</v>
      </c>
      <c r="O258" s="1">
        <v>4.6665999999999999</v>
      </c>
      <c r="P258" s="1">
        <v>82</v>
      </c>
      <c r="Q258" s="1">
        <v>1255</v>
      </c>
      <c r="R258" s="1">
        <v>1337</v>
      </c>
    </row>
    <row r="259" spans="4:18">
      <c r="D259" s="67" t="s">
        <v>25</v>
      </c>
      <c r="E259" s="1">
        <v>52</v>
      </c>
      <c r="F259" s="1">
        <v>52</v>
      </c>
      <c r="G259" s="1">
        <v>52</v>
      </c>
      <c r="H259" s="1">
        <v>52</v>
      </c>
      <c r="I259" s="1">
        <v>52</v>
      </c>
      <c r="J259" s="1">
        <v>0</v>
      </c>
      <c r="K259" s="1">
        <v>59</v>
      </c>
      <c r="L259" s="1">
        <v>566</v>
      </c>
      <c r="M259" s="1">
        <v>312</v>
      </c>
      <c r="N259" s="1">
        <v>104</v>
      </c>
      <c r="O259" s="1">
        <v>11.990769782971615</v>
      </c>
      <c r="P259" s="1">
        <v>464</v>
      </c>
      <c r="Q259" s="1">
        <v>2075</v>
      </c>
      <c r="R259" s="1">
        <v>2539</v>
      </c>
    </row>
    <row r="260" spans="4:18">
      <c r="D260" s="68" t="s">
        <v>214</v>
      </c>
      <c r="E260" s="1">
        <v>10</v>
      </c>
      <c r="F260" s="1">
        <v>10</v>
      </c>
      <c r="G260" s="1">
        <v>10</v>
      </c>
      <c r="H260" s="1">
        <v>10</v>
      </c>
      <c r="I260" s="1">
        <v>10</v>
      </c>
      <c r="J260" s="1">
        <v>0</v>
      </c>
      <c r="K260" s="1">
        <v>10</v>
      </c>
      <c r="L260" s="1">
        <v>166</v>
      </c>
      <c r="M260" s="1">
        <v>60</v>
      </c>
      <c r="N260" s="1">
        <v>20</v>
      </c>
      <c r="O260" s="1">
        <v>3.6573697829716192</v>
      </c>
      <c r="P260" s="1">
        <v>218</v>
      </c>
      <c r="Q260" s="1">
        <v>390</v>
      </c>
      <c r="R260" s="1">
        <v>608</v>
      </c>
    </row>
    <row r="261" spans="4:18">
      <c r="D261" s="68" t="s">
        <v>221</v>
      </c>
      <c r="E261" s="1">
        <v>9</v>
      </c>
      <c r="F261" s="1">
        <v>9</v>
      </c>
      <c r="G261" s="1">
        <v>9</v>
      </c>
      <c r="H261" s="1">
        <v>9</v>
      </c>
      <c r="I261" s="1">
        <v>9</v>
      </c>
      <c r="J261" s="1">
        <v>0</v>
      </c>
      <c r="K261" s="1">
        <v>9</v>
      </c>
      <c r="L261" s="1">
        <v>54</v>
      </c>
      <c r="M261" s="1">
        <v>54</v>
      </c>
      <c r="N261" s="1">
        <v>18</v>
      </c>
      <c r="O261" s="1">
        <v>1.7272999999999998</v>
      </c>
      <c r="P261" s="1">
        <v>21</v>
      </c>
      <c r="Q261" s="1">
        <v>273</v>
      </c>
      <c r="R261" s="1">
        <v>294</v>
      </c>
    </row>
    <row r="262" spans="4:18">
      <c r="D262" s="68" t="s">
        <v>228</v>
      </c>
      <c r="E262" s="1">
        <v>12</v>
      </c>
      <c r="F262" s="1">
        <v>12</v>
      </c>
      <c r="G262" s="1">
        <v>12</v>
      </c>
      <c r="H262" s="1">
        <v>12</v>
      </c>
      <c r="I262" s="1">
        <v>12</v>
      </c>
      <c r="J262" s="1">
        <v>0</v>
      </c>
      <c r="K262" s="1">
        <v>12</v>
      </c>
      <c r="L262" s="1">
        <v>158</v>
      </c>
      <c r="M262" s="1">
        <v>72</v>
      </c>
      <c r="N262" s="1">
        <v>24</v>
      </c>
      <c r="O262" s="1">
        <v>3.3181999999999996</v>
      </c>
      <c r="P262" s="1">
        <v>127</v>
      </c>
      <c r="Q262" s="1">
        <v>540</v>
      </c>
      <c r="R262" s="1">
        <v>667</v>
      </c>
    </row>
    <row r="263" spans="4:18">
      <c r="D263" s="68" t="s">
        <v>233</v>
      </c>
      <c r="E263" s="1">
        <v>8</v>
      </c>
      <c r="F263" s="1">
        <v>8</v>
      </c>
      <c r="G263" s="1">
        <v>8</v>
      </c>
      <c r="H263" s="1">
        <v>8</v>
      </c>
      <c r="I263" s="1">
        <v>8</v>
      </c>
      <c r="J263" s="1">
        <v>0</v>
      </c>
      <c r="K263" s="1">
        <v>8</v>
      </c>
      <c r="L263" s="1">
        <v>49</v>
      </c>
      <c r="M263" s="1">
        <v>48</v>
      </c>
      <c r="N263" s="1">
        <v>16</v>
      </c>
      <c r="O263" s="1">
        <v>0.34860000000000002</v>
      </c>
      <c r="P263" s="1">
        <v>21</v>
      </c>
      <c r="Q263" s="1">
        <v>200</v>
      </c>
      <c r="R263" s="1">
        <v>221</v>
      </c>
    </row>
    <row r="264" spans="4:18">
      <c r="D264" s="68" t="s">
        <v>239</v>
      </c>
      <c r="E264" s="1">
        <v>6</v>
      </c>
      <c r="F264" s="1">
        <v>6</v>
      </c>
      <c r="G264" s="1">
        <v>6</v>
      </c>
      <c r="H264" s="1">
        <v>6</v>
      </c>
      <c r="I264" s="1">
        <v>6</v>
      </c>
      <c r="J264" s="1">
        <v>0</v>
      </c>
      <c r="K264" s="1">
        <v>6</v>
      </c>
      <c r="L264" s="1">
        <v>79</v>
      </c>
      <c r="M264" s="1">
        <v>36</v>
      </c>
      <c r="N264" s="1">
        <v>12</v>
      </c>
      <c r="O264" s="1">
        <v>1.2728000000000002</v>
      </c>
      <c r="P264" s="1">
        <v>45</v>
      </c>
      <c r="Q264" s="1">
        <v>374</v>
      </c>
      <c r="R264" s="1">
        <v>419</v>
      </c>
    </row>
    <row r="265" spans="4:18">
      <c r="D265" s="68" t="s">
        <v>245</v>
      </c>
      <c r="E265" s="1">
        <v>7</v>
      </c>
      <c r="F265" s="1">
        <v>7</v>
      </c>
      <c r="G265" s="1">
        <v>7</v>
      </c>
      <c r="H265" s="1">
        <v>7</v>
      </c>
      <c r="I265" s="1">
        <v>7</v>
      </c>
      <c r="J265" s="1">
        <v>0</v>
      </c>
      <c r="K265" s="1">
        <v>14</v>
      </c>
      <c r="L265" s="1">
        <v>60</v>
      </c>
      <c r="M265" s="1">
        <v>42</v>
      </c>
      <c r="N265" s="1">
        <v>14</v>
      </c>
      <c r="O265" s="1">
        <v>1.6664999999999999</v>
      </c>
      <c r="P265" s="1">
        <v>32</v>
      </c>
      <c r="Q265" s="1">
        <v>298</v>
      </c>
      <c r="R265" s="1">
        <v>330</v>
      </c>
    </row>
    <row r="266" spans="4:18">
      <c r="D266" s="10" t="s">
        <v>71</v>
      </c>
      <c r="E266" s="1">
        <v>84</v>
      </c>
      <c r="F266" s="1">
        <v>84</v>
      </c>
      <c r="G266" s="1">
        <v>84</v>
      </c>
      <c r="H266" s="1">
        <v>84</v>
      </c>
      <c r="I266" s="1">
        <v>84</v>
      </c>
      <c r="J266" s="1">
        <v>0</v>
      </c>
      <c r="K266" s="1">
        <v>119</v>
      </c>
      <c r="L266" s="1">
        <v>909</v>
      </c>
      <c r="M266" s="1">
        <v>289</v>
      </c>
      <c r="N266" s="1">
        <v>252</v>
      </c>
      <c r="O266" s="1">
        <v>18.396834891485806</v>
      </c>
      <c r="P266" s="1">
        <v>171</v>
      </c>
      <c r="Q266" s="1">
        <v>2618</v>
      </c>
      <c r="R266" s="1">
        <v>2789</v>
      </c>
    </row>
    <row r="267" spans="4:18">
      <c r="D267" s="67" t="s">
        <v>19</v>
      </c>
      <c r="E267" s="1">
        <v>5</v>
      </c>
      <c r="F267" s="1">
        <v>5</v>
      </c>
      <c r="G267" s="1">
        <v>5</v>
      </c>
      <c r="H267" s="1">
        <v>5</v>
      </c>
      <c r="I267" s="1">
        <v>5</v>
      </c>
      <c r="J267" s="1">
        <v>0</v>
      </c>
      <c r="K267" s="1">
        <v>5</v>
      </c>
      <c r="L267" s="1">
        <v>59</v>
      </c>
      <c r="M267" s="1">
        <v>0</v>
      </c>
      <c r="N267" s="1">
        <v>15</v>
      </c>
      <c r="O267" s="1">
        <v>1.6998348914858097</v>
      </c>
      <c r="P267" s="1">
        <v>32</v>
      </c>
      <c r="Q267" s="1">
        <v>187</v>
      </c>
      <c r="R267" s="1">
        <v>219</v>
      </c>
    </row>
    <row r="268" spans="4:18">
      <c r="D268" s="68" t="s">
        <v>215</v>
      </c>
      <c r="E268" s="1">
        <v>5</v>
      </c>
      <c r="F268" s="1">
        <v>5</v>
      </c>
      <c r="G268" s="1">
        <v>5</v>
      </c>
      <c r="H268" s="1">
        <v>5</v>
      </c>
      <c r="I268" s="1">
        <v>5</v>
      </c>
      <c r="J268" s="1">
        <v>0</v>
      </c>
      <c r="K268" s="1">
        <v>5</v>
      </c>
      <c r="L268" s="1">
        <v>59</v>
      </c>
      <c r="M268" s="1">
        <v>0</v>
      </c>
      <c r="N268" s="1">
        <v>15</v>
      </c>
      <c r="O268" s="1">
        <v>1.6998348914858097</v>
      </c>
      <c r="P268" s="1">
        <v>32</v>
      </c>
      <c r="Q268" s="1">
        <v>187</v>
      </c>
      <c r="R268" s="1">
        <v>219</v>
      </c>
    </row>
    <row r="269" spans="4:18">
      <c r="D269" s="67" t="s">
        <v>20</v>
      </c>
      <c r="E269" s="1">
        <v>7</v>
      </c>
      <c r="F269" s="1">
        <v>7</v>
      </c>
      <c r="G269" s="1">
        <v>7</v>
      </c>
      <c r="H269" s="1">
        <v>7</v>
      </c>
      <c r="I269" s="1">
        <v>7</v>
      </c>
      <c r="J269" s="1">
        <v>0</v>
      </c>
      <c r="K269" s="1">
        <v>7</v>
      </c>
      <c r="L269" s="1">
        <v>146</v>
      </c>
      <c r="M269" s="1">
        <v>7</v>
      </c>
      <c r="N269" s="1">
        <v>21</v>
      </c>
      <c r="O269" s="1">
        <v>1.1060999999999999</v>
      </c>
      <c r="P269" s="1">
        <v>13</v>
      </c>
      <c r="Q269" s="1">
        <v>258</v>
      </c>
      <c r="R269" s="1">
        <v>271</v>
      </c>
    </row>
    <row r="270" spans="4:18">
      <c r="D270" s="68" t="s">
        <v>258</v>
      </c>
      <c r="E270" s="1">
        <v>5</v>
      </c>
      <c r="F270" s="1">
        <v>5</v>
      </c>
      <c r="G270" s="1">
        <v>5</v>
      </c>
      <c r="H270" s="1">
        <v>5</v>
      </c>
      <c r="I270" s="1">
        <v>5</v>
      </c>
      <c r="J270" s="1">
        <v>0</v>
      </c>
      <c r="K270" s="1">
        <v>5</v>
      </c>
      <c r="L270" s="1">
        <v>105</v>
      </c>
      <c r="M270" s="1">
        <v>5</v>
      </c>
      <c r="N270" s="1">
        <v>15</v>
      </c>
      <c r="O270" s="1">
        <v>0.74239999999999995</v>
      </c>
      <c r="P270" s="1">
        <v>10</v>
      </c>
      <c r="Q270" s="1">
        <v>127</v>
      </c>
      <c r="R270" s="1">
        <v>137</v>
      </c>
    </row>
    <row r="271" spans="4:18">
      <c r="D271" s="68" t="s">
        <v>241</v>
      </c>
      <c r="E271" s="1">
        <v>2</v>
      </c>
      <c r="F271" s="1">
        <v>2</v>
      </c>
      <c r="G271" s="1">
        <v>2</v>
      </c>
      <c r="H271" s="1">
        <v>2</v>
      </c>
      <c r="I271" s="1">
        <v>2</v>
      </c>
      <c r="J271" s="1">
        <v>0</v>
      </c>
      <c r="K271" s="1">
        <v>2</v>
      </c>
      <c r="L271" s="1">
        <v>41</v>
      </c>
      <c r="M271" s="1">
        <v>2</v>
      </c>
      <c r="N271" s="1">
        <v>6</v>
      </c>
      <c r="O271" s="1">
        <v>0.36370000000000002</v>
      </c>
      <c r="P271" s="1">
        <v>3</v>
      </c>
      <c r="Q271" s="1">
        <v>131</v>
      </c>
      <c r="R271" s="1">
        <v>134</v>
      </c>
    </row>
    <row r="272" spans="4:18">
      <c r="D272" s="67" t="s">
        <v>21</v>
      </c>
      <c r="E272" s="1">
        <v>12</v>
      </c>
      <c r="F272" s="1">
        <v>12</v>
      </c>
      <c r="G272" s="1">
        <v>12</v>
      </c>
      <c r="H272" s="1">
        <v>12</v>
      </c>
      <c r="I272" s="1">
        <v>12</v>
      </c>
      <c r="J272" s="1">
        <v>0</v>
      </c>
      <c r="K272" s="1">
        <v>18</v>
      </c>
      <c r="L272" s="1">
        <v>175</v>
      </c>
      <c r="M272" s="1">
        <v>24</v>
      </c>
      <c r="N272" s="1">
        <v>36</v>
      </c>
      <c r="O272" s="1">
        <v>2.4849000000000001</v>
      </c>
      <c r="P272" s="1">
        <v>7</v>
      </c>
      <c r="Q272" s="1">
        <v>468</v>
      </c>
      <c r="R272" s="1">
        <v>475</v>
      </c>
    </row>
    <row r="273" spans="4:18">
      <c r="D273" s="68" t="s">
        <v>224</v>
      </c>
      <c r="E273" s="1">
        <v>6</v>
      </c>
      <c r="F273" s="1">
        <v>6</v>
      </c>
      <c r="G273" s="1">
        <v>6</v>
      </c>
      <c r="H273" s="1">
        <v>6</v>
      </c>
      <c r="I273" s="1">
        <v>6</v>
      </c>
      <c r="J273" s="1">
        <v>0</v>
      </c>
      <c r="K273" s="1">
        <v>6</v>
      </c>
      <c r="L273" s="1">
        <v>123</v>
      </c>
      <c r="M273" s="1">
        <v>12</v>
      </c>
      <c r="N273" s="1">
        <v>18</v>
      </c>
      <c r="O273" s="1">
        <v>1.1364000000000001</v>
      </c>
      <c r="P273" s="1">
        <v>3</v>
      </c>
      <c r="Q273" s="1">
        <v>243</v>
      </c>
      <c r="R273" s="1">
        <v>246</v>
      </c>
    </row>
    <row r="274" spans="4:18">
      <c r="D274" s="68" t="s">
        <v>256</v>
      </c>
      <c r="E274" s="1">
        <v>5</v>
      </c>
      <c r="F274" s="1">
        <v>5</v>
      </c>
      <c r="G274" s="1">
        <v>5</v>
      </c>
      <c r="H274" s="1">
        <v>5</v>
      </c>
      <c r="I274" s="1">
        <v>5</v>
      </c>
      <c r="J274" s="1">
        <v>0</v>
      </c>
      <c r="K274" s="1">
        <v>10</v>
      </c>
      <c r="L274" s="1">
        <v>49</v>
      </c>
      <c r="M274" s="1">
        <v>10</v>
      </c>
      <c r="N274" s="1">
        <v>15</v>
      </c>
      <c r="O274" s="1">
        <v>1.0758000000000001</v>
      </c>
      <c r="P274" s="1">
        <v>4</v>
      </c>
      <c r="Q274" s="1">
        <v>224</v>
      </c>
      <c r="R274" s="1">
        <v>228</v>
      </c>
    </row>
    <row r="275" spans="4:18">
      <c r="D275" s="68" t="s">
        <v>248</v>
      </c>
      <c r="E275" s="1">
        <v>1</v>
      </c>
      <c r="F275" s="1">
        <v>1</v>
      </c>
      <c r="G275" s="1">
        <v>1</v>
      </c>
      <c r="H275" s="1">
        <v>1</v>
      </c>
      <c r="I275" s="1">
        <v>1</v>
      </c>
      <c r="J275" s="1">
        <v>0</v>
      </c>
      <c r="K275" s="1">
        <v>2</v>
      </c>
      <c r="L275" s="1">
        <v>3</v>
      </c>
      <c r="M275" s="1">
        <v>2</v>
      </c>
      <c r="N275" s="1">
        <v>3</v>
      </c>
      <c r="O275" s="1">
        <v>0.2727</v>
      </c>
      <c r="P275" s="1">
        <v>0</v>
      </c>
      <c r="Q275" s="1">
        <v>1</v>
      </c>
      <c r="R275" s="1">
        <v>1</v>
      </c>
    </row>
    <row r="276" spans="4:18">
      <c r="D276" s="67" t="s">
        <v>22</v>
      </c>
      <c r="E276" s="1">
        <v>29</v>
      </c>
      <c r="F276" s="1">
        <v>29</v>
      </c>
      <c r="G276" s="1">
        <v>29</v>
      </c>
      <c r="H276" s="1">
        <v>29</v>
      </c>
      <c r="I276" s="1">
        <v>29</v>
      </c>
      <c r="J276" s="1">
        <v>0</v>
      </c>
      <c r="K276" s="1">
        <v>42</v>
      </c>
      <c r="L276" s="1">
        <v>256</v>
      </c>
      <c r="M276" s="1">
        <v>87</v>
      </c>
      <c r="N276" s="1">
        <v>87</v>
      </c>
      <c r="O276" s="1">
        <v>5.9091000000000014</v>
      </c>
      <c r="P276" s="1">
        <v>44</v>
      </c>
      <c r="Q276" s="1">
        <v>907</v>
      </c>
      <c r="R276" s="1">
        <v>951</v>
      </c>
    </row>
    <row r="277" spans="4:18">
      <c r="D277" s="68" t="s">
        <v>230</v>
      </c>
      <c r="E277" s="1">
        <v>3</v>
      </c>
      <c r="F277" s="1">
        <v>3</v>
      </c>
      <c r="G277" s="1">
        <v>3</v>
      </c>
      <c r="H277" s="1">
        <v>3</v>
      </c>
      <c r="I277" s="1">
        <v>3</v>
      </c>
      <c r="J277" s="1">
        <v>0</v>
      </c>
      <c r="K277" s="1">
        <v>3</v>
      </c>
      <c r="L277" s="1">
        <v>7</v>
      </c>
      <c r="M277" s="1">
        <v>9</v>
      </c>
      <c r="N277" s="1">
        <v>9</v>
      </c>
      <c r="O277" s="1">
        <v>0.68189999999999995</v>
      </c>
      <c r="P277" s="1">
        <v>2</v>
      </c>
      <c r="Q277" s="1">
        <v>10</v>
      </c>
      <c r="R277" s="1">
        <v>12</v>
      </c>
    </row>
    <row r="278" spans="4:18">
      <c r="D278" s="68" t="s">
        <v>255</v>
      </c>
      <c r="E278" s="1">
        <v>13</v>
      </c>
      <c r="F278" s="1">
        <v>13</v>
      </c>
      <c r="G278" s="1">
        <v>13</v>
      </c>
      <c r="H278" s="1">
        <v>13</v>
      </c>
      <c r="I278" s="1">
        <v>13</v>
      </c>
      <c r="J278" s="1">
        <v>0</v>
      </c>
      <c r="K278" s="1">
        <v>13</v>
      </c>
      <c r="L278" s="1">
        <v>129</v>
      </c>
      <c r="M278" s="1">
        <v>39</v>
      </c>
      <c r="N278" s="1">
        <v>39</v>
      </c>
      <c r="O278" s="1">
        <v>2.5909</v>
      </c>
      <c r="P278" s="1">
        <v>30</v>
      </c>
      <c r="Q278" s="1">
        <v>418</v>
      </c>
      <c r="R278" s="1">
        <v>448</v>
      </c>
    </row>
    <row r="279" spans="4:18">
      <c r="D279" s="68" t="s">
        <v>242</v>
      </c>
      <c r="E279" s="1">
        <v>9</v>
      </c>
      <c r="F279" s="1">
        <v>9</v>
      </c>
      <c r="G279" s="1">
        <v>9</v>
      </c>
      <c r="H279" s="1">
        <v>9</v>
      </c>
      <c r="I279" s="1">
        <v>9</v>
      </c>
      <c r="J279" s="1">
        <v>0</v>
      </c>
      <c r="K279" s="1">
        <v>18</v>
      </c>
      <c r="L279" s="1">
        <v>36</v>
      </c>
      <c r="M279" s="1">
        <v>27</v>
      </c>
      <c r="N279" s="1">
        <v>27</v>
      </c>
      <c r="O279" s="1">
        <v>2.0453999999999999</v>
      </c>
      <c r="P279" s="1">
        <v>7</v>
      </c>
      <c r="Q279" s="1">
        <v>229</v>
      </c>
      <c r="R279" s="1">
        <v>236</v>
      </c>
    </row>
    <row r="280" spans="4:18">
      <c r="D280" s="68" t="s">
        <v>249</v>
      </c>
      <c r="E280" s="1">
        <v>4</v>
      </c>
      <c r="F280" s="1">
        <v>4</v>
      </c>
      <c r="G280" s="1">
        <v>4</v>
      </c>
      <c r="H280" s="1">
        <v>4</v>
      </c>
      <c r="I280" s="1">
        <v>4</v>
      </c>
      <c r="J280" s="1">
        <v>0</v>
      </c>
      <c r="K280" s="1">
        <v>8</v>
      </c>
      <c r="L280" s="1">
        <v>84</v>
      </c>
      <c r="M280" s="1">
        <v>12</v>
      </c>
      <c r="N280" s="1">
        <v>12</v>
      </c>
      <c r="O280" s="1">
        <v>0.59089999999999998</v>
      </c>
      <c r="P280" s="1">
        <v>5</v>
      </c>
      <c r="Q280" s="1">
        <v>250</v>
      </c>
      <c r="R280" s="1">
        <v>255</v>
      </c>
    </row>
    <row r="281" spans="4:18">
      <c r="D281" s="67" t="s">
        <v>23</v>
      </c>
      <c r="E281" s="1">
        <v>3</v>
      </c>
      <c r="F281" s="1">
        <v>3</v>
      </c>
      <c r="G281" s="1">
        <v>3</v>
      </c>
      <c r="H281" s="1">
        <v>3</v>
      </c>
      <c r="I281" s="1">
        <v>3</v>
      </c>
      <c r="J281" s="1">
        <v>0</v>
      </c>
      <c r="K281" s="1">
        <v>6</v>
      </c>
      <c r="L281" s="1">
        <v>3</v>
      </c>
      <c r="M281" s="1">
        <v>12</v>
      </c>
      <c r="N281" s="1">
        <v>9</v>
      </c>
      <c r="O281" s="1">
        <v>0.43940000000000001</v>
      </c>
      <c r="P281" s="1">
        <v>0</v>
      </c>
      <c r="Q281" s="1">
        <v>26</v>
      </c>
      <c r="R281" s="1">
        <v>26</v>
      </c>
    </row>
    <row r="282" spans="4:18">
      <c r="D282" s="68" t="s">
        <v>250</v>
      </c>
      <c r="E282" s="1">
        <v>3</v>
      </c>
      <c r="F282" s="1">
        <v>3</v>
      </c>
      <c r="G282" s="1">
        <v>3</v>
      </c>
      <c r="H282" s="1">
        <v>3</v>
      </c>
      <c r="I282" s="1">
        <v>3</v>
      </c>
      <c r="J282" s="1">
        <v>0</v>
      </c>
      <c r="K282" s="1">
        <v>6</v>
      </c>
      <c r="L282" s="1">
        <v>3</v>
      </c>
      <c r="M282" s="1">
        <v>12</v>
      </c>
      <c r="N282" s="1">
        <v>9</v>
      </c>
      <c r="O282" s="1">
        <v>0.43940000000000001</v>
      </c>
      <c r="P282" s="1">
        <v>0</v>
      </c>
      <c r="Q282" s="1">
        <v>26</v>
      </c>
      <c r="R282" s="1">
        <v>26</v>
      </c>
    </row>
    <row r="283" spans="4:18">
      <c r="D283" s="67" t="s">
        <v>24</v>
      </c>
      <c r="E283" s="1">
        <v>9</v>
      </c>
      <c r="F283" s="1">
        <v>9</v>
      </c>
      <c r="G283" s="1">
        <v>9</v>
      </c>
      <c r="H283" s="1">
        <v>9</v>
      </c>
      <c r="I283" s="1">
        <v>9</v>
      </c>
      <c r="J283" s="1">
        <v>0</v>
      </c>
      <c r="K283" s="1">
        <v>9</v>
      </c>
      <c r="L283" s="1">
        <v>79</v>
      </c>
      <c r="M283" s="1">
        <v>45</v>
      </c>
      <c r="N283" s="1">
        <v>27</v>
      </c>
      <c r="O283" s="1">
        <v>2.0604</v>
      </c>
      <c r="P283" s="1">
        <v>9</v>
      </c>
      <c r="Q283" s="1">
        <v>277</v>
      </c>
      <c r="R283" s="1">
        <v>286</v>
      </c>
    </row>
    <row r="284" spans="4:18">
      <c r="D284" s="68" t="s">
        <v>220</v>
      </c>
      <c r="E284" s="1">
        <v>1</v>
      </c>
      <c r="F284" s="1">
        <v>1</v>
      </c>
      <c r="G284" s="1">
        <v>1</v>
      </c>
      <c r="H284" s="1">
        <v>1</v>
      </c>
      <c r="I284" s="1">
        <v>1</v>
      </c>
      <c r="J284" s="1">
        <v>0</v>
      </c>
      <c r="K284" s="1">
        <v>1</v>
      </c>
      <c r="L284" s="1">
        <v>5</v>
      </c>
      <c r="M284" s="1">
        <v>5</v>
      </c>
      <c r="N284" s="1">
        <v>3</v>
      </c>
      <c r="O284" s="1">
        <v>0.2727</v>
      </c>
      <c r="P284" s="1">
        <v>0</v>
      </c>
      <c r="Q284" s="1">
        <v>5</v>
      </c>
      <c r="R284" s="1">
        <v>5</v>
      </c>
    </row>
    <row r="285" spans="4:18">
      <c r="D285" s="68" t="s">
        <v>232</v>
      </c>
      <c r="E285" s="1">
        <v>2</v>
      </c>
      <c r="F285" s="1">
        <v>2</v>
      </c>
      <c r="G285" s="1">
        <v>2</v>
      </c>
      <c r="H285" s="1">
        <v>2</v>
      </c>
      <c r="I285" s="1">
        <v>2</v>
      </c>
      <c r="J285" s="1">
        <v>0</v>
      </c>
      <c r="K285" s="1">
        <v>2</v>
      </c>
      <c r="L285" s="1">
        <v>5</v>
      </c>
      <c r="M285" s="1">
        <v>10</v>
      </c>
      <c r="N285" s="1">
        <v>6</v>
      </c>
      <c r="O285" s="1">
        <v>0.45450000000000002</v>
      </c>
      <c r="P285" s="1">
        <v>0</v>
      </c>
      <c r="Q285" s="1">
        <v>3</v>
      </c>
      <c r="R285" s="1">
        <v>3</v>
      </c>
    </row>
    <row r="286" spans="4:18">
      <c r="D286" s="68" t="s">
        <v>238</v>
      </c>
      <c r="E286" s="1">
        <v>6</v>
      </c>
      <c r="F286" s="1">
        <v>6</v>
      </c>
      <c r="G286" s="1">
        <v>6</v>
      </c>
      <c r="H286" s="1">
        <v>6</v>
      </c>
      <c r="I286" s="1">
        <v>6</v>
      </c>
      <c r="J286" s="1">
        <v>0</v>
      </c>
      <c r="K286" s="1">
        <v>6</v>
      </c>
      <c r="L286" s="1">
        <v>69</v>
      </c>
      <c r="M286" s="1">
        <v>30</v>
      </c>
      <c r="N286" s="1">
        <v>18</v>
      </c>
      <c r="O286" s="1">
        <v>1.3331999999999999</v>
      </c>
      <c r="P286" s="1">
        <v>9</v>
      </c>
      <c r="Q286" s="1">
        <v>269</v>
      </c>
      <c r="R286" s="1">
        <v>278</v>
      </c>
    </row>
    <row r="287" spans="4:18">
      <c r="D287" s="67" t="s">
        <v>25</v>
      </c>
      <c r="E287" s="1">
        <v>19</v>
      </c>
      <c r="F287" s="1">
        <v>19</v>
      </c>
      <c r="G287" s="1">
        <v>19</v>
      </c>
      <c r="H287" s="1">
        <v>19</v>
      </c>
      <c r="I287" s="1">
        <v>19</v>
      </c>
      <c r="J287" s="1">
        <v>0</v>
      </c>
      <c r="K287" s="1">
        <v>32</v>
      </c>
      <c r="L287" s="1">
        <v>191</v>
      </c>
      <c r="M287" s="1">
        <v>114</v>
      </c>
      <c r="N287" s="1">
        <v>57</v>
      </c>
      <c r="O287" s="1">
        <v>4.6971000000000007</v>
      </c>
      <c r="P287" s="1">
        <v>66</v>
      </c>
      <c r="Q287" s="1">
        <v>495</v>
      </c>
      <c r="R287" s="1">
        <v>561</v>
      </c>
    </row>
    <row r="288" spans="4:18">
      <c r="D288" s="68" t="s">
        <v>214</v>
      </c>
      <c r="E288" s="1">
        <v>2</v>
      </c>
      <c r="F288" s="1">
        <v>2</v>
      </c>
      <c r="G288" s="1">
        <v>2</v>
      </c>
      <c r="H288" s="1">
        <v>2</v>
      </c>
      <c r="I288" s="1">
        <v>2</v>
      </c>
      <c r="J288" s="1">
        <v>0</v>
      </c>
      <c r="K288" s="1">
        <v>2</v>
      </c>
      <c r="L288" s="1">
        <v>37</v>
      </c>
      <c r="M288" s="1">
        <v>12</v>
      </c>
      <c r="N288" s="1">
        <v>6</v>
      </c>
      <c r="O288" s="1">
        <v>0.84840000000000004</v>
      </c>
      <c r="P288" s="1">
        <v>15</v>
      </c>
      <c r="Q288" s="1">
        <v>57</v>
      </c>
      <c r="R288" s="1">
        <v>72</v>
      </c>
    </row>
    <row r="289" spans="4:18">
      <c r="D289" s="68" t="s">
        <v>221</v>
      </c>
      <c r="E289" s="1">
        <v>4</v>
      </c>
      <c r="F289" s="1">
        <v>4</v>
      </c>
      <c r="G289" s="1">
        <v>4</v>
      </c>
      <c r="H289" s="1">
        <v>4</v>
      </c>
      <c r="I289" s="1">
        <v>4</v>
      </c>
      <c r="J289" s="1">
        <v>0</v>
      </c>
      <c r="K289" s="1">
        <v>4</v>
      </c>
      <c r="L289" s="1">
        <v>24</v>
      </c>
      <c r="M289" s="1">
        <v>24</v>
      </c>
      <c r="N289" s="1">
        <v>12</v>
      </c>
      <c r="O289" s="1">
        <v>0.75759999999999994</v>
      </c>
      <c r="P289" s="1">
        <v>0</v>
      </c>
      <c r="Q289" s="1">
        <v>43</v>
      </c>
      <c r="R289" s="1">
        <v>43</v>
      </c>
    </row>
    <row r="290" spans="4:18">
      <c r="D290" s="68" t="s">
        <v>245</v>
      </c>
      <c r="E290" s="1">
        <v>13</v>
      </c>
      <c r="F290" s="1">
        <v>13</v>
      </c>
      <c r="G290" s="1">
        <v>13</v>
      </c>
      <c r="H290" s="1">
        <v>13</v>
      </c>
      <c r="I290" s="1">
        <v>13</v>
      </c>
      <c r="J290" s="1">
        <v>0</v>
      </c>
      <c r="K290" s="1">
        <v>26</v>
      </c>
      <c r="L290" s="1">
        <v>130</v>
      </c>
      <c r="M290" s="1">
        <v>78</v>
      </c>
      <c r="N290" s="1">
        <v>39</v>
      </c>
      <c r="O290" s="1">
        <v>3.0911</v>
      </c>
      <c r="P290" s="1">
        <v>51</v>
      </c>
      <c r="Q290" s="1">
        <v>395</v>
      </c>
      <c r="R290" s="1">
        <v>446</v>
      </c>
    </row>
    <row r="291" spans="4:18">
      <c r="D291" s="10" t="s">
        <v>29</v>
      </c>
      <c r="E291" s="1">
        <v>1</v>
      </c>
      <c r="F291" s="1">
        <v>1</v>
      </c>
      <c r="G291" s="1">
        <v>1</v>
      </c>
      <c r="H291" s="1">
        <v>1</v>
      </c>
      <c r="I291" s="1">
        <v>1</v>
      </c>
      <c r="J291" s="1">
        <v>0</v>
      </c>
      <c r="K291" s="1">
        <v>1</v>
      </c>
      <c r="L291" s="1">
        <v>16</v>
      </c>
      <c r="M291" s="1">
        <v>3</v>
      </c>
      <c r="N291" s="1">
        <v>4</v>
      </c>
      <c r="O291" s="1">
        <v>0.19700000000000001</v>
      </c>
      <c r="P291" s="1">
        <v>1</v>
      </c>
      <c r="Q291" s="1">
        <v>35</v>
      </c>
      <c r="R291" s="1">
        <v>36</v>
      </c>
    </row>
    <row r="292" spans="4:18">
      <c r="D292" s="67" t="s">
        <v>22</v>
      </c>
      <c r="E292" s="1">
        <v>1</v>
      </c>
      <c r="F292" s="1">
        <v>1</v>
      </c>
      <c r="G292" s="1">
        <v>1</v>
      </c>
      <c r="H292" s="1">
        <v>1</v>
      </c>
      <c r="I292" s="1">
        <v>1</v>
      </c>
      <c r="J292" s="1">
        <v>0</v>
      </c>
      <c r="K292" s="1">
        <v>1</v>
      </c>
      <c r="L292" s="1">
        <v>16</v>
      </c>
      <c r="M292" s="1">
        <v>3</v>
      </c>
      <c r="N292" s="1">
        <v>4</v>
      </c>
      <c r="O292" s="1">
        <v>0.19700000000000001</v>
      </c>
      <c r="P292" s="1">
        <v>1</v>
      </c>
      <c r="Q292" s="1">
        <v>35</v>
      </c>
      <c r="R292" s="1">
        <v>36</v>
      </c>
    </row>
    <row r="293" spans="4:18">
      <c r="D293" s="68" t="s">
        <v>255</v>
      </c>
      <c r="E293" s="1">
        <v>1</v>
      </c>
      <c r="F293" s="1">
        <v>1</v>
      </c>
      <c r="G293" s="1">
        <v>1</v>
      </c>
      <c r="H293" s="1">
        <v>1</v>
      </c>
      <c r="I293" s="1">
        <v>1</v>
      </c>
      <c r="J293" s="1">
        <v>0</v>
      </c>
      <c r="K293" s="1">
        <v>1</v>
      </c>
      <c r="L293" s="1">
        <v>16</v>
      </c>
      <c r="M293" s="1">
        <v>3</v>
      </c>
      <c r="N293" s="1">
        <v>4</v>
      </c>
      <c r="O293" s="1">
        <v>0.19700000000000001</v>
      </c>
      <c r="P293" s="1">
        <v>1</v>
      </c>
      <c r="Q293" s="1">
        <v>35</v>
      </c>
      <c r="R293" s="1">
        <v>36</v>
      </c>
    </row>
    <row r="294" spans="4:18">
      <c r="D294" s="10" t="s">
        <v>80</v>
      </c>
      <c r="E294" s="1">
        <v>1000</v>
      </c>
      <c r="F294" s="1">
        <v>1000</v>
      </c>
      <c r="G294" s="1">
        <v>1000</v>
      </c>
      <c r="H294" s="1">
        <v>1000</v>
      </c>
      <c r="I294" s="1">
        <v>1000</v>
      </c>
      <c r="J294" s="1">
        <v>0</v>
      </c>
      <c r="K294" s="1">
        <v>1312</v>
      </c>
      <c r="L294" s="1">
        <v>11753</v>
      </c>
      <c r="M294" s="1">
        <v>2982</v>
      </c>
      <c r="N294" s="1">
        <v>1480</v>
      </c>
      <c r="O294" s="1">
        <v>211.82558380634467</v>
      </c>
      <c r="P294" s="1">
        <v>4921</v>
      </c>
      <c r="Q294" s="1">
        <v>53383</v>
      </c>
      <c r="R294" s="1">
        <v>58304</v>
      </c>
    </row>
    <row r="323" spans="25:27">
      <c r="Y323"/>
      <c r="Z323"/>
      <c r="AA323"/>
    </row>
    <row r="324" spans="25:27">
      <c r="Y324"/>
      <c r="Z324"/>
      <c r="AA324"/>
    </row>
    <row r="325" spans="25:27">
      <c r="Y325"/>
      <c r="Z325"/>
      <c r="AA325"/>
    </row>
    <row r="326" spans="25:27">
      <c r="Y326"/>
      <c r="Z326"/>
      <c r="AA326"/>
    </row>
    <row r="327" spans="25:27">
      <c r="Y327"/>
      <c r="Z327"/>
      <c r="AA327"/>
    </row>
    <row r="328" spans="25:27">
      <c r="Y328"/>
      <c r="Z328"/>
      <c r="AA328"/>
    </row>
    <row r="329" spans="25:27">
      <c r="Y329"/>
      <c r="Z329"/>
      <c r="AA329"/>
    </row>
    <row r="330" spans="25:27">
      <c r="Y330"/>
      <c r="Z330"/>
      <c r="AA330"/>
    </row>
    <row r="331" spans="25:27">
      <c r="Y331"/>
      <c r="Z331"/>
      <c r="AA331"/>
    </row>
    <row r="332" spans="25:27">
      <c r="Y332"/>
      <c r="Z332"/>
      <c r="AA332"/>
    </row>
    <row r="333" spans="25:27">
      <c r="Y333"/>
      <c r="Z333"/>
      <c r="AA333"/>
    </row>
    <row r="334" spans="25:27">
      <c r="Y334"/>
      <c r="Z334"/>
      <c r="AA334"/>
    </row>
    <row r="335" spans="25:27">
      <c r="Y335"/>
      <c r="Z335"/>
      <c r="AA335"/>
    </row>
    <row r="336" spans="25:27">
      <c r="Y336"/>
      <c r="Z336"/>
      <c r="AA336"/>
    </row>
    <row r="337" spans="25:25">
      <c r="Y337"/>
    </row>
    <row r="338" spans="25:25">
      <c r="Y338"/>
    </row>
    <row r="339" spans="25:25">
      <c r="Y339"/>
    </row>
    <row r="340" spans="25:25">
      <c r="Y340"/>
    </row>
    <row r="341" spans="25:25">
      <c r="Y341"/>
    </row>
    <row r="342" spans="25:25">
      <c r="Y342"/>
    </row>
    <row r="343" spans="25:25">
      <c r="Y343"/>
    </row>
    <row r="344" spans="25:25">
      <c r="Y344"/>
    </row>
    <row r="345" spans="25:25">
      <c r="Y345"/>
    </row>
    <row r="346" spans="25:25">
      <c r="Y346"/>
    </row>
    <row r="347" spans="25:25">
      <c r="Y347"/>
    </row>
    <row r="348" spans="25:25">
      <c r="Y348"/>
    </row>
    <row r="349" spans="25:25">
      <c r="Y349"/>
    </row>
    <row r="350" spans="25:25">
      <c r="Y350"/>
    </row>
    <row r="351" spans="25:25">
      <c r="Y351"/>
    </row>
    <row r="352" spans="25:25">
      <c r="Y352"/>
    </row>
    <row r="353" spans="25:25">
      <c r="Y353"/>
    </row>
    <row r="354" spans="25:25">
      <c r="Y354"/>
    </row>
    <row r="355" spans="25:25">
      <c r="Y355"/>
    </row>
    <row r="356" spans="25:25">
      <c r="Y356"/>
    </row>
    <row r="357" spans="25:25">
      <c r="Y357"/>
    </row>
    <row r="358" spans="25:25">
      <c r="Y358"/>
    </row>
    <row r="359" spans="25:25">
      <c r="Y359"/>
    </row>
    <row r="360" spans="25:25">
      <c r="Y360"/>
    </row>
    <row r="361" spans="25:25">
      <c r="Y361"/>
    </row>
    <row r="362" spans="25:25">
      <c r="Y362"/>
    </row>
    <row r="363" spans="25:25">
      <c r="Y363"/>
    </row>
    <row r="364" spans="25:25">
      <c r="Y364"/>
    </row>
    <row r="365" spans="25:25">
      <c r="Y365"/>
    </row>
  </sheetData>
  <mergeCells count="18">
    <mergeCell ref="C86:D86"/>
    <mergeCell ref="H58:I58"/>
    <mergeCell ref="C1:K3"/>
    <mergeCell ref="H7:I7"/>
    <mergeCell ref="D5:J5"/>
    <mergeCell ref="H38:I38"/>
    <mergeCell ref="C58:F58"/>
    <mergeCell ref="C8:D8"/>
    <mergeCell ref="H49:I49"/>
    <mergeCell ref="L15:M18"/>
    <mergeCell ref="C82:F83"/>
    <mergeCell ref="C26:F27"/>
    <mergeCell ref="L58:M61"/>
    <mergeCell ref="D69:J69"/>
    <mergeCell ref="D35:J35"/>
    <mergeCell ref="L49:M52"/>
    <mergeCell ref="J72:K72"/>
    <mergeCell ref="C72:D72"/>
  </mergeCells>
  <conditionalFormatting sqref="K8">
    <cfRule type="colorScale" priority="6">
      <colorScale>
        <cfvo type="min"/>
        <cfvo type="max"/>
        <color rgb="FFFFEF9C"/>
        <color rgb="FF63BE7B"/>
      </colorScale>
    </cfRule>
  </conditionalFormatting>
  <conditionalFormatting sqref="K8">
    <cfRule type="dataBar" priority="3">
      <dataBar>
        <cfvo type="min"/>
        <cfvo type="max"/>
        <color rgb="FF638EC6"/>
      </dataBar>
      <extLst>
        <ext xmlns:x14="http://schemas.microsoft.com/office/spreadsheetml/2009/9/main" uri="{B025F937-C7B1-47D3-B67F-A62EFF666E3E}">
          <x14:id>{4C4C71ED-B9D6-42FF-8318-5C466AF185E1}</x14:id>
        </ext>
      </extLst>
    </cfRule>
  </conditionalFormatting>
  <conditionalFormatting pivot="1" sqref="K9:K32">
    <cfRule type="dataBar" priority="2">
      <dataBar>
        <cfvo type="min"/>
        <cfvo type="max"/>
        <color rgb="FF638EC6"/>
      </dataBar>
      <extLst>
        <ext xmlns:x14="http://schemas.microsoft.com/office/spreadsheetml/2009/9/main" uri="{B025F937-C7B1-47D3-B67F-A62EFF666E3E}">
          <x14:id>{385AD4DF-32A3-44AB-8001-BBAA15091BC5}</x14:id>
        </ext>
      </extLst>
    </cfRule>
  </conditionalFormatting>
  <conditionalFormatting pivot="1" sqref="K75:L98">
    <cfRule type="dataBar" priority="1">
      <dataBar>
        <cfvo type="min"/>
        <cfvo type="max"/>
        <color rgb="FFFFB628"/>
      </dataBar>
      <extLst>
        <ext xmlns:x14="http://schemas.microsoft.com/office/spreadsheetml/2009/9/main" uri="{B025F937-C7B1-47D3-B67F-A62EFF666E3E}">
          <x14:id>{A10B0493-D509-445F-AEDD-D620C165FD1E}</x14:id>
        </ext>
      </extLst>
    </cfRule>
  </conditionalFormatting>
  <pageMargins left="0.7" right="0.7" top="0.75" bottom="0.75" header="0.3" footer="0.3"/>
  <pageSetup orientation="portrait" r:id="rId15"/>
  <extLst>
    <ext xmlns:x14="http://schemas.microsoft.com/office/spreadsheetml/2009/9/main" uri="{78C0D931-6437-407d-A8EE-F0AAD7539E65}">
      <x14:conditionalFormattings>
        <x14:conditionalFormatting xmlns:xm="http://schemas.microsoft.com/office/excel/2006/main">
          <x14:cfRule type="dataBar" id="{4C4C71ED-B9D6-42FF-8318-5C466AF185E1}">
            <x14:dataBar minLength="0" maxLength="100" border="1" negativeBarBorderColorSameAsPositive="0">
              <x14:cfvo type="autoMin"/>
              <x14:cfvo type="autoMax"/>
              <x14:borderColor rgb="FF638EC6"/>
              <x14:negativeFillColor rgb="FFFF0000"/>
              <x14:negativeBorderColor rgb="FFFF0000"/>
              <x14:axisColor rgb="FF000000"/>
            </x14:dataBar>
          </x14:cfRule>
          <xm:sqref>K8</xm:sqref>
        </x14:conditionalFormatting>
        <x14:conditionalFormatting xmlns:xm="http://schemas.microsoft.com/office/excel/2006/main" pivot="1">
          <x14:cfRule type="dataBar" id="{385AD4DF-32A3-44AB-8001-BBAA15091BC5}">
            <x14:dataBar minLength="0" maxLength="100" border="1" negativeBarBorderColorSameAsPositive="0">
              <x14:cfvo type="autoMin"/>
              <x14:cfvo type="autoMax"/>
              <x14:borderColor rgb="FF638EC6"/>
              <x14:negativeFillColor rgb="FFFF0000"/>
              <x14:negativeBorderColor rgb="FFFF0000"/>
              <x14:axisColor rgb="FF000000"/>
            </x14:dataBar>
          </x14:cfRule>
          <xm:sqref>K9:K32</xm:sqref>
        </x14:conditionalFormatting>
        <x14:conditionalFormatting xmlns:xm="http://schemas.microsoft.com/office/excel/2006/main" pivot="1">
          <x14:cfRule type="dataBar" id="{A10B0493-D509-445F-AEDD-D620C165FD1E}">
            <x14:dataBar minLength="0" maxLength="100" border="1" negativeBarBorderColorSameAsPositive="0">
              <x14:cfvo type="autoMin"/>
              <x14:cfvo type="autoMax"/>
              <x14:borderColor rgb="FFFFB628"/>
              <x14:negativeFillColor rgb="FFFF0000"/>
              <x14:negativeBorderColor rgb="FFFF0000"/>
              <x14:axisColor rgb="FF000000"/>
            </x14:dataBar>
          </x14:cfRule>
          <xm:sqref>K75:L98</xm:sqref>
        </x14:conditionalFormatting>
      </x14:conditionalFormatting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0D57CE-42A7-4451-B208-CD187AD450C1}">
  <dimension ref="A2:AA119"/>
  <sheetViews>
    <sheetView topLeftCell="B1" zoomScale="125" workbookViewId="0">
      <selection activeCell="L115" sqref="L115"/>
    </sheetView>
  </sheetViews>
  <sheetFormatPr defaultRowHeight="14.6"/>
  <cols>
    <col min="1" max="2" width="9.23046875" style="51"/>
    <col min="9" max="9" width="11.53515625" customWidth="1"/>
    <col min="10" max="10" width="10.07421875" customWidth="1"/>
    <col min="27" max="27" width="11.4609375" bestFit="1" customWidth="1"/>
  </cols>
  <sheetData>
    <row r="2" spans="5:17" ht="14.6" customHeight="1">
      <c r="E2" s="111" t="s">
        <v>158</v>
      </c>
      <c r="F2" s="111"/>
      <c r="G2" s="111"/>
      <c r="H2" s="111"/>
      <c r="I2" s="111"/>
      <c r="J2" s="111"/>
      <c r="K2" s="111"/>
      <c r="L2" s="111"/>
      <c r="M2" s="111"/>
      <c r="N2" s="111"/>
      <c r="O2" s="111"/>
      <c r="P2" s="111"/>
      <c r="Q2" s="111"/>
    </row>
    <row r="3" spans="5:17" ht="14.6" customHeight="1">
      <c r="E3" s="111"/>
      <c r="F3" s="111"/>
      <c r="G3" s="111"/>
      <c r="H3" s="111"/>
      <c r="I3" s="111"/>
      <c r="J3" s="111"/>
      <c r="K3" s="111"/>
      <c r="L3" s="111"/>
      <c r="M3" s="111"/>
      <c r="N3" s="111"/>
      <c r="O3" s="111"/>
      <c r="P3" s="111"/>
      <c r="Q3" s="111"/>
    </row>
    <row r="4" spans="5:17" ht="14.6" customHeight="1">
      <c r="E4" s="111"/>
      <c r="F4" s="111"/>
      <c r="G4" s="111"/>
      <c r="H4" s="111"/>
      <c r="I4" s="111"/>
      <c r="J4" s="111"/>
      <c r="K4" s="111"/>
      <c r="L4" s="111"/>
      <c r="M4" s="111"/>
      <c r="N4" s="111"/>
      <c r="O4" s="111"/>
      <c r="P4" s="111"/>
      <c r="Q4" s="111"/>
    </row>
    <row r="6" spans="5:17" ht="20.6">
      <c r="F6" s="122" t="s">
        <v>157</v>
      </c>
      <c r="G6" s="122"/>
      <c r="H6" s="122"/>
      <c r="I6" s="122"/>
      <c r="J6" s="122"/>
      <c r="K6" s="122"/>
      <c r="L6" s="122"/>
      <c r="M6" s="122"/>
      <c r="N6" s="122"/>
      <c r="O6" s="122"/>
    </row>
    <row r="7" spans="5:17" ht="15" thickBot="1"/>
    <row r="8" spans="5:17" ht="15.45" thickTop="1" thickBot="1">
      <c r="F8" s="123" t="s">
        <v>159</v>
      </c>
      <c r="G8" s="123"/>
      <c r="H8" s="123"/>
      <c r="N8" s="123" t="s">
        <v>160</v>
      </c>
      <c r="O8" s="123"/>
      <c r="P8" s="123"/>
    </row>
    <row r="9" spans="5:17" ht="15" thickTop="1"/>
    <row r="26" spans="6:16" ht="15" thickBot="1"/>
    <row r="27" spans="6:16" ht="15.45" thickTop="1" thickBot="1">
      <c r="F27" s="123" t="s">
        <v>161</v>
      </c>
      <c r="G27" s="124"/>
      <c r="H27" s="125"/>
      <c r="N27" s="123" t="s">
        <v>162</v>
      </c>
      <c r="O27" s="124"/>
      <c r="P27" s="125"/>
    </row>
    <row r="28" spans="6:16" ht="15" thickTop="1"/>
    <row r="44" spans="4:15">
      <c r="D44" s="127" t="s">
        <v>313</v>
      </c>
      <c r="E44" s="127"/>
      <c r="F44" s="127"/>
      <c r="G44" s="127"/>
      <c r="H44" s="127"/>
      <c r="I44" s="127"/>
      <c r="J44" s="127"/>
    </row>
    <row r="45" spans="4:15" s="51" customFormat="1">
      <c r="D45" s="127"/>
      <c r="E45" s="127"/>
      <c r="F45" s="127"/>
      <c r="G45" s="127"/>
      <c r="H45" s="127"/>
      <c r="I45" s="127"/>
      <c r="J45" s="127"/>
    </row>
    <row r="46" spans="4:15" s="51" customFormat="1"/>
    <row r="47" spans="4:15" ht="20.6">
      <c r="F47" s="122" t="s">
        <v>163</v>
      </c>
      <c r="G47" s="122"/>
      <c r="H47" s="122"/>
      <c r="I47" s="122"/>
      <c r="J47" s="122"/>
      <c r="K47" s="122"/>
      <c r="L47" s="122"/>
      <c r="M47" s="122"/>
      <c r="N47" s="122"/>
      <c r="O47" s="122"/>
    </row>
    <row r="48" spans="4:15" ht="15" thickBot="1"/>
    <row r="49" spans="6:16" ht="15.45" thickTop="1" thickBot="1">
      <c r="F49" s="123" t="s">
        <v>164</v>
      </c>
      <c r="G49" s="124"/>
      <c r="H49" s="125"/>
      <c r="N49" s="123" t="s">
        <v>165</v>
      </c>
      <c r="O49" s="124"/>
      <c r="P49" s="125"/>
    </row>
    <row r="50" spans="6:16" ht="15" thickTop="1"/>
    <row r="68" spans="5:27">
      <c r="E68" s="126" t="s">
        <v>261</v>
      </c>
      <c r="F68" s="126"/>
      <c r="G68" s="126"/>
      <c r="H68" s="126"/>
      <c r="I68" s="126"/>
      <c r="M68" s="126" t="s">
        <v>260</v>
      </c>
      <c r="N68" s="126"/>
      <c r="O68" s="126"/>
      <c r="P68" s="126"/>
      <c r="Q68" s="126"/>
    </row>
    <row r="70" spans="5:27" ht="15" thickBot="1"/>
    <row r="71" spans="5:27" ht="29.6" thickBot="1">
      <c r="Z71" s="69" t="s">
        <v>259</v>
      </c>
      <c r="AA71" s="69" t="s">
        <v>30</v>
      </c>
    </row>
    <row r="72" spans="5:27" ht="15" thickBot="1">
      <c r="Z72" s="70" t="s">
        <v>27</v>
      </c>
      <c r="AA72" s="71">
        <f>Pivot_Analysis!F40</f>
        <v>61.671617161716171</v>
      </c>
    </row>
    <row r="73" spans="5:27" ht="15" thickBot="1">
      <c r="Z73" s="70" t="s">
        <v>28</v>
      </c>
      <c r="AA73" s="71">
        <f>Pivot_Analysis!F41</f>
        <v>58.595469255663431</v>
      </c>
    </row>
    <row r="74" spans="5:27" ht="15" thickBot="1">
      <c r="Z74" s="70" t="s">
        <v>71</v>
      </c>
      <c r="AA74" s="71">
        <f>Pivot_Analysis!F43</f>
        <v>36</v>
      </c>
    </row>
    <row r="75" spans="5:27" ht="29.6" thickBot="1">
      <c r="Z75" s="70" t="s">
        <v>29</v>
      </c>
      <c r="AA75" s="71">
        <f>Pivot_Analysis!F42</f>
        <v>33.202380952380949</v>
      </c>
    </row>
    <row r="86" spans="5:15" ht="20.6">
      <c r="F86" s="122" t="s">
        <v>166</v>
      </c>
      <c r="G86" s="122"/>
      <c r="H86" s="122"/>
      <c r="I86" s="122"/>
      <c r="J86" s="122"/>
      <c r="K86" s="122"/>
      <c r="L86" s="122"/>
      <c r="M86" s="122"/>
      <c r="N86" s="122"/>
      <c r="O86" s="122"/>
    </row>
    <row r="88" spans="5:15">
      <c r="E88" s="126" t="s">
        <v>172</v>
      </c>
      <c r="F88" s="126"/>
      <c r="G88" s="126"/>
      <c r="H88" s="126"/>
      <c r="I88" s="126"/>
    </row>
    <row r="105" spans="4:10">
      <c r="D105" s="129" t="s">
        <v>314</v>
      </c>
      <c r="E105" s="129"/>
      <c r="F105" s="129"/>
      <c r="G105" s="129"/>
      <c r="H105" s="129"/>
      <c r="I105" s="129"/>
      <c r="J105" s="129"/>
    </row>
    <row r="106" spans="4:10" ht="14.6" customHeight="1">
      <c r="D106" s="129"/>
      <c r="E106" s="129"/>
      <c r="F106" s="129"/>
      <c r="G106" s="129"/>
      <c r="H106" s="129"/>
      <c r="I106" s="129"/>
      <c r="J106" s="129"/>
    </row>
    <row r="107" spans="4:10" s="51" customFormat="1" ht="14.6" customHeight="1"/>
    <row r="108" spans="4:10" ht="17.149999999999999" thickBot="1">
      <c r="D108" s="128" t="s">
        <v>171</v>
      </c>
      <c r="E108" s="128"/>
      <c r="F108" s="128"/>
      <c r="G108" s="128"/>
      <c r="H108" s="128"/>
    </row>
    <row r="109" spans="4:10" ht="15" customHeight="1" thickBot="1">
      <c r="D109" s="121" t="s">
        <v>325</v>
      </c>
      <c r="E109" s="121"/>
      <c r="F109" s="121"/>
      <c r="G109" s="121"/>
      <c r="H109" s="121"/>
      <c r="I109" s="121"/>
      <c r="J109" s="121"/>
    </row>
    <row r="110" spans="4:10" ht="15" thickBot="1">
      <c r="D110" s="121"/>
      <c r="E110" s="121"/>
      <c r="F110" s="121"/>
      <c r="G110" s="121"/>
      <c r="H110" s="121"/>
      <c r="I110" s="121"/>
      <c r="J110" s="121"/>
    </row>
    <row r="111" spans="4:10" ht="14.6" customHeight="1" thickBot="1">
      <c r="D111" s="121" t="s">
        <v>318</v>
      </c>
      <c r="E111" s="121"/>
      <c r="F111" s="121"/>
      <c r="G111" s="121"/>
      <c r="H111" s="121"/>
      <c r="I111" s="121"/>
      <c r="J111" s="121"/>
    </row>
    <row r="112" spans="4:10" ht="15" thickBot="1">
      <c r="D112" s="121"/>
      <c r="E112" s="121"/>
      <c r="F112" s="121"/>
      <c r="G112" s="121"/>
      <c r="H112" s="121"/>
      <c r="I112" s="121"/>
      <c r="J112" s="121"/>
    </row>
    <row r="113" spans="4:10" ht="15" thickBot="1">
      <c r="D113" s="121"/>
      <c r="E113" s="121"/>
      <c r="F113" s="121"/>
      <c r="G113" s="121"/>
      <c r="H113" s="121"/>
      <c r="I113" s="121"/>
      <c r="J113" s="121"/>
    </row>
    <row r="114" spans="4:10" ht="14.6" customHeight="1" thickBot="1">
      <c r="D114" s="121" t="s">
        <v>320</v>
      </c>
      <c r="E114" s="121"/>
      <c r="F114" s="121"/>
      <c r="G114" s="121"/>
      <c r="H114" s="121"/>
      <c r="I114" s="121"/>
      <c r="J114" s="121"/>
    </row>
    <row r="115" spans="4:10" ht="15" thickBot="1">
      <c r="D115" s="121"/>
      <c r="E115" s="121"/>
      <c r="F115" s="121"/>
      <c r="G115" s="121"/>
      <c r="H115" s="121"/>
      <c r="I115" s="121"/>
      <c r="J115" s="121"/>
    </row>
    <row r="116" spans="4:10" ht="15" thickBot="1">
      <c r="D116" s="121" t="s">
        <v>321</v>
      </c>
      <c r="E116" s="121"/>
      <c r="F116" s="121"/>
      <c r="G116" s="121"/>
      <c r="H116" s="121"/>
      <c r="I116" s="121"/>
      <c r="J116" s="121"/>
    </row>
    <row r="117" spans="4:10" ht="15" thickBot="1">
      <c r="D117" s="121"/>
      <c r="E117" s="121"/>
      <c r="F117" s="121"/>
      <c r="G117" s="121"/>
      <c r="H117" s="121"/>
      <c r="I117" s="121"/>
      <c r="J117" s="121"/>
    </row>
    <row r="118" spans="4:10" ht="15" thickBot="1">
      <c r="D118" s="121" t="s">
        <v>319</v>
      </c>
      <c r="E118" s="121"/>
      <c r="F118" s="121"/>
      <c r="G118" s="121"/>
      <c r="H118" s="121"/>
      <c r="I118" s="121"/>
      <c r="J118" s="121"/>
    </row>
    <row r="119" spans="4:10" ht="15" thickBot="1">
      <c r="D119" s="121"/>
      <c r="E119" s="121"/>
      <c r="F119" s="121"/>
      <c r="G119" s="121"/>
      <c r="H119" s="121"/>
      <c r="I119" s="121"/>
      <c r="J119" s="121"/>
    </row>
  </sheetData>
  <mergeCells count="21">
    <mergeCell ref="E2:Q4"/>
    <mergeCell ref="D108:H108"/>
    <mergeCell ref="E88:I88"/>
    <mergeCell ref="E68:I68"/>
    <mergeCell ref="D105:J106"/>
    <mergeCell ref="F6:O6"/>
    <mergeCell ref="F47:O47"/>
    <mergeCell ref="F86:O86"/>
    <mergeCell ref="F27:H27"/>
    <mergeCell ref="N27:P27"/>
    <mergeCell ref="F49:H49"/>
    <mergeCell ref="N49:P49"/>
    <mergeCell ref="F8:H8"/>
    <mergeCell ref="N8:P8"/>
    <mergeCell ref="M68:Q68"/>
    <mergeCell ref="D44:J45"/>
    <mergeCell ref="D109:J110"/>
    <mergeCell ref="D111:J113"/>
    <mergeCell ref="D114:J115"/>
    <mergeCell ref="D116:J117"/>
    <mergeCell ref="D118:J119"/>
  </mergeCells>
  <pageMargins left="0.7" right="0.7" top="0.75" bottom="0.75" header="0.3" footer="0.3"/>
  <pageSetup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866DAA-FE50-4C5B-8CEC-CCB843FF0808}">
  <dimension ref="B2:S74"/>
  <sheetViews>
    <sheetView topLeftCell="A23" zoomScale="93" workbookViewId="0">
      <selection activeCell="N42" sqref="N42"/>
    </sheetView>
  </sheetViews>
  <sheetFormatPr defaultRowHeight="14.6"/>
  <cols>
    <col min="2" max="2" width="15.15234375" bestFit="1" customWidth="1"/>
    <col min="3" max="3" width="12.921875" bestFit="1" customWidth="1"/>
    <col min="4" max="4" width="16.3046875" bestFit="1" customWidth="1"/>
    <col min="5" max="5" width="11.69140625" bestFit="1" customWidth="1"/>
    <col min="7" max="7" width="15.3046875" bestFit="1" customWidth="1"/>
    <col min="8" max="8" width="16.15234375" bestFit="1" customWidth="1"/>
    <col min="9" max="9" width="12" bestFit="1" customWidth="1"/>
    <col min="10" max="10" width="14.07421875" bestFit="1" customWidth="1"/>
    <col min="11" max="11" width="14.15234375" bestFit="1" customWidth="1"/>
    <col min="12" max="12" width="15.765625" customWidth="1"/>
    <col min="13" max="13" width="13.15234375" customWidth="1"/>
    <col min="14" max="14" width="30.23046875" customWidth="1"/>
    <col min="15" max="15" width="26.61328125" bestFit="1" customWidth="1"/>
  </cols>
  <sheetData>
    <row r="2" spans="2:19">
      <c r="B2" s="116" t="s">
        <v>177</v>
      </c>
      <c r="C2" s="116"/>
      <c r="D2" s="116"/>
      <c r="E2" s="116"/>
      <c r="F2" s="116"/>
      <c r="G2" s="116"/>
      <c r="H2" s="116"/>
      <c r="I2" s="116"/>
      <c r="J2" s="116"/>
      <c r="K2" s="116"/>
      <c r="L2" s="116"/>
      <c r="M2" s="116"/>
      <c r="N2" s="116"/>
      <c r="O2" s="116"/>
    </row>
    <row r="3" spans="2:19">
      <c r="B3" s="116"/>
      <c r="C3" s="116"/>
      <c r="D3" s="116"/>
      <c r="E3" s="116"/>
      <c r="F3" s="116"/>
      <c r="G3" s="116"/>
      <c r="H3" s="116"/>
      <c r="I3" s="116"/>
      <c r="J3" s="116"/>
      <c r="K3" s="116"/>
      <c r="L3" s="116"/>
      <c r="M3" s="116"/>
      <c r="N3" s="116"/>
      <c r="O3" s="116"/>
    </row>
    <row r="4" spans="2:19">
      <c r="B4" s="116"/>
      <c r="C4" s="116"/>
      <c r="D4" s="116"/>
      <c r="E4" s="116"/>
      <c r="F4" s="116"/>
      <c r="G4" s="116"/>
      <c r="H4" s="116"/>
      <c r="I4" s="116"/>
      <c r="J4" s="116"/>
      <c r="K4" s="116"/>
      <c r="L4" s="116"/>
      <c r="M4" s="116"/>
      <c r="N4" s="116"/>
      <c r="O4" s="116"/>
    </row>
    <row r="6" spans="2:19" s="61" customFormat="1" ht="18.45">
      <c r="B6" s="132" t="s">
        <v>174</v>
      </c>
      <c r="C6" s="132"/>
      <c r="D6" s="132"/>
      <c r="E6" s="132"/>
      <c r="G6" s="130" t="s">
        <v>175</v>
      </c>
      <c r="H6" s="131"/>
      <c r="I6" s="131"/>
      <c r="J6" s="131"/>
      <c r="K6" s="131"/>
      <c r="M6" s="130" t="s">
        <v>178</v>
      </c>
      <c r="N6" s="131"/>
      <c r="O6" s="131"/>
      <c r="P6" s="131"/>
      <c r="Q6" s="51"/>
      <c r="R6" s="51"/>
      <c r="S6" s="51"/>
    </row>
    <row r="8" spans="2:19">
      <c r="B8" s="59" t="s">
        <v>55</v>
      </c>
      <c r="C8" s="60" t="s">
        <v>72</v>
      </c>
      <c r="D8" s="60" t="s">
        <v>73</v>
      </c>
      <c r="E8" s="60" t="s">
        <v>30</v>
      </c>
      <c r="G8" s="10" t="s">
        <v>55</v>
      </c>
      <c r="H8" s="10" t="s">
        <v>195</v>
      </c>
      <c r="I8" t="s">
        <v>196</v>
      </c>
      <c r="J8" s="10" t="s">
        <v>197</v>
      </c>
      <c r="K8" s="10" t="s">
        <v>198</v>
      </c>
    </row>
    <row r="9" spans="2:19">
      <c r="B9" s="53" cm="1">
        <f t="array" ref="B9:B53">_xlfn._xlws.SORT(_xlfn.UNIQUE(Cleaned_datasetB[Date]))</f>
        <v>40544</v>
      </c>
      <c r="C9" s="52">
        <f>SUMIFS(Cleaned_datasetB[Casual_Rentals],Cleaned_datasetB[Date],B9)</f>
        <v>331</v>
      </c>
      <c r="D9" s="52">
        <f>SUMIFS(Cleaned_datasetB[Registered_Rentals],Cleaned_datasetB[Date],B9)</f>
        <v>654</v>
      </c>
      <c r="E9" s="40">
        <f>C9+D9</f>
        <v>985</v>
      </c>
      <c r="G9" s="57">
        <v>40544</v>
      </c>
      <c r="H9" s="10">
        <v>978.608501415619</v>
      </c>
      <c r="J9" s="10"/>
      <c r="K9" s="10"/>
    </row>
    <row r="10" spans="2:19">
      <c r="B10" s="53">
        <v>40545</v>
      </c>
      <c r="C10" s="52">
        <f>SUMIFS(Cleaned_datasetB[Casual_Rentals],Cleaned_datasetB[Date],B10)</f>
        <v>131</v>
      </c>
      <c r="D10" s="52">
        <f>SUMIFS(Cleaned_datasetB[Registered_Rentals],Cleaned_datasetB[Date],B10)</f>
        <v>670</v>
      </c>
      <c r="E10" s="40">
        <f t="shared" ref="E10:E53" si="0">C10+D10</f>
        <v>801</v>
      </c>
      <c r="G10" s="57">
        <v>40545</v>
      </c>
      <c r="H10" s="10">
        <v>1027.8906520549583</v>
      </c>
      <c r="J10" s="10"/>
      <c r="K10" s="10"/>
    </row>
    <row r="11" spans="2:19">
      <c r="B11" s="53">
        <v>40546</v>
      </c>
      <c r="C11" s="52">
        <f>SUMIFS(Cleaned_datasetB[Casual_Rentals],Cleaned_datasetB[Date],B11)</f>
        <v>120</v>
      </c>
      <c r="D11" s="52">
        <f>SUMIFS(Cleaned_datasetB[Registered_Rentals],Cleaned_datasetB[Date],B11)</f>
        <v>1229</v>
      </c>
      <c r="E11" s="40">
        <f t="shared" si="0"/>
        <v>1349</v>
      </c>
      <c r="G11" s="57">
        <v>40546</v>
      </c>
      <c r="H11" s="10">
        <v>1232.4161583754856</v>
      </c>
      <c r="J11" s="10"/>
      <c r="K11" s="10"/>
    </row>
    <row r="12" spans="2:19">
      <c r="B12" s="53">
        <v>40547</v>
      </c>
      <c r="C12" s="52">
        <f>SUMIFS(Cleaned_datasetB[Casual_Rentals],Cleaned_datasetB[Date],B12)</f>
        <v>108</v>
      </c>
      <c r="D12" s="52">
        <f>SUMIFS(Cleaned_datasetB[Registered_Rentals],Cleaned_datasetB[Date],B12)</f>
        <v>1454</v>
      </c>
      <c r="E12" s="40">
        <f t="shared" si="0"/>
        <v>1562</v>
      </c>
      <c r="G12" s="57">
        <v>40547</v>
      </c>
      <c r="H12" s="10">
        <v>1208.5643768611815</v>
      </c>
      <c r="J12" s="10"/>
      <c r="K12" s="10"/>
    </row>
    <row r="13" spans="2:19">
      <c r="B13" s="53">
        <v>40548</v>
      </c>
      <c r="C13" s="52">
        <f>SUMIFS(Cleaned_datasetB[Casual_Rentals],Cleaned_datasetB[Date],B13)</f>
        <v>82</v>
      </c>
      <c r="D13" s="52">
        <f>SUMIFS(Cleaned_datasetB[Registered_Rentals],Cleaned_datasetB[Date],B13)</f>
        <v>1518</v>
      </c>
      <c r="E13" s="40">
        <f t="shared" si="0"/>
        <v>1600</v>
      </c>
      <c r="G13" s="57">
        <v>40548</v>
      </c>
      <c r="H13" s="10">
        <v>1303.4948408367686</v>
      </c>
      <c r="J13" s="10"/>
      <c r="K13" s="10"/>
    </row>
    <row r="14" spans="2:19">
      <c r="B14" s="54">
        <v>40549</v>
      </c>
      <c r="C14" s="52">
        <f>SUMIFS(Cleaned_datasetB[Casual_Rentals],Cleaned_datasetB[Date],B14)</f>
        <v>88</v>
      </c>
      <c r="D14" s="52">
        <f>SUMIFS(Cleaned_datasetB[Registered_Rentals],Cleaned_datasetB[Date],B14)</f>
        <v>1518</v>
      </c>
      <c r="E14" s="40">
        <f t="shared" si="0"/>
        <v>1606</v>
      </c>
      <c r="G14" s="57">
        <v>40549</v>
      </c>
      <c r="H14" s="10">
        <v>1411.2004808512963</v>
      </c>
      <c r="J14" s="10"/>
      <c r="K14" s="10"/>
    </row>
    <row r="15" spans="2:19">
      <c r="B15" s="54">
        <v>40550</v>
      </c>
      <c r="C15" s="52">
        <f>SUMIFS(Cleaned_datasetB[Casual_Rentals],Cleaned_datasetB[Date],B15)</f>
        <v>148</v>
      </c>
      <c r="D15" s="52">
        <f>SUMIFS(Cleaned_datasetB[Registered_Rentals],Cleaned_datasetB[Date],B15)</f>
        <v>1362</v>
      </c>
      <c r="E15" s="40">
        <f t="shared" si="0"/>
        <v>1510</v>
      </c>
      <c r="G15" s="57">
        <v>40550</v>
      </c>
      <c r="H15" s="10">
        <v>1415.8183008278236</v>
      </c>
      <c r="J15" s="10"/>
      <c r="K15" s="10"/>
    </row>
    <row r="16" spans="2:19">
      <c r="B16" s="54">
        <v>40551</v>
      </c>
      <c r="C16" s="52">
        <f>SUMIFS(Cleaned_datasetB[Casual_Rentals],Cleaned_datasetB[Date],B16)</f>
        <v>68</v>
      </c>
      <c r="D16" s="52">
        <f>SUMIFS(Cleaned_datasetB[Registered_Rentals],Cleaned_datasetB[Date],B16)</f>
        <v>891</v>
      </c>
      <c r="E16" s="40">
        <f t="shared" si="0"/>
        <v>959</v>
      </c>
      <c r="G16" s="57">
        <v>40551</v>
      </c>
      <c r="H16" s="10">
        <v>1021.3958943788325</v>
      </c>
      <c r="J16" s="10"/>
      <c r="K16" s="10"/>
    </row>
    <row r="17" spans="2:16">
      <c r="B17" s="54">
        <v>40552</v>
      </c>
      <c r="C17" s="52">
        <f>SUMIFS(Cleaned_datasetB[Casual_Rentals],Cleaned_datasetB[Date],B17)</f>
        <v>54</v>
      </c>
      <c r="D17" s="52">
        <f>SUMIFS(Cleaned_datasetB[Registered_Rentals],Cleaned_datasetB[Date],B17)</f>
        <v>768</v>
      </c>
      <c r="E17" s="40">
        <f t="shared" si="0"/>
        <v>822</v>
      </c>
      <c r="G17" s="57">
        <v>40552</v>
      </c>
      <c r="H17" s="10">
        <v>1070.678045018172</v>
      </c>
      <c r="J17" s="10"/>
      <c r="K17" s="10"/>
    </row>
    <row r="18" spans="2:16">
      <c r="B18" s="54">
        <v>40553</v>
      </c>
      <c r="C18" s="52">
        <f>SUMIFS(Cleaned_datasetB[Casual_Rentals],Cleaned_datasetB[Date],B18)</f>
        <v>41</v>
      </c>
      <c r="D18" s="52">
        <f>SUMIFS(Cleaned_datasetB[Registered_Rentals],Cleaned_datasetB[Date],B18)</f>
        <v>1280</v>
      </c>
      <c r="E18" s="40">
        <f t="shared" si="0"/>
        <v>1321</v>
      </c>
      <c r="G18" s="57">
        <v>40553</v>
      </c>
      <c r="H18" s="10">
        <v>1275.2035513386993</v>
      </c>
      <c r="J18" s="10"/>
      <c r="K18" s="10"/>
    </row>
    <row r="19" spans="2:16">
      <c r="B19" s="54">
        <v>40554</v>
      </c>
      <c r="C19" s="52">
        <f>SUMIFS(Cleaned_datasetB[Casual_Rentals],Cleaned_datasetB[Date],B19)</f>
        <v>43</v>
      </c>
      <c r="D19" s="52">
        <f>SUMIFS(Cleaned_datasetB[Registered_Rentals],Cleaned_datasetB[Date],B19)</f>
        <v>1220</v>
      </c>
      <c r="E19" s="40">
        <f t="shared" si="0"/>
        <v>1263</v>
      </c>
      <c r="G19" s="57">
        <v>40554</v>
      </c>
      <c r="H19" s="10">
        <v>1251.3517698243952</v>
      </c>
      <c r="J19" s="10"/>
      <c r="K19" s="10"/>
    </row>
    <row r="20" spans="2:16">
      <c r="B20" s="54">
        <v>40555</v>
      </c>
      <c r="C20" s="52">
        <f>SUMIFS(Cleaned_datasetB[Casual_Rentals],Cleaned_datasetB[Date],B20)</f>
        <v>25</v>
      </c>
      <c r="D20" s="52">
        <f>SUMIFS(Cleaned_datasetB[Registered_Rentals],Cleaned_datasetB[Date],B20)</f>
        <v>1137</v>
      </c>
      <c r="E20" s="40">
        <f t="shared" si="0"/>
        <v>1162</v>
      </c>
      <c r="G20" s="57">
        <v>40555</v>
      </c>
      <c r="H20" s="10">
        <v>1346.2822337999821</v>
      </c>
      <c r="J20" s="10"/>
      <c r="K20" s="10"/>
    </row>
    <row r="21" spans="2:16">
      <c r="B21" s="54">
        <v>40556</v>
      </c>
      <c r="C21" s="52">
        <f>SUMIFS(Cleaned_datasetB[Casual_Rentals],Cleaned_datasetB[Date],B21)</f>
        <v>38</v>
      </c>
      <c r="D21" s="52">
        <f>SUMIFS(Cleaned_datasetB[Registered_Rentals],Cleaned_datasetB[Date],B21)</f>
        <v>1368</v>
      </c>
      <c r="E21" s="40">
        <f t="shared" si="0"/>
        <v>1406</v>
      </c>
      <c r="G21" s="57">
        <v>40556</v>
      </c>
      <c r="H21" s="10">
        <v>1453.9878738145098</v>
      </c>
      <c r="J21" s="10"/>
      <c r="K21" s="10"/>
    </row>
    <row r="22" spans="2:16">
      <c r="B22" s="54">
        <v>40557</v>
      </c>
      <c r="C22" s="52">
        <f>SUMIFS(Cleaned_datasetB[Casual_Rentals],Cleaned_datasetB[Date],B22)</f>
        <v>54</v>
      </c>
      <c r="D22" s="52">
        <f>SUMIFS(Cleaned_datasetB[Registered_Rentals],Cleaned_datasetB[Date],B22)</f>
        <v>1367</v>
      </c>
      <c r="E22" s="40">
        <f t="shared" si="0"/>
        <v>1421</v>
      </c>
      <c r="G22" s="57">
        <v>40557</v>
      </c>
      <c r="H22" s="10">
        <v>1458.6056937910371</v>
      </c>
      <c r="J22" s="10"/>
      <c r="K22" s="10"/>
    </row>
    <row r="23" spans="2:16">
      <c r="B23" s="54">
        <v>40558</v>
      </c>
      <c r="C23" s="52">
        <f>SUMIFS(Cleaned_datasetB[Casual_Rentals],Cleaned_datasetB[Date],B23)</f>
        <v>222</v>
      </c>
      <c r="D23" s="52">
        <f>SUMIFS(Cleaned_datasetB[Registered_Rentals],Cleaned_datasetB[Date],B23)</f>
        <v>1026</v>
      </c>
      <c r="E23" s="40">
        <f t="shared" si="0"/>
        <v>1248</v>
      </c>
      <c r="G23" s="57">
        <v>40558</v>
      </c>
      <c r="H23" s="10">
        <v>1064.183287342046</v>
      </c>
      <c r="J23" s="10"/>
      <c r="K23" s="10"/>
    </row>
    <row r="24" spans="2:16">
      <c r="B24" s="54">
        <v>40559</v>
      </c>
      <c r="C24" s="52">
        <f>SUMIFS(Cleaned_datasetB[Casual_Rentals],Cleaned_datasetB[Date],B24)</f>
        <v>251</v>
      </c>
      <c r="D24" s="52">
        <f>SUMIFS(Cleaned_datasetB[Registered_Rentals],Cleaned_datasetB[Date],B24)</f>
        <v>953</v>
      </c>
      <c r="E24" s="40">
        <f t="shared" si="0"/>
        <v>1204</v>
      </c>
      <c r="G24" s="57">
        <v>40559</v>
      </c>
      <c r="H24" s="10">
        <v>1113.4654379813855</v>
      </c>
      <c r="J24" s="10"/>
      <c r="K24" s="10"/>
    </row>
    <row r="25" spans="2:16">
      <c r="B25" s="54">
        <v>40560</v>
      </c>
      <c r="C25" s="52">
        <f>SUMIFS(Cleaned_datasetB[Casual_Rentals],Cleaned_datasetB[Date],B25)</f>
        <v>117</v>
      </c>
      <c r="D25" s="52">
        <f>SUMIFS(Cleaned_datasetB[Registered_Rentals],Cleaned_datasetB[Date],B25)</f>
        <v>883</v>
      </c>
      <c r="E25" s="40">
        <f t="shared" si="0"/>
        <v>1000</v>
      </c>
      <c r="G25" s="57">
        <v>40560</v>
      </c>
      <c r="H25" s="10">
        <v>1317.9909443019128</v>
      </c>
      <c r="J25" s="10"/>
      <c r="K25" s="10"/>
    </row>
    <row r="26" spans="2:16">
      <c r="B26" s="54">
        <v>40561</v>
      </c>
      <c r="C26" s="52">
        <f>SUMIFS(Cleaned_datasetB[Casual_Rentals],Cleaned_datasetB[Date],B26)</f>
        <v>9</v>
      </c>
      <c r="D26" s="52">
        <f>SUMIFS(Cleaned_datasetB[Registered_Rentals],Cleaned_datasetB[Date],B26)</f>
        <v>674</v>
      </c>
      <c r="E26" s="40">
        <f t="shared" si="0"/>
        <v>683</v>
      </c>
      <c r="G26" s="57">
        <v>40561</v>
      </c>
      <c r="H26" s="10">
        <v>1294.1391627876087</v>
      </c>
      <c r="J26" s="10"/>
      <c r="K26" s="10"/>
    </row>
    <row r="27" spans="2:16">
      <c r="B27" s="54">
        <v>40562</v>
      </c>
      <c r="C27" s="52">
        <f>SUMIFS(Cleaned_datasetB[Casual_Rentals],Cleaned_datasetB[Date],B27)</f>
        <v>78</v>
      </c>
      <c r="D27" s="52">
        <f>SUMIFS(Cleaned_datasetB[Registered_Rentals],Cleaned_datasetB[Date],B27)</f>
        <v>1572</v>
      </c>
      <c r="E27" s="40">
        <f t="shared" si="0"/>
        <v>1650</v>
      </c>
      <c r="G27" s="57">
        <v>40562</v>
      </c>
      <c r="H27" s="10">
        <v>1389.0696267631956</v>
      </c>
      <c r="J27" s="10"/>
      <c r="K27" s="10"/>
    </row>
    <row r="28" spans="2:16">
      <c r="B28" s="54">
        <v>40563</v>
      </c>
      <c r="C28" s="52">
        <f>SUMIFS(Cleaned_datasetB[Casual_Rentals],Cleaned_datasetB[Date],B28)</f>
        <v>83</v>
      </c>
      <c r="D28" s="52">
        <f>SUMIFS(Cleaned_datasetB[Registered_Rentals],Cleaned_datasetB[Date],B28)</f>
        <v>1844</v>
      </c>
      <c r="E28" s="40">
        <f t="shared" si="0"/>
        <v>1927</v>
      </c>
      <c r="G28" s="57">
        <v>40563</v>
      </c>
      <c r="H28" s="10">
        <v>1496.7752667777236</v>
      </c>
      <c r="J28" s="10"/>
      <c r="K28" s="10"/>
    </row>
    <row r="29" spans="2:16">
      <c r="B29" s="54">
        <v>40564</v>
      </c>
      <c r="C29" s="52">
        <f>SUMIFS(Cleaned_datasetB[Casual_Rentals],Cleaned_datasetB[Date],B29)</f>
        <v>75</v>
      </c>
      <c r="D29" s="52">
        <f>SUMIFS(Cleaned_datasetB[Registered_Rentals],Cleaned_datasetB[Date],B29)</f>
        <v>1468</v>
      </c>
      <c r="E29" s="40">
        <f t="shared" si="0"/>
        <v>1543</v>
      </c>
      <c r="G29" s="57">
        <v>40564</v>
      </c>
      <c r="H29" s="10">
        <v>1501.3930867542508</v>
      </c>
      <c r="J29" s="10"/>
      <c r="K29" s="10"/>
    </row>
    <row r="30" spans="2:16" ht="18.45">
      <c r="B30" s="54">
        <v>40565</v>
      </c>
      <c r="C30" s="52">
        <f>SUMIFS(Cleaned_datasetB[Casual_Rentals],Cleaned_datasetB[Date],B30)</f>
        <v>93</v>
      </c>
      <c r="D30" s="52">
        <f>SUMIFS(Cleaned_datasetB[Registered_Rentals],Cleaned_datasetB[Date],B30)</f>
        <v>888</v>
      </c>
      <c r="E30" s="40">
        <f t="shared" si="0"/>
        <v>981</v>
      </c>
      <c r="G30" s="57">
        <v>40565</v>
      </c>
      <c r="H30" s="10">
        <v>1106.9706803052597</v>
      </c>
      <c r="J30" s="10"/>
      <c r="K30" s="10"/>
      <c r="M30" s="133" t="s">
        <v>182</v>
      </c>
      <c r="N30" s="133"/>
      <c r="O30" s="133"/>
      <c r="P30" s="133"/>
    </row>
    <row r="31" spans="2:16" ht="15.9">
      <c r="B31" s="54">
        <v>40566</v>
      </c>
      <c r="C31" s="52">
        <f>SUMIFS(Cleaned_datasetB[Casual_Rentals],Cleaned_datasetB[Date],B31)</f>
        <v>150</v>
      </c>
      <c r="D31" s="52">
        <f>SUMIFS(Cleaned_datasetB[Registered_Rentals],Cleaned_datasetB[Date],B31)</f>
        <v>836</v>
      </c>
      <c r="E31" s="40">
        <f t="shared" si="0"/>
        <v>986</v>
      </c>
      <c r="G31" s="57">
        <v>40566</v>
      </c>
      <c r="H31" s="10">
        <v>1156.2528309445991</v>
      </c>
      <c r="J31" s="10"/>
      <c r="K31" s="10"/>
      <c r="M31" s="12"/>
      <c r="P31" s="12"/>
    </row>
    <row r="32" spans="2:16" ht="18.45">
      <c r="B32" s="54">
        <v>40567</v>
      </c>
      <c r="C32" s="52">
        <f>SUMIFS(Cleaned_datasetB[Casual_Rentals],Cleaned_datasetB[Date],B32)</f>
        <v>86</v>
      </c>
      <c r="D32" s="52">
        <f>SUMIFS(Cleaned_datasetB[Registered_Rentals],Cleaned_datasetB[Date],B32)</f>
        <v>1330</v>
      </c>
      <c r="E32" s="40">
        <f t="shared" si="0"/>
        <v>1416</v>
      </c>
      <c r="G32" s="57">
        <v>40567</v>
      </c>
      <c r="H32" s="10">
        <v>1360.7783372651263</v>
      </c>
      <c r="J32" s="10"/>
      <c r="K32" s="10"/>
      <c r="N32" s="62" t="s">
        <v>184</v>
      </c>
      <c r="O32" s="62" t="s">
        <v>185</v>
      </c>
    </row>
    <row r="33" spans="2:16" ht="15.9">
      <c r="B33" s="54">
        <v>40568</v>
      </c>
      <c r="C33" s="52">
        <f>SUMIFS(Cleaned_datasetB[Casual_Rentals],Cleaned_datasetB[Date],B33)</f>
        <v>186</v>
      </c>
      <c r="D33" s="52">
        <f>SUMIFS(Cleaned_datasetB[Registered_Rentals],Cleaned_datasetB[Date],B33)</f>
        <v>1799</v>
      </c>
      <c r="E33" s="40">
        <f t="shared" si="0"/>
        <v>1985</v>
      </c>
      <c r="G33" s="57">
        <v>40568</v>
      </c>
      <c r="H33" s="10">
        <v>1336.9265557508222</v>
      </c>
      <c r="J33" s="10"/>
      <c r="K33" s="10"/>
      <c r="N33" s="63" t="s">
        <v>186</v>
      </c>
      <c r="O33" s="63" t="s">
        <v>183</v>
      </c>
    </row>
    <row r="34" spans="2:16" ht="14.6" customHeight="1">
      <c r="B34" s="54">
        <v>40569</v>
      </c>
      <c r="C34" s="52">
        <f>SUMIFS(Cleaned_datasetB[Casual_Rentals],Cleaned_datasetB[Date],B34)</f>
        <v>34</v>
      </c>
      <c r="D34" s="52">
        <f>SUMIFS(Cleaned_datasetB[Registered_Rentals],Cleaned_datasetB[Date],B34)</f>
        <v>472</v>
      </c>
      <c r="E34" s="40">
        <f t="shared" si="0"/>
        <v>506</v>
      </c>
      <c r="G34" s="57">
        <v>40569</v>
      </c>
      <c r="H34" s="10">
        <v>1431.8570197264094</v>
      </c>
      <c r="J34" s="10"/>
      <c r="K34" s="10"/>
      <c r="N34" s="64" t="s">
        <v>187</v>
      </c>
      <c r="O34" s="64" t="s">
        <v>194</v>
      </c>
    </row>
    <row r="35" spans="2:16" ht="15.9">
      <c r="B35" s="54">
        <v>40570</v>
      </c>
      <c r="C35" s="52">
        <f>SUMIFS(Cleaned_datasetB[Casual_Rentals],Cleaned_datasetB[Date],B35)</f>
        <v>15</v>
      </c>
      <c r="D35" s="52">
        <f>SUMIFS(Cleaned_datasetB[Registered_Rentals],Cleaned_datasetB[Date],B35)</f>
        <v>416</v>
      </c>
      <c r="E35" s="40">
        <f t="shared" si="0"/>
        <v>431</v>
      </c>
      <c r="G35" s="57">
        <v>40570</v>
      </c>
      <c r="H35" s="10">
        <v>1539.5626597409371</v>
      </c>
      <c r="J35" s="10"/>
      <c r="K35" s="10"/>
      <c r="N35" s="63" t="s">
        <v>188</v>
      </c>
      <c r="O35" s="63" t="s">
        <v>189</v>
      </c>
    </row>
    <row r="36" spans="2:16" ht="16.3" thickBot="1">
      <c r="B36" s="54">
        <v>40571</v>
      </c>
      <c r="C36" s="52">
        <f>SUMIFS(Cleaned_datasetB[Casual_Rentals],Cleaned_datasetB[Date],B36)</f>
        <v>38</v>
      </c>
      <c r="D36" s="52">
        <f>SUMIFS(Cleaned_datasetB[Registered_Rentals],Cleaned_datasetB[Date],B36)</f>
        <v>1129</v>
      </c>
      <c r="E36" s="40">
        <f t="shared" si="0"/>
        <v>1167</v>
      </c>
      <c r="G36" s="57">
        <v>40571</v>
      </c>
      <c r="H36" s="10">
        <v>1544.1804797174643</v>
      </c>
      <c r="J36" s="10"/>
      <c r="K36" s="10"/>
      <c r="N36" s="65" t="s">
        <v>190</v>
      </c>
      <c r="O36" s="65" t="s">
        <v>191</v>
      </c>
    </row>
    <row r="37" spans="2:16" ht="15" thickBot="1">
      <c r="B37" s="54">
        <v>40572</v>
      </c>
      <c r="C37" s="52">
        <f>SUMIFS(Cleaned_datasetB[Casual_Rentals],Cleaned_datasetB[Date],B37)</f>
        <v>123</v>
      </c>
      <c r="D37" s="52">
        <f>SUMIFS(Cleaned_datasetB[Registered_Rentals],Cleaned_datasetB[Date],B37)</f>
        <v>975</v>
      </c>
      <c r="E37" s="40">
        <f t="shared" si="0"/>
        <v>1098</v>
      </c>
      <c r="G37" s="57">
        <v>40572</v>
      </c>
      <c r="H37" s="10">
        <v>1149.7580732684733</v>
      </c>
      <c r="J37" s="10"/>
      <c r="K37" s="10"/>
      <c r="N37" s="66" t="s">
        <v>199</v>
      </c>
      <c r="O37" s="66" t="str">
        <f>TEXT((1500.49-1295.64)/1295.64,"0.00%")&amp;" increase"</f>
        <v>15.81% increase</v>
      </c>
    </row>
    <row r="38" spans="2:16">
      <c r="B38" s="54">
        <v>40573</v>
      </c>
      <c r="C38" s="52">
        <f>SUMIFS(Cleaned_datasetB[Casual_Rentals],Cleaned_datasetB[Date],B38)</f>
        <v>140</v>
      </c>
      <c r="D38" s="52">
        <f>SUMIFS(Cleaned_datasetB[Registered_Rentals],Cleaned_datasetB[Date],B38)</f>
        <v>956</v>
      </c>
      <c r="E38" s="40">
        <f t="shared" si="0"/>
        <v>1096</v>
      </c>
      <c r="G38" s="57">
        <v>40573</v>
      </c>
      <c r="H38" s="10">
        <v>1199.0402239078126</v>
      </c>
      <c r="J38" s="10"/>
      <c r="K38" s="10"/>
    </row>
    <row r="39" spans="2:16">
      <c r="B39" s="54">
        <v>40574</v>
      </c>
      <c r="C39" s="52">
        <f>SUMIFS(Cleaned_datasetB[Casual_Rentals],Cleaned_datasetB[Date],B39)</f>
        <v>42</v>
      </c>
      <c r="D39" s="52">
        <f>SUMIFS(Cleaned_datasetB[Registered_Rentals],Cleaned_datasetB[Date],B39)</f>
        <v>1459</v>
      </c>
      <c r="E39" s="40">
        <f>C39+D39</f>
        <v>1501</v>
      </c>
      <c r="G39" s="57">
        <v>40574</v>
      </c>
      <c r="H39" s="10">
        <v>1403.56573022834</v>
      </c>
      <c r="J39" s="10"/>
      <c r="K39" s="10"/>
      <c r="M39" s="106" t="s">
        <v>315</v>
      </c>
      <c r="N39" s="106"/>
      <c r="O39" s="106"/>
      <c r="P39" s="106"/>
    </row>
    <row r="40" spans="2:16">
      <c r="B40" s="54">
        <v>40575</v>
      </c>
      <c r="C40" s="52">
        <f>SUMIFS(Cleaned_datasetB[Casual_Rentals],Cleaned_datasetB[Date],B40)</f>
        <v>47</v>
      </c>
      <c r="D40" s="52">
        <f>SUMIFS(Cleaned_datasetB[Registered_Rentals],Cleaned_datasetB[Date],B40)</f>
        <v>1313</v>
      </c>
      <c r="E40" s="40">
        <f t="shared" si="0"/>
        <v>1360</v>
      </c>
      <c r="G40" s="57">
        <v>40575</v>
      </c>
      <c r="H40" s="10">
        <v>1379.713948714036</v>
      </c>
      <c r="J40" s="10"/>
      <c r="K40" s="10"/>
      <c r="M40" s="106"/>
      <c r="N40" s="106"/>
      <c r="O40" s="106"/>
      <c r="P40" s="106"/>
    </row>
    <row r="41" spans="2:16">
      <c r="B41" s="54">
        <v>40576</v>
      </c>
      <c r="C41" s="52">
        <f>SUMIFS(Cleaned_datasetB[Casual_Rentals],Cleaned_datasetB[Date],B41)</f>
        <v>72</v>
      </c>
      <c r="D41" s="52">
        <f>SUMIFS(Cleaned_datasetB[Registered_Rentals],Cleaned_datasetB[Date],B41)</f>
        <v>1454</v>
      </c>
      <c r="E41" s="40">
        <f t="shared" si="0"/>
        <v>1526</v>
      </c>
      <c r="G41" s="57">
        <v>40576</v>
      </c>
      <c r="H41" s="10">
        <v>1474.6444126896229</v>
      </c>
      <c r="J41" s="10"/>
      <c r="K41" s="10"/>
      <c r="P41" s="51"/>
    </row>
    <row r="42" spans="2:16">
      <c r="B42" s="54">
        <v>40577</v>
      </c>
      <c r="C42" s="52">
        <f>SUMIFS(Cleaned_datasetB[Casual_Rentals],Cleaned_datasetB[Date],B42)</f>
        <v>61</v>
      </c>
      <c r="D42" s="52">
        <f>SUMIFS(Cleaned_datasetB[Registered_Rentals],Cleaned_datasetB[Date],B42)</f>
        <v>1489</v>
      </c>
      <c r="E42" s="40">
        <f t="shared" si="0"/>
        <v>1550</v>
      </c>
      <c r="G42" s="57">
        <v>40577</v>
      </c>
      <c r="H42" s="10">
        <v>1582.3500527041506</v>
      </c>
      <c r="J42" s="10"/>
      <c r="K42" s="10"/>
    </row>
    <row r="43" spans="2:16">
      <c r="B43" s="54">
        <v>40578</v>
      </c>
      <c r="C43" s="52">
        <f>SUMIFS(Cleaned_datasetB[Casual_Rentals],Cleaned_datasetB[Date],B43)</f>
        <v>88</v>
      </c>
      <c r="D43" s="52">
        <f>SUMIFS(Cleaned_datasetB[Registered_Rentals],Cleaned_datasetB[Date],B43)</f>
        <v>1620</v>
      </c>
      <c r="E43" s="40">
        <f t="shared" si="0"/>
        <v>1708</v>
      </c>
      <c r="G43" s="57">
        <v>40578</v>
      </c>
      <c r="H43" s="10">
        <v>1586.9678726806778</v>
      </c>
      <c r="J43" s="10"/>
      <c r="K43" s="10"/>
      <c r="M43" s="51"/>
    </row>
    <row r="44" spans="2:16">
      <c r="B44" s="54">
        <v>40579</v>
      </c>
      <c r="C44" s="52">
        <f>SUMIFS(Cleaned_datasetB[Casual_Rentals],Cleaned_datasetB[Date],B44)</f>
        <v>100</v>
      </c>
      <c r="D44" s="52">
        <f>SUMIFS(Cleaned_datasetB[Registered_Rentals],Cleaned_datasetB[Date],B44)</f>
        <v>905</v>
      </c>
      <c r="E44" s="40">
        <f t="shared" si="0"/>
        <v>1005</v>
      </c>
      <c r="G44" s="57">
        <v>40579</v>
      </c>
      <c r="H44" s="10">
        <v>1192.5454662316868</v>
      </c>
      <c r="J44" s="10"/>
      <c r="K44" s="10"/>
    </row>
    <row r="45" spans="2:16">
      <c r="B45" s="54">
        <v>40580</v>
      </c>
      <c r="C45" s="52">
        <f>SUMIFS(Cleaned_datasetB[Casual_Rentals],Cleaned_datasetB[Date],B45)</f>
        <v>354</v>
      </c>
      <c r="D45" s="52">
        <f>SUMIFS(Cleaned_datasetB[Registered_Rentals],Cleaned_datasetB[Date],B45)</f>
        <v>1269</v>
      </c>
      <c r="E45" s="40">
        <f t="shared" si="0"/>
        <v>1623</v>
      </c>
      <c r="G45" s="57">
        <v>40580</v>
      </c>
      <c r="H45" s="10">
        <v>1241.8276168710263</v>
      </c>
      <c r="J45" s="10"/>
      <c r="K45" s="10"/>
    </row>
    <row r="46" spans="2:16">
      <c r="B46" s="54">
        <v>40581</v>
      </c>
      <c r="C46" s="52">
        <f>SUMIFS(Cleaned_datasetB[Casual_Rentals],Cleaned_datasetB[Date],B46)</f>
        <v>120</v>
      </c>
      <c r="D46" s="52">
        <f>SUMIFS(Cleaned_datasetB[Registered_Rentals],Cleaned_datasetB[Date],B46)</f>
        <v>1592</v>
      </c>
      <c r="E46" s="40">
        <f t="shared" si="0"/>
        <v>1712</v>
      </c>
      <c r="G46" s="57">
        <v>40581</v>
      </c>
      <c r="H46" s="10">
        <v>1446.3531231915535</v>
      </c>
      <c r="J46" s="10"/>
      <c r="K46" s="10"/>
    </row>
    <row r="47" spans="2:16">
      <c r="B47" s="54">
        <v>40582</v>
      </c>
      <c r="C47" s="52">
        <f>SUMIFS(Cleaned_datasetB[Casual_Rentals],Cleaned_datasetB[Date],B47)</f>
        <v>64</v>
      </c>
      <c r="D47" s="52">
        <f>SUMIFS(Cleaned_datasetB[Registered_Rentals],Cleaned_datasetB[Date],B47)</f>
        <v>1466</v>
      </c>
      <c r="E47" s="40">
        <f t="shared" si="0"/>
        <v>1530</v>
      </c>
      <c r="G47" s="57">
        <v>40582</v>
      </c>
      <c r="H47" s="10">
        <v>1422.5013416772495</v>
      </c>
      <c r="J47" s="10"/>
      <c r="K47" s="10"/>
    </row>
    <row r="48" spans="2:16">
      <c r="B48" s="54">
        <v>40583</v>
      </c>
      <c r="C48" s="52">
        <f>SUMIFS(Cleaned_datasetB[Casual_Rentals],Cleaned_datasetB[Date],B48)</f>
        <v>53</v>
      </c>
      <c r="D48" s="52">
        <f>SUMIFS(Cleaned_datasetB[Registered_Rentals],Cleaned_datasetB[Date],B48)</f>
        <v>1552</v>
      </c>
      <c r="E48" s="40">
        <f t="shared" si="0"/>
        <v>1605</v>
      </c>
      <c r="G48" s="57">
        <v>40583</v>
      </c>
      <c r="H48" s="10">
        <v>1517.4318056528364</v>
      </c>
      <c r="J48" s="10"/>
      <c r="K48" s="10"/>
    </row>
    <row r="49" spans="2:11">
      <c r="B49" s="54">
        <v>40584</v>
      </c>
      <c r="C49" s="52">
        <f>SUMIFS(Cleaned_datasetB[Casual_Rentals],Cleaned_datasetB[Date],B49)</f>
        <v>47</v>
      </c>
      <c r="D49" s="52">
        <f>SUMIFS(Cleaned_datasetB[Registered_Rentals],Cleaned_datasetB[Date],B49)</f>
        <v>1491</v>
      </c>
      <c r="E49" s="40">
        <f t="shared" si="0"/>
        <v>1538</v>
      </c>
      <c r="G49" s="57">
        <v>40584</v>
      </c>
      <c r="H49" s="10">
        <v>1625.1374456673641</v>
      </c>
      <c r="J49" s="10"/>
      <c r="K49" s="10"/>
    </row>
    <row r="50" spans="2:11">
      <c r="B50" s="54">
        <v>40585</v>
      </c>
      <c r="C50" s="52">
        <f>SUMIFS(Cleaned_datasetB[Casual_Rentals],Cleaned_datasetB[Date],B50)</f>
        <v>149</v>
      </c>
      <c r="D50" s="52">
        <f>SUMIFS(Cleaned_datasetB[Registered_Rentals],Cleaned_datasetB[Date],B50)</f>
        <v>1597</v>
      </c>
      <c r="E50" s="40">
        <f t="shared" si="0"/>
        <v>1746</v>
      </c>
      <c r="G50" s="57">
        <v>40585</v>
      </c>
      <c r="H50" s="10">
        <v>1629.7552656438916</v>
      </c>
      <c r="J50" s="10"/>
      <c r="K50" s="10"/>
    </row>
    <row r="51" spans="2:11">
      <c r="B51" s="54">
        <v>40586</v>
      </c>
      <c r="C51" s="52">
        <f>SUMIFS(Cleaned_datasetB[Casual_Rentals],Cleaned_datasetB[Date],B51)</f>
        <v>288</v>
      </c>
      <c r="D51" s="52">
        <f>SUMIFS(Cleaned_datasetB[Registered_Rentals],Cleaned_datasetB[Date],B51)</f>
        <v>1184</v>
      </c>
      <c r="E51" s="40">
        <f t="shared" si="0"/>
        <v>1472</v>
      </c>
      <c r="G51" s="57">
        <v>40586</v>
      </c>
      <c r="H51" s="10">
        <v>1235.3328591949005</v>
      </c>
      <c r="J51" s="10"/>
      <c r="K51" s="10"/>
    </row>
    <row r="52" spans="2:11">
      <c r="B52" s="54">
        <v>40587</v>
      </c>
      <c r="C52" s="52">
        <f>SUMIFS(Cleaned_datasetB[Casual_Rentals],Cleaned_datasetB[Date],B52)</f>
        <v>397</v>
      </c>
      <c r="D52" s="52">
        <f>SUMIFS(Cleaned_datasetB[Registered_Rentals],Cleaned_datasetB[Date],B52)</f>
        <v>1192</v>
      </c>
      <c r="E52" s="40">
        <f t="shared" si="0"/>
        <v>1589</v>
      </c>
      <c r="G52" s="57">
        <v>40587</v>
      </c>
      <c r="H52" s="10">
        <v>1284.6150098342398</v>
      </c>
      <c r="J52" s="10"/>
      <c r="K52" s="10"/>
    </row>
    <row r="53" spans="2:11">
      <c r="B53" s="54">
        <v>40588</v>
      </c>
      <c r="C53" s="52">
        <f>SUMIFS(Cleaned_datasetB[Casual_Rentals],Cleaned_datasetB[Date],B53)</f>
        <v>8</v>
      </c>
      <c r="D53" s="52">
        <f>SUMIFS(Cleaned_datasetB[Registered_Rentals],Cleaned_datasetB[Date],B53)</f>
        <v>143</v>
      </c>
      <c r="E53" s="40">
        <f t="shared" si="0"/>
        <v>151</v>
      </c>
      <c r="G53" s="57">
        <v>40588</v>
      </c>
      <c r="H53" s="10">
        <v>1489.1405161547671</v>
      </c>
      <c r="J53" s="10"/>
      <c r="K53" s="10"/>
    </row>
    <row r="54" spans="2:11">
      <c r="G54" s="57">
        <v>40589</v>
      </c>
      <c r="H54" s="10">
        <v>1465.288734640463</v>
      </c>
      <c r="J54" s="10"/>
      <c r="K54" s="10"/>
    </row>
    <row r="55" spans="2:11">
      <c r="G55" s="57">
        <v>40590</v>
      </c>
      <c r="H55" s="10">
        <v>1560.2191986160501</v>
      </c>
      <c r="J55" s="10"/>
      <c r="K55" s="10"/>
    </row>
    <row r="56" spans="2:11">
      <c r="G56" s="57">
        <v>40591</v>
      </c>
      <c r="H56" s="10">
        <v>1667.9248386305778</v>
      </c>
      <c r="J56" s="10"/>
      <c r="K56" s="10"/>
    </row>
    <row r="57" spans="2:11">
      <c r="G57" s="57">
        <v>40592</v>
      </c>
      <c r="H57" s="10">
        <v>1672.5426586071051</v>
      </c>
      <c r="J57" s="10"/>
      <c r="K57" s="10"/>
    </row>
    <row r="58" spans="2:11">
      <c r="G58" s="57">
        <v>40593</v>
      </c>
      <c r="H58" s="10">
        <v>1278.120252158114</v>
      </c>
      <c r="J58" s="10"/>
      <c r="K58" s="10"/>
    </row>
    <row r="59" spans="2:11">
      <c r="G59" s="57">
        <v>40594</v>
      </c>
      <c r="H59" s="10">
        <v>1327.4024027974533</v>
      </c>
      <c r="J59" s="10"/>
      <c r="K59" s="10"/>
    </row>
    <row r="60" spans="2:11">
      <c r="G60" s="57">
        <v>40595</v>
      </c>
      <c r="H60" s="10">
        <v>1531.9279091179808</v>
      </c>
      <c r="I60">
        <v>1531.9279091179808</v>
      </c>
      <c r="J60" s="58">
        <v>1531.9279091179808</v>
      </c>
      <c r="K60" s="58">
        <v>1531.9279091179808</v>
      </c>
    </row>
    <row r="61" spans="2:11">
      <c r="G61" s="57">
        <v>40596</v>
      </c>
      <c r="H61" s="10"/>
      <c r="I61">
        <f>_xlfn.FORECAST.ETS(G61,$H$9:$H$60,$G$9:$G$60,1,1)</f>
        <v>1508.0761276036767</v>
      </c>
      <c r="J61" s="58">
        <v>1508.0761276036765</v>
      </c>
      <c r="K61" s="58">
        <v>1508.0761276036769</v>
      </c>
    </row>
    <row r="62" spans="2:11">
      <c r="G62" s="57">
        <v>40597</v>
      </c>
      <c r="H62" s="10"/>
      <c r="I62">
        <f t="shared" ref="I62:I74" si="1">_xlfn.FORECAST.ETS(G62,$H$9:$H$60,$G$9:$G$60,1,1)</f>
        <v>1603.0065915792636</v>
      </c>
      <c r="J62" s="58">
        <v>1603.0065915792634</v>
      </c>
      <c r="K62" s="58">
        <v>1603.0065915792638</v>
      </c>
    </row>
    <row r="63" spans="2:11">
      <c r="G63" s="57">
        <v>40598</v>
      </c>
      <c r="H63" s="10"/>
      <c r="I63">
        <f t="shared" si="1"/>
        <v>1710.7122315937913</v>
      </c>
      <c r="J63" s="58">
        <v>1710.7122315937911</v>
      </c>
      <c r="K63" s="58">
        <v>1710.7122315937916</v>
      </c>
    </row>
    <row r="64" spans="2:11">
      <c r="G64" s="57">
        <v>40599</v>
      </c>
      <c r="H64" s="10"/>
      <c r="I64">
        <f t="shared" si="1"/>
        <v>1715.3300515703186</v>
      </c>
      <c r="J64" s="58">
        <v>1715.3300515703181</v>
      </c>
      <c r="K64" s="58">
        <v>1715.330051570319</v>
      </c>
    </row>
    <row r="65" spans="7:11">
      <c r="G65" s="57">
        <v>40600</v>
      </c>
      <c r="H65" s="10"/>
      <c r="I65">
        <f t="shared" si="1"/>
        <v>1320.9076451213273</v>
      </c>
      <c r="J65" s="58">
        <v>1320.9076451213268</v>
      </c>
      <c r="K65" s="58">
        <v>1320.9076451213277</v>
      </c>
    </row>
    <row r="66" spans="7:11">
      <c r="G66" s="57">
        <v>40601</v>
      </c>
      <c r="H66" s="10"/>
      <c r="I66">
        <f t="shared" si="1"/>
        <v>1370.1897957606668</v>
      </c>
      <c r="J66" s="58">
        <v>1370.1897957606664</v>
      </c>
      <c r="K66" s="58">
        <v>1370.1897957606673</v>
      </c>
    </row>
    <row r="67" spans="7:11">
      <c r="G67" s="57">
        <v>40602</v>
      </c>
      <c r="H67" s="10"/>
      <c r="I67">
        <f t="shared" si="1"/>
        <v>1574.7153020811941</v>
      </c>
      <c r="J67" s="58">
        <v>1574.7153020811936</v>
      </c>
      <c r="K67" s="58">
        <v>1574.7153020811945</v>
      </c>
    </row>
    <row r="68" spans="7:11">
      <c r="G68" s="57">
        <v>40603</v>
      </c>
      <c r="H68" s="10"/>
      <c r="I68">
        <f t="shared" si="1"/>
        <v>1550.86352056689</v>
      </c>
      <c r="J68" s="58">
        <v>1550.8635205668895</v>
      </c>
      <c r="K68" s="58">
        <v>1550.8635205668904</v>
      </c>
    </row>
    <row r="69" spans="7:11">
      <c r="G69" s="57">
        <v>40604</v>
      </c>
      <c r="H69" s="10"/>
      <c r="I69">
        <f t="shared" si="1"/>
        <v>1645.7939845424769</v>
      </c>
      <c r="J69" s="58">
        <v>1645.7939845424764</v>
      </c>
      <c r="K69" s="58">
        <v>1645.7939845424773</v>
      </c>
    </row>
    <row r="70" spans="7:11">
      <c r="G70" s="57">
        <v>40605</v>
      </c>
      <c r="H70" s="10"/>
      <c r="I70">
        <f t="shared" si="1"/>
        <v>1753.4996245570046</v>
      </c>
      <c r="J70" s="58">
        <v>1753.4996245570042</v>
      </c>
      <c r="K70" s="58">
        <v>1753.4996245570051</v>
      </c>
    </row>
    <row r="71" spans="7:11">
      <c r="G71" s="57">
        <v>40606</v>
      </c>
      <c r="H71" s="10"/>
      <c r="I71">
        <f t="shared" si="1"/>
        <v>1758.1174445335319</v>
      </c>
      <c r="J71" s="58">
        <v>1758.1174445335312</v>
      </c>
      <c r="K71" s="58">
        <v>1758.1174445335325</v>
      </c>
    </row>
    <row r="72" spans="7:11">
      <c r="G72" s="57">
        <v>40607</v>
      </c>
      <c r="H72" s="10"/>
      <c r="I72">
        <f t="shared" si="1"/>
        <v>1363.6950380845406</v>
      </c>
      <c r="J72" s="58">
        <v>1363.6950380845399</v>
      </c>
      <c r="K72" s="58">
        <v>1363.6950380845412</v>
      </c>
    </row>
    <row r="73" spans="7:11">
      <c r="G73" s="57">
        <v>40608</v>
      </c>
      <c r="H73" s="10"/>
      <c r="I73">
        <f t="shared" si="1"/>
        <v>1412.9771887238801</v>
      </c>
      <c r="J73" s="58">
        <v>1412.9771887238794</v>
      </c>
      <c r="K73" s="58">
        <v>1412.9771887238808</v>
      </c>
    </row>
    <row r="74" spans="7:11">
      <c r="G74" s="57">
        <v>40609</v>
      </c>
      <c r="H74" s="10"/>
      <c r="I74">
        <f t="shared" si="1"/>
        <v>1617.5026950444073</v>
      </c>
      <c r="J74" s="58">
        <v>1617.5026950444067</v>
      </c>
      <c r="K74" s="58">
        <v>1617.502695044408</v>
      </c>
    </row>
  </sheetData>
  <mergeCells count="6">
    <mergeCell ref="B2:O4"/>
    <mergeCell ref="G6:K6"/>
    <mergeCell ref="M6:P6"/>
    <mergeCell ref="M39:P40"/>
    <mergeCell ref="B6:E6"/>
    <mergeCell ref="M30:P30"/>
  </mergeCells>
  <conditionalFormatting sqref="I9:I74">
    <cfRule type="colorScale" priority="1">
      <colorScale>
        <cfvo type="min"/>
        <cfvo type="percentile" val="50"/>
        <cfvo type="max"/>
        <color rgb="FF5A8AC6"/>
        <color rgb="FFFCFCFF"/>
        <color rgb="FFF8696B"/>
      </colorScale>
    </cfRule>
  </conditionalFormatting>
  <pageMargins left="0.7" right="0.7" top="0.75" bottom="0.75" header="0.3" footer="0.3"/>
  <ignoredErrors>
    <ignoredError sqref="J62:K74 J60:K60 J61:K61" calculatedColumn="1"/>
  </ignoredErrors>
  <drawing r:id="rId1"/>
  <tableParts count="1">
    <tablePart r:id="rId2"/>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F4BBB9-74FF-4CDC-B625-8507FBB70BE8}">
  <dimension ref="B2:O64"/>
  <sheetViews>
    <sheetView topLeftCell="A7" zoomScale="104" workbookViewId="0">
      <selection activeCell="I19" sqref="I19"/>
    </sheetView>
  </sheetViews>
  <sheetFormatPr defaultRowHeight="14.6"/>
  <cols>
    <col min="2" max="2" width="19.3046875" customWidth="1"/>
    <col min="3" max="3" width="17.3046875" bestFit="1" customWidth="1"/>
    <col min="4" max="4" width="15.921875" customWidth="1"/>
    <col min="5" max="5" width="13.53515625" customWidth="1"/>
    <col min="6" max="6" width="15.23046875" bestFit="1" customWidth="1"/>
    <col min="10" max="10" width="14.84375" bestFit="1" customWidth="1"/>
    <col min="14" max="14" width="11.4609375" bestFit="1" customWidth="1"/>
    <col min="15" max="15" width="15.3046875" bestFit="1" customWidth="1"/>
  </cols>
  <sheetData>
    <row r="2" spans="2:15" ht="14.6" customHeight="1">
      <c r="C2" s="136" t="s">
        <v>262</v>
      </c>
      <c r="D2" s="136"/>
      <c r="E2" s="136"/>
      <c r="F2" s="136"/>
      <c r="G2" s="136"/>
      <c r="H2" s="136"/>
      <c r="I2" s="136"/>
      <c r="J2" s="136"/>
      <c r="K2" s="136"/>
      <c r="L2" s="136"/>
      <c r="M2" s="136"/>
      <c r="N2" s="136"/>
    </row>
    <row r="3" spans="2:15" ht="14.6" customHeight="1">
      <c r="C3" s="136"/>
      <c r="D3" s="136"/>
      <c r="E3" s="136"/>
      <c r="F3" s="136"/>
      <c r="G3" s="136"/>
      <c r="H3" s="136"/>
      <c r="I3" s="136"/>
      <c r="J3" s="136"/>
      <c r="K3" s="136"/>
      <c r="L3" s="136"/>
      <c r="M3" s="136"/>
      <c r="N3" s="136"/>
    </row>
    <row r="4" spans="2:15" ht="14.6" customHeight="1">
      <c r="C4" s="136"/>
      <c r="D4" s="136"/>
      <c r="E4" s="136"/>
      <c r="F4" s="136"/>
      <c r="G4" s="136"/>
      <c r="H4" s="136"/>
      <c r="I4" s="136"/>
      <c r="J4" s="136"/>
      <c r="K4" s="136"/>
      <c r="L4" s="136"/>
      <c r="M4" s="136"/>
      <c r="N4" s="136"/>
    </row>
    <row r="6" spans="2:15" ht="17.149999999999999" thickBot="1">
      <c r="B6" s="137" t="s">
        <v>281</v>
      </c>
      <c r="C6" s="137"/>
      <c r="D6" s="137"/>
      <c r="F6" s="134" t="s">
        <v>280</v>
      </c>
      <c r="G6" s="134"/>
      <c r="H6" s="134"/>
      <c r="J6" s="138" t="s">
        <v>282</v>
      </c>
      <c r="K6" s="138"/>
      <c r="L6" s="138"/>
    </row>
    <row r="7" spans="2:15" ht="15.45" thickTop="1" thickBot="1"/>
    <row r="8" spans="2:15" ht="15.45" thickTop="1" thickBot="1">
      <c r="B8" s="78" t="s">
        <v>263</v>
      </c>
      <c r="C8" s="78" t="s">
        <v>185</v>
      </c>
      <c r="H8" s="35"/>
      <c r="J8" s="78" t="s">
        <v>55</v>
      </c>
      <c r="K8" s="79" t="s">
        <v>274</v>
      </c>
      <c r="L8" s="79" t="s">
        <v>275</v>
      </c>
      <c r="M8" s="79" t="s">
        <v>30</v>
      </c>
      <c r="N8" s="78" t="s">
        <v>276</v>
      </c>
      <c r="O8" s="78" t="s">
        <v>277</v>
      </c>
    </row>
    <row r="9" spans="2:15" ht="15" thickBot="1">
      <c r="B9" s="72" t="s">
        <v>264</v>
      </c>
      <c r="C9" s="73">
        <f>COUNT(Forecast!E9:E53)</f>
        <v>45</v>
      </c>
      <c r="F9" s="78" t="s">
        <v>263</v>
      </c>
      <c r="G9" s="78" t="s">
        <v>85</v>
      </c>
      <c r="H9" s="49"/>
      <c r="J9" s="75">
        <f>Forecast!B9</f>
        <v>40544</v>
      </c>
      <c r="K9" s="76">
        <f>Forecast!C9</f>
        <v>331</v>
      </c>
      <c r="L9" s="76">
        <f>Forecast!D9</f>
        <v>654</v>
      </c>
      <c r="M9" s="76">
        <f>Forecast!E9</f>
        <v>985</v>
      </c>
      <c r="N9" s="73" t="str">
        <f>IF(M9&lt;$G$13,"Low Anomaly",IF(M9&gt;$G$14,"High Anomaly","Normal"))</f>
        <v>Normal</v>
      </c>
      <c r="O9" s="73" t="str">
        <f>IF(N9="Normal","","Hourly records: "&amp;COUNTIFS(Cleaned_datasetB[Date],"&gt;="&amp;J9,Cleaned_datasetB[Date],"&lt;"&amp;(J9+1)))</f>
        <v/>
      </c>
    </row>
    <row r="10" spans="2:15" ht="15" thickBot="1">
      <c r="B10" s="72" t="s">
        <v>265</v>
      </c>
      <c r="C10" s="73">
        <f>AVERAGE(Forecast!E9:E53)</f>
        <v>1295.6444444444444</v>
      </c>
      <c r="F10" s="72" t="s">
        <v>267</v>
      </c>
      <c r="G10" s="73">
        <f>_xlfn.QUARTILE.INC(Forecast!E9:E53,1)</f>
        <v>1005</v>
      </c>
      <c r="H10" s="49"/>
      <c r="J10" s="75">
        <f>Forecast!B10</f>
        <v>40545</v>
      </c>
      <c r="K10" s="76">
        <f>Forecast!C10</f>
        <v>131</v>
      </c>
      <c r="L10" s="76">
        <f>Forecast!D10</f>
        <v>670</v>
      </c>
      <c r="M10" s="76">
        <f>Forecast!E10</f>
        <v>801</v>
      </c>
      <c r="N10" s="73" t="str">
        <f t="shared" ref="N10:N53" si="0">IF(M10&lt;$G$13,"Low Anomaly",IF(M10&gt;$G$14,"High Anomaly","Normal"))</f>
        <v>Normal</v>
      </c>
      <c r="O10" s="73" t="str">
        <f>IF(N10="Normal","","Hourly records: "&amp;COUNTIFS(Cleaned_datasetB[Date],"&gt;="&amp;J10,Cleaned_datasetB[Date],"&lt;"&amp;(J10+1)))</f>
        <v/>
      </c>
    </row>
    <row r="11" spans="2:15" ht="15" thickBot="1">
      <c r="B11" s="72" t="s">
        <v>266</v>
      </c>
      <c r="C11" s="73">
        <f>MEDIAN(Forecast!E9:E53)</f>
        <v>1406</v>
      </c>
      <c r="F11" s="72" t="s">
        <v>268</v>
      </c>
      <c r="G11" s="73">
        <f>_xlfn.QUARTILE.INC(Forecast!E9:E53,3)</f>
        <v>1562</v>
      </c>
      <c r="H11" s="49"/>
      <c r="J11" s="75">
        <f>Forecast!B11</f>
        <v>40546</v>
      </c>
      <c r="K11" s="76">
        <f>Forecast!C11</f>
        <v>120</v>
      </c>
      <c r="L11" s="76">
        <f>Forecast!D11</f>
        <v>1229</v>
      </c>
      <c r="M11" s="76">
        <f>Forecast!E11</f>
        <v>1349</v>
      </c>
      <c r="N11" s="73" t="str">
        <f t="shared" si="0"/>
        <v>Normal</v>
      </c>
      <c r="O11" s="73" t="str">
        <f>IF(N11="Normal","","Hourly records: "&amp;COUNTIFS(Cleaned_datasetB[Date],"&gt;="&amp;J11,Cleaned_datasetB[Date],"&lt;"&amp;(J11+1)))</f>
        <v/>
      </c>
    </row>
    <row r="12" spans="2:15" ht="15" thickBot="1">
      <c r="B12" s="72" t="s">
        <v>267</v>
      </c>
      <c r="C12" s="73">
        <f>_xlfn.QUARTILE.INC(Forecast!E9:E53,1)</f>
        <v>1005</v>
      </c>
      <c r="F12" s="72" t="s">
        <v>269</v>
      </c>
      <c r="G12" s="73">
        <f>C13-C12</f>
        <v>557</v>
      </c>
      <c r="H12" s="49"/>
      <c r="J12" s="75">
        <f>Forecast!B12</f>
        <v>40547</v>
      </c>
      <c r="K12" s="76">
        <f>Forecast!C12</f>
        <v>108</v>
      </c>
      <c r="L12" s="76">
        <f>Forecast!D12</f>
        <v>1454</v>
      </c>
      <c r="M12" s="76">
        <f>Forecast!E12</f>
        <v>1562</v>
      </c>
      <c r="N12" s="73" t="str">
        <f t="shared" si="0"/>
        <v>Normal</v>
      </c>
      <c r="O12" s="73" t="str">
        <f>IF(N12="Normal","","Hourly records: "&amp;COUNTIFS(Cleaned_datasetB[Date],"&gt;="&amp;J12,Cleaned_datasetB[Date],"&lt;"&amp;(J12+1)))</f>
        <v/>
      </c>
    </row>
    <row r="13" spans="2:15" ht="15" thickBot="1">
      <c r="B13" s="72" t="s">
        <v>268</v>
      </c>
      <c r="C13" s="73">
        <f>_xlfn.QUARTILE.INC(Forecast!E9:E53,3)</f>
        <v>1562</v>
      </c>
      <c r="F13" s="72" t="s">
        <v>272</v>
      </c>
      <c r="G13" s="73">
        <f>G10-(1.5*G12)</f>
        <v>169.5</v>
      </c>
      <c r="H13" s="49"/>
      <c r="J13" s="75">
        <f>Forecast!B13</f>
        <v>40548</v>
      </c>
      <c r="K13" s="76">
        <f>Forecast!C13</f>
        <v>82</v>
      </c>
      <c r="L13" s="76">
        <f>Forecast!D13</f>
        <v>1518</v>
      </c>
      <c r="M13" s="76">
        <f>Forecast!E13</f>
        <v>1600</v>
      </c>
      <c r="N13" s="73" t="str">
        <f t="shared" si="0"/>
        <v>Normal</v>
      </c>
      <c r="O13" s="73" t="str">
        <f>IF(N13="Normal","","Hourly records: "&amp;COUNTIFS(Cleaned_datasetB[Date],"&gt;="&amp;J13,Cleaned_datasetB[Date],"&lt;"&amp;(J13+1)))</f>
        <v/>
      </c>
    </row>
    <row r="14" spans="2:15" ht="15" thickBot="1">
      <c r="B14" s="72" t="s">
        <v>269</v>
      </c>
      <c r="C14" s="73">
        <f>C13-C12</f>
        <v>557</v>
      </c>
      <c r="F14" s="72" t="s">
        <v>273</v>
      </c>
      <c r="G14" s="73">
        <f>G11+(1.5*G12)</f>
        <v>2397.5</v>
      </c>
      <c r="J14" s="75">
        <f>Forecast!B14</f>
        <v>40549</v>
      </c>
      <c r="K14" s="76">
        <f>Forecast!C14</f>
        <v>88</v>
      </c>
      <c r="L14" s="76">
        <f>Forecast!D14</f>
        <v>1518</v>
      </c>
      <c r="M14" s="76">
        <f>Forecast!E14</f>
        <v>1606</v>
      </c>
      <c r="N14" s="73" t="str">
        <f t="shared" si="0"/>
        <v>Normal</v>
      </c>
      <c r="O14" s="73" t="str">
        <f>IF(N14="Normal","","Hourly records: "&amp;COUNTIFS(Cleaned_datasetB[Date],"&gt;="&amp;J14,Cleaned_datasetB[Date],"&lt;"&amp;(J14+1)))</f>
        <v/>
      </c>
    </row>
    <row r="15" spans="2:15" ht="15" thickBot="1">
      <c r="B15" s="72" t="s">
        <v>270</v>
      </c>
      <c r="C15" s="73">
        <f>MIN(Forecast!E9:E53)</f>
        <v>151</v>
      </c>
      <c r="J15" s="75">
        <f>Forecast!B15</f>
        <v>40550</v>
      </c>
      <c r="K15" s="76">
        <f>Forecast!C15</f>
        <v>148</v>
      </c>
      <c r="L15" s="76">
        <f>Forecast!D15</f>
        <v>1362</v>
      </c>
      <c r="M15" s="76">
        <f>Forecast!E15</f>
        <v>1510</v>
      </c>
      <c r="N15" s="73" t="str">
        <f t="shared" si="0"/>
        <v>Normal</v>
      </c>
      <c r="O15" s="73" t="str">
        <f>IF(N15="Normal","","Hourly records: "&amp;COUNTIFS(Cleaned_datasetB[Date],"&gt;="&amp;J15,Cleaned_datasetB[Date],"&lt;"&amp;(J15+1)))</f>
        <v/>
      </c>
    </row>
    <row r="16" spans="2:15" ht="15" thickBot="1">
      <c r="B16" s="72" t="s">
        <v>271</v>
      </c>
      <c r="C16" s="73">
        <f>MAX(Forecast!E9:E53)</f>
        <v>1985</v>
      </c>
      <c r="J16" s="75">
        <f>Forecast!B16</f>
        <v>40551</v>
      </c>
      <c r="K16" s="76">
        <f>Forecast!C16</f>
        <v>68</v>
      </c>
      <c r="L16" s="76">
        <f>Forecast!D16</f>
        <v>891</v>
      </c>
      <c r="M16" s="76">
        <f>Forecast!E16</f>
        <v>959</v>
      </c>
      <c r="N16" s="73" t="str">
        <f t="shared" si="0"/>
        <v>Normal</v>
      </c>
      <c r="O16" s="73" t="str">
        <f>IF(N16="Normal","","Hourly records: "&amp;COUNTIFS(Cleaned_datasetB[Date],"&gt;="&amp;J16,Cleaned_datasetB[Date],"&lt;"&amp;(J16+1)))</f>
        <v/>
      </c>
    </row>
    <row r="17" spans="2:15" ht="15" thickBot="1">
      <c r="J17" s="75">
        <f>Forecast!B17</f>
        <v>40552</v>
      </c>
      <c r="K17" s="76">
        <f>Forecast!C17</f>
        <v>54</v>
      </c>
      <c r="L17" s="76">
        <f>Forecast!D17</f>
        <v>768</v>
      </c>
      <c r="M17" s="76">
        <f>Forecast!E17</f>
        <v>822</v>
      </c>
      <c r="N17" s="73" t="str">
        <f t="shared" si="0"/>
        <v>Normal</v>
      </c>
      <c r="O17" s="73" t="str">
        <f>IF(N17="Normal","","Hourly records: "&amp;COUNTIFS(Cleaned_datasetB[Date],"&gt;="&amp;J17,Cleaned_datasetB[Date],"&lt;"&amp;(J17+1)))</f>
        <v/>
      </c>
    </row>
    <row r="18" spans="2:15" ht="17.149999999999999" thickBot="1">
      <c r="B18" s="134" t="s">
        <v>278</v>
      </c>
      <c r="C18" s="134"/>
      <c r="J18" s="75">
        <f>Forecast!B18</f>
        <v>40553</v>
      </c>
      <c r="K18" s="76">
        <f>Forecast!C18</f>
        <v>41</v>
      </c>
      <c r="L18" s="76">
        <f>Forecast!D18</f>
        <v>1280</v>
      </c>
      <c r="M18" s="76">
        <f>Forecast!E18</f>
        <v>1321</v>
      </c>
      <c r="N18" s="73" t="str">
        <f t="shared" si="0"/>
        <v>Normal</v>
      </c>
      <c r="O18" s="73" t="str">
        <f>IF(N18="Normal","","Hourly records: "&amp;COUNTIFS(Cleaned_datasetB[Date],"&gt;="&amp;J18,Cleaned_datasetB[Date],"&lt;"&amp;(J18+1)))</f>
        <v/>
      </c>
    </row>
    <row r="19" spans="2:15" ht="15.45" thickTop="1" thickBot="1">
      <c r="J19" s="75">
        <f>Forecast!B19</f>
        <v>40554</v>
      </c>
      <c r="K19" s="76">
        <f>Forecast!C19</f>
        <v>43</v>
      </c>
      <c r="L19" s="76">
        <f>Forecast!D19</f>
        <v>1220</v>
      </c>
      <c r="M19" s="76">
        <f>Forecast!E19</f>
        <v>1263</v>
      </c>
      <c r="N19" s="73" t="str">
        <f t="shared" si="0"/>
        <v>Normal</v>
      </c>
      <c r="O19" s="73" t="str">
        <f>IF(N19="Normal","","Hourly records: "&amp;COUNTIFS(Cleaned_datasetB[Date],"&gt;="&amp;J19,Cleaned_datasetB[Date],"&lt;"&amp;(J19+1)))</f>
        <v/>
      </c>
    </row>
    <row r="20" spans="2:15" ht="15" thickBot="1">
      <c r="J20" s="75">
        <f>Forecast!B20</f>
        <v>40555</v>
      </c>
      <c r="K20" s="76">
        <f>Forecast!C20</f>
        <v>25</v>
      </c>
      <c r="L20" s="76">
        <f>Forecast!D20</f>
        <v>1137</v>
      </c>
      <c r="M20" s="76">
        <f>Forecast!E20</f>
        <v>1162</v>
      </c>
      <c r="N20" s="73" t="str">
        <f t="shared" si="0"/>
        <v>Normal</v>
      </c>
      <c r="O20" s="73" t="str">
        <f>IF(N20="Normal","","Hourly records: "&amp;COUNTIFS(Cleaned_datasetB[Date],"&gt;="&amp;J20,Cleaned_datasetB[Date],"&lt;"&amp;(J20+1)))</f>
        <v/>
      </c>
    </row>
    <row r="21" spans="2:15" ht="15" thickBot="1">
      <c r="J21" s="75">
        <f>Forecast!B21</f>
        <v>40556</v>
      </c>
      <c r="K21" s="76">
        <f>Forecast!C21</f>
        <v>38</v>
      </c>
      <c r="L21" s="76">
        <f>Forecast!D21</f>
        <v>1368</v>
      </c>
      <c r="M21" s="76">
        <f>Forecast!E21</f>
        <v>1406</v>
      </c>
      <c r="N21" s="73" t="str">
        <f t="shared" si="0"/>
        <v>Normal</v>
      </c>
      <c r="O21" s="73" t="str">
        <f>IF(N21="Normal","","Hourly records: "&amp;COUNTIFS(Cleaned_datasetB[Date],"&gt;="&amp;J21,Cleaned_datasetB[Date],"&lt;"&amp;(J21+1)))</f>
        <v/>
      </c>
    </row>
    <row r="22" spans="2:15" ht="15" thickBot="1">
      <c r="J22" s="75">
        <f>Forecast!B22</f>
        <v>40557</v>
      </c>
      <c r="K22" s="76">
        <f>Forecast!C22</f>
        <v>54</v>
      </c>
      <c r="L22" s="76">
        <f>Forecast!D22</f>
        <v>1367</v>
      </c>
      <c r="M22" s="76">
        <f>Forecast!E22</f>
        <v>1421</v>
      </c>
      <c r="N22" s="73" t="str">
        <f t="shared" si="0"/>
        <v>Normal</v>
      </c>
      <c r="O22" s="73" t="str">
        <f>IF(N22="Normal","","Hourly records: "&amp;COUNTIFS(Cleaned_datasetB[Date],"&gt;="&amp;J22,Cleaned_datasetB[Date],"&lt;"&amp;(J22+1)))</f>
        <v/>
      </c>
    </row>
    <row r="23" spans="2:15" ht="15" thickBot="1">
      <c r="J23" s="75">
        <f>Forecast!B23</f>
        <v>40558</v>
      </c>
      <c r="K23" s="76">
        <f>Forecast!C23</f>
        <v>222</v>
      </c>
      <c r="L23" s="76">
        <f>Forecast!D23</f>
        <v>1026</v>
      </c>
      <c r="M23" s="76">
        <f>Forecast!E23</f>
        <v>1248</v>
      </c>
      <c r="N23" s="73" t="str">
        <f t="shared" si="0"/>
        <v>Normal</v>
      </c>
      <c r="O23" s="73" t="str">
        <f>IF(N23="Normal","","Hourly records: "&amp;COUNTIFS(Cleaned_datasetB[Date],"&gt;="&amp;J23,Cleaned_datasetB[Date],"&lt;"&amp;(J23+1)))</f>
        <v/>
      </c>
    </row>
    <row r="24" spans="2:15" ht="15" thickBot="1">
      <c r="J24" s="75">
        <f>Forecast!B24</f>
        <v>40559</v>
      </c>
      <c r="K24" s="76">
        <f>Forecast!C24</f>
        <v>251</v>
      </c>
      <c r="L24" s="76">
        <f>Forecast!D24</f>
        <v>953</v>
      </c>
      <c r="M24" s="76">
        <f>Forecast!E24</f>
        <v>1204</v>
      </c>
      <c r="N24" s="73" t="str">
        <f t="shared" si="0"/>
        <v>Normal</v>
      </c>
      <c r="O24" s="73" t="str">
        <f>IF(N24="Normal","","Hourly records: "&amp;COUNTIFS(Cleaned_datasetB[Date],"&gt;="&amp;J24,Cleaned_datasetB[Date],"&lt;"&amp;(J24+1)))</f>
        <v/>
      </c>
    </row>
    <row r="25" spans="2:15" ht="15" thickBot="1">
      <c r="J25" s="75">
        <f>Forecast!B25</f>
        <v>40560</v>
      </c>
      <c r="K25" s="76">
        <f>Forecast!C25</f>
        <v>117</v>
      </c>
      <c r="L25" s="76">
        <f>Forecast!D25</f>
        <v>883</v>
      </c>
      <c r="M25" s="76">
        <f>Forecast!E25</f>
        <v>1000</v>
      </c>
      <c r="N25" s="73" t="str">
        <f t="shared" si="0"/>
        <v>Normal</v>
      </c>
      <c r="O25" s="73" t="str">
        <f>IF(N25="Normal","","Hourly records: "&amp;COUNTIFS(Cleaned_datasetB[Date],"&gt;="&amp;J25,Cleaned_datasetB[Date],"&lt;"&amp;(J25+1)))</f>
        <v/>
      </c>
    </row>
    <row r="26" spans="2:15" ht="15" thickBot="1">
      <c r="J26" s="75">
        <f>Forecast!B26</f>
        <v>40561</v>
      </c>
      <c r="K26" s="76">
        <f>Forecast!C26</f>
        <v>9</v>
      </c>
      <c r="L26" s="76">
        <f>Forecast!D26</f>
        <v>674</v>
      </c>
      <c r="M26" s="76">
        <f>Forecast!E26</f>
        <v>683</v>
      </c>
      <c r="N26" s="73" t="str">
        <f t="shared" si="0"/>
        <v>Normal</v>
      </c>
      <c r="O26" s="73" t="str">
        <f>IF(N26="Normal","","Hourly records: "&amp;COUNTIFS(Cleaned_datasetB[Date],"&gt;="&amp;J26,Cleaned_datasetB[Date],"&lt;"&amp;(J26+1)))</f>
        <v/>
      </c>
    </row>
    <row r="27" spans="2:15" ht="15" thickBot="1">
      <c r="J27" s="75">
        <f>Forecast!B27</f>
        <v>40562</v>
      </c>
      <c r="K27" s="76">
        <f>Forecast!C27</f>
        <v>78</v>
      </c>
      <c r="L27" s="76">
        <f>Forecast!D27</f>
        <v>1572</v>
      </c>
      <c r="M27" s="76">
        <f>Forecast!E27</f>
        <v>1650</v>
      </c>
      <c r="N27" s="73" t="str">
        <f t="shared" si="0"/>
        <v>Normal</v>
      </c>
      <c r="O27" s="73" t="str">
        <f>IF(N27="Normal","","Hourly records: "&amp;COUNTIFS(Cleaned_datasetB[Date],"&gt;="&amp;J27,Cleaned_datasetB[Date],"&lt;"&amp;(J27+1)))</f>
        <v/>
      </c>
    </row>
    <row r="28" spans="2:15" ht="15" thickBot="1">
      <c r="J28" s="75">
        <f>Forecast!B28</f>
        <v>40563</v>
      </c>
      <c r="K28" s="76">
        <f>Forecast!C28</f>
        <v>83</v>
      </c>
      <c r="L28" s="76">
        <f>Forecast!D28</f>
        <v>1844</v>
      </c>
      <c r="M28" s="76">
        <f>Forecast!E28</f>
        <v>1927</v>
      </c>
      <c r="N28" s="73" t="str">
        <f t="shared" si="0"/>
        <v>Normal</v>
      </c>
      <c r="O28" s="73" t="str">
        <f>IF(N28="Normal","","Hourly records: "&amp;COUNTIFS(Cleaned_datasetB[Date],"&gt;="&amp;J28,Cleaned_datasetB[Date],"&lt;"&amp;(J28+1)))</f>
        <v/>
      </c>
    </row>
    <row r="29" spans="2:15" ht="15" thickBot="1">
      <c r="J29" s="75">
        <f>Forecast!B29</f>
        <v>40564</v>
      </c>
      <c r="K29" s="76">
        <f>Forecast!C29</f>
        <v>75</v>
      </c>
      <c r="L29" s="76">
        <f>Forecast!D29</f>
        <v>1468</v>
      </c>
      <c r="M29" s="76">
        <f>Forecast!E29</f>
        <v>1543</v>
      </c>
      <c r="N29" s="73" t="str">
        <f t="shared" si="0"/>
        <v>Normal</v>
      </c>
      <c r="O29" s="73" t="str">
        <f>IF(N29="Normal","","Hourly records: "&amp;COUNTIFS(Cleaned_datasetB[Date],"&gt;="&amp;J29,Cleaned_datasetB[Date],"&lt;"&amp;(J29+1)))</f>
        <v/>
      </c>
    </row>
    <row r="30" spans="2:15" ht="15" thickBot="1">
      <c r="J30" s="75">
        <f>Forecast!B30</f>
        <v>40565</v>
      </c>
      <c r="K30" s="76">
        <f>Forecast!C30</f>
        <v>93</v>
      </c>
      <c r="L30" s="76">
        <f>Forecast!D30</f>
        <v>888</v>
      </c>
      <c r="M30" s="76">
        <f>Forecast!E30</f>
        <v>981</v>
      </c>
      <c r="N30" s="73" t="str">
        <f t="shared" si="0"/>
        <v>Normal</v>
      </c>
      <c r="O30" s="73" t="str">
        <f>IF(N30="Normal","","Hourly records: "&amp;COUNTIFS(Cleaned_datasetB[Date],"&gt;="&amp;J30,Cleaned_datasetB[Date],"&lt;"&amp;(J30+1)))</f>
        <v/>
      </c>
    </row>
    <row r="31" spans="2:15" ht="15" thickBot="1">
      <c r="J31" s="75">
        <f>Forecast!B31</f>
        <v>40566</v>
      </c>
      <c r="K31" s="76">
        <f>Forecast!C31</f>
        <v>150</v>
      </c>
      <c r="L31" s="76">
        <f>Forecast!D31</f>
        <v>836</v>
      </c>
      <c r="M31" s="76">
        <f>Forecast!E31</f>
        <v>986</v>
      </c>
      <c r="N31" s="73" t="str">
        <f t="shared" si="0"/>
        <v>Normal</v>
      </c>
      <c r="O31" s="73" t="str">
        <f>IF(N31="Normal","","Hourly records: "&amp;COUNTIFS(Cleaned_datasetB[Date],"&gt;="&amp;J31,Cleaned_datasetB[Date],"&lt;"&amp;(J31+1)))</f>
        <v/>
      </c>
    </row>
    <row r="32" spans="2:15" ht="15" thickBot="1">
      <c r="J32" s="75">
        <f>Forecast!B32</f>
        <v>40567</v>
      </c>
      <c r="K32" s="76">
        <f>Forecast!C32</f>
        <v>86</v>
      </c>
      <c r="L32" s="76">
        <f>Forecast!D32</f>
        <v>1330</v>
      </c>
      <c r="M32" s="76">
        <f>Forecast!E32</f>
        <v>1416</v>
      </c>
      <c r="N32" s="73" t="str">
        <f t="shared" si="0"/>
        <v>Normal</v>
      </c>
      <c r="O32" s="73" t="str">
        <f>IF(N32="Normal","","Hourly records: "&amp;COUNTIFS(Cleaned_datasetB[Date],"&gt;="&amp;J32,Cleaned_datasetB[Date],"&lt;"&amp;(J32+1)))</f>
        <v/>
      </c>
    </row>
    <row r="33" spans="2:15" ht="15" thickBot="1">
      <c r="B33" s="51"/>
      <c r="J33" s="75">
        <f>Forecast!B33</f>
        <v>40568</v>
      </c>
      <c r="K33" s="76">
        <f>Forecast!C33</f>
        <v>186</v>
      </c>
      <c r="L33" s="76">
        <f>Forecast!D33</f>
        <v>1799</v>
      </c>
      <c r="M33" s="76">
        <f>Forecast!E33</f>
        <v>1985</v>
      </c>
      <c r="N33" s="73" t="str">
        <f t="shared" si="0"/>
        <v>Normal</v>
      </c>
      <c r="O33" s="73" t="str">
        <f>IF(N33="Normal","","Hourly records: "&amp;COUNTIFS(Cleaned_datasetB[Date],"&gt;="&amp;J33,Cleaned_datasetB[Date],"&lt;"&amp;(J33+1)))</f>
        <v/>
      </c>
    </row>
    <row r="34" spans="2:15" ht="17.149999999999999" thickBot="1">
      <c r="B34" s="135" t="s">
        <v>279</v>
      </c>
      <c r="C34" s="135"/>
      <c r="D34" s="135"/>
      <c r="E34" s="135"/>
      <c r="F34" s="135"/>
      <c r="G34" s="135"/>
      <c r="J34" s="75">
        <f>Forecast!B34</f>
        <v>40569</v>
      </c>
      <c r="K34" s="76">
        <f>Forecast!C34</f>
        <v>34</v>
      </c>
      <c r="L34" s="76">
        <f>Forecast!D34</f>
        <v>472</v>
      </c>
      <c r="M34" s="76">
        <f>Forecast!E34</f>
        <v>506</v>
      </c>
      <c r="N34" s="73" t="str">
        <f t="shared" si="0"/>
        <v>Normal</v>
      </c>
      <c r="O34" s="73" t="str">
        <f>IF(N34="Normal","","Hourly records: "&amp;COUNTIFS(Cleaned_datasetB[Date],"&gt;="&amp;J34,Cleaned_datasetB[Date],"&lt;"&amp;(J34+1)))</f>
        <v/>
      </c>
    </row>
    <row r="35" spans="2:15" ht="15.45" thickTop="1" thickBot="1">
      <c r="J35" s="75">
        <f>Forecast!B35</f>
        <v>40570</v>
      </c>
      <c r="K35" s="76">
        <f>Forecast!C35</f>
        <v>15</v>
      </c>
      <c r="L35" s="76">
        <f>Forecast!D35</f>
        <v>416</v>
      </c>
      <c r="M35" s="76">
        <f>Forecast!E35</f>
        <v>431</v>
      </c>
      <c r="N35" s="73" t="str">
        <f t="shared" si="0"/>
        <v>Normal</v>
      </c>
      <c r="O35" s="73" t="str">
        <f>IF(N35="Normal","","Hourly records: "&amp;COUNTIFS(Cleaned_datasetB[Date],"&gt;="&amp;J35,Cleaned_datasetB[Date],"&lt;"&amp;(J35+1)))</f>
        <v/>
      </c>
    </row>
    <row r="36" spans="2:15" ht="15" thickBot="1">
      <c r="C36" s="77" t="s">
        <v>263</v>
      </c>
      <c r="D36" s="77" t="s">
        <v>287</v>
      </c>
      <c r="J36" s="75">
        <f>Forecast!B36</f>
        <v>40571</v>
      </c>
      <c r="K36" s="76">
        <f>Forecast!C36</f>
        <v>38</v>
      </c>
      <c r="L36" s="76">
        <f>Forecast!D36</f>
        <v>1129</v>
      </c>
      <c r="M36" s="76">
        <f>Forecast!E36</f>
        <v>1167</v>
      </c>
      <c r="N36" s="73" t="str">
        <f t="shared" si="0"/>
        <v>Normal</v>
      </c>
      <c r="O36" s="73" t="str">
        <f>IF(N36="Normal","","Hourly records: "&amp;COUNTIFS(Cleaned_datasetB[Date],"&gt;="&amp;J36,Cleaned_datasetB[Date],"&lt;"&amp;(J36+1)))</f>
        <v/>
      </c>
    </row>
    <row r="37" spans="2:15" ht="15" thickBot="1">
      <c r="C37" s="82" t="s">
        <v>283</v>
      </c>
      <c r="D37" s="83">
        <f>COUNT(J9:J53)</f>
        <v>45</v>
      </c>
      <c r="J37" s="75">
        <f>Forecast!B37</f>
        <v>40572</v>
      </c>
      <c r="K37" s="76">
        <f>Forecast!C37</f>
        <v>123</v>
      </c>
      <c r="L37" s="76">
        <f>Forecast!D37</f>
        <v>975</v>
      </c>
      <c r="M37" s="76">
        <f>Forecast!E37</f>
        <v>1098</v>
      </c>
      <c r="N37" s="73" t="str">
        <f t="shared" si="0"/>
        <v>Normal</v>
      </c>
      <c r="O37" s="73" t="str">
        <f>IF(N37="Normal","","Hourly records: "&amp;COUNTIFS(Cleaned_datasetB[Date],"&gt;="&amp;J37,Cleaned_datasetB[Date],"&lt;"&amp;(J37+1)))</f>
        <v/>
      </c>
    </row>
    <row r="38" spans="2:15" ht="15" thickBot="1">
      <c r="C38" s="82" t="s">
        <v>284</v>
      </c>
      <c r="D38" s="83">
        <f>COUNTIF(N9:N53,"High Anomaly")</f>
        <v>0</v>
      </c>
      <c r="J38" s="75">
        <f>Forecast!B38</f>
        <v>40573</v>
      </c>
      <c r="K38" s="76">
        <f>Forecast!C38</f>
        <v>140</v>
      </c>
      <c r="L38" s="76">
        <f>Forecast!D38</f>
        <v>956</v>
      </c>
      <c r="M38" s="76">
        <f>Forecast!E38</f>
        <v>1096</v>
      </c>
      <c r="N38" s="73" t="str">
        <f t="shared" si="0"/>
        <v>Normal</v>
      </c>
      <c r="O38" s="73" t="str">
        <f>IF(N38="Normal","","Hourly records: "&amp;COUNTIFS(Cleaned_datasetB[Date],"&gt;="&amp;J38,Cleaned_datasetB[Date],"&lt;"&amp;(J38+1)))</f>
        <v/>
      </c>
    </row>
    <row r="39" spans="2:15" ht="15" thickBot="1">
      <c r="C39" s="82" t="s">
        <v>285</v>
      </c>
      <c r="D39" s="83">
        <f>COUNTIF(N9:N53,"Low Anomaly")</f>
        <v>1</v>
      </c>
      <c r="J39" s="75">
        <f>Forecast!B39</f>
        <v>40574</v>
      </c>
      <c r="K39" s="76">
        <f>Forecast!C39</f>
        <v>42</v>
      </c>
      <c r="L39" s="76">
        <f>Forecast!D39</f>
        <v>1459</v>
      </c>
      <c r="M39" s="76">
        <f>Forecast!E39</f>
        <v>1501</v>
      </c>
      <c r="N39" s="73" t="str">
        <f t="shared" si="0"/>
        <v>Normal</v>
      </c>
      <c r="O39" s="73" t="str">
        <f>IF(N39="Normal","","Hourly records: "&amp;COUNTIFS(Cleaned_datasetB[Date],"&gt;="&amp;J39,Cleaned_datasetB[Date],"&lt;"&amp;(J39+1)))</f>
        <v/>
      </c>
    </row>
    <row r="40" spans="2:15" ht="15" thickBot="1">
      <c r="C40" s="82" t="s">
        <v>286</v>
      </c>
      <c r="D40" s="83">
        <f>D38+D39</f>
        <v>1</v>
      </c>
      <c r="J40" s="75">
        <f>Forecast!B40</f>
        <v>40575</v>
      </c>
      <c r="K40" s="76">
        <f>Forecast!C40</f>
        <v>47</v>
      </c>
      <c r="L40" s="76">
        <f>Forecast!D40</f>
        <v>1313</v>
      </c>
      <c r="M40" s="76">
        <f>Forecast!E40</f>
        <v>1360</v>
      </c>
      <c r="N40" s="73" t="str">
        <f t="shared" si="0"/>
        <v>Normal</v>
      </c>
      <c r="O40" s="73" t="str">
        <f>IF(N40="Normal","","Hourly records: "&amp;COUNTIFS(Cleaned_datasetB[Date],"&gt;="&amp;J40,Cleaned_datasetB[Date],"&lt;"&amp;(J40+1)))</f>
        <v/>
      </c>
    </row>
    <row r="41" spans="2:15" ht="15" thickBot="1">
      <c r="J41" s="75">
        <f>Forecast!B41</f>
        <v>40576</v>
      </c>
      <c r="K41" s="76">
        <f>Forecast!C41</f>
        <v>72</v>
      </c>
      <c r="L41" s="76">
        <f>Forecast!D41</f>
        <v>1454</v>
      </c>
      <c r="M41" s="76">
        <f>Forecast!E41</f>
        <v>1526</v>
      </c>
      <c r="N41" s="73" t="str">
        <f t="shared" si="0"/>
        <v>Normal</v>
      </c>
      <c r="O41" s="73" t="str">
        <f>IF(N41="Normal","","Hourly records: "&amp;COUNTIFS(Cleaned_datasetB[Date],"&gt;="&amp;J41,Cleaned_datasetB[Date],"&lt;"&amp;(J41+1)))</f>
        <v/>
      </c>
    </row>
    <row r="42" spans="2:15" ht="15" thickBot="1">
      <c r="B42" s="113" t="s">
        <v>316</v>
      </c>
      <c r="C42" s="113"/>
      <c r="D42" s="113"/>
      <c r="E42" s="113"/>
      <c r="J42" s="75">
        <f>Forecast!B42</f>
        <v>40577</v>
      </c>
      <c r="K42" s="76">
        <f>Forecast!C42</f>
        <v>61</v>
      </c>
      <c r="L42" s="76">
        <f>Forecast!D42</f>
        <v>1489</v>
      </c>
      <c r="M42" s="76">
        <f>Forecast!E42</f>
        <v>1550</v>
      </c>
      <c r="N42" s="73" t="str">
        <f t="shared" si="0"/>
        <v>Normal</v>
      </c>
      <c r="O42" s="73" t="str">
        <f>IF(N42="Normal","","Hourly records: "&amp;COUNTIFS(Cleaned_datasetB[Date],"&gt;="&amp;J42,Cleaned_datasetB[Date],"&lt;"&amp;(J42+1)))</f>
        <v/>
      </c>
    </row>
    <row r="43" spans="2:15" ht="15" thickBot="1">
      <c r="B43" s="113"/>
      <c r="C43" s="113"/>
      <c r="D43" s="113"/>
      <c r="E43" s="113"/>
      <c r="J43" s="75">
        <f>Forecast!B43</f>
        <v>40578</v>
      </c>
      <c r="K43" s="76">
        <f>Forecast!C43</f>
        <v>88</v>
      </c>
      <c r="L43" s="76">
        <f>Forecast!D43</f>
        <v>1620</v>
      </c>
      <c r="M43" s="76">
        <f>Forecast!E43</f>
        <v>1708</v>
      </c>
      <c r="N43" s="73" t="str">
        <f t="shared" si="0"/>
        <v>Normal</v>
      </c>
      <c r="O43" s="73" t="str">
        <f>IF(N43="Normal","","Hourly records: "&amp;COUNTIFS(Cleaned_datasetB[Date],"&gt;="&amp;J43,Cleaned_datasetB[Date],"&lt;"&amp;(J43+1)))</f>
        <v/>
      </c>
    </row>
    <row r="44" spans="2:15" ht="15" thickBot="1">
      <c r="J44" s="75">
        <f>Forecast!B44</f>
        <v>40579</v>
      </c>
      <c r="K44" s="76">
        <f>Forecast!C44</f>
        <v>100</v>
      </c>
      <c r="L44" s="76">
        <f>Forecast!D44</f>
        <v>905</v>
      </c>
      <c r="M44" s="76">
        <f>Forecast!E44</f>
        <v>1005</v>
      </c>
      <c r="N44" s="73" t="str">
        <f t="shared" si="0"/>
        <v>Normal</v>
      </c>
      <c r="O44" s="73" t="str">
        <f>IF(N44="Normal","","Hourly records: "&amp;COUNTIFS(Cleaned_datasetB[Date],"&gt;="&amp;J44,Cleaned_datasetB[Date],"&lt;"&amp;(J44+1)))</f>
        <v/>
      </c>
    </row>
    <row r="45" spans="2:15" ht="15" thickBot="1">
      <c r="J45" s="75">
        <f>Forecast!B45</f>
        <v>40580</v>
      </c>
      <c r="K45" s="76">
        <f>Forecast!C45</f>
        <v>354</v>
      </c>
      <c r="L45" s="76">
        <f>Forecast!D45</f>
        <v>1269</v>
      </c>
      <c r="M45" s="76">
        <f>Forecast!E45</f>
        <v>1623</v>
      </c>
      <c r="N45" s="73" t="str">
        <f t="shared" si="0"/>
        <v>Normal</v>
      </c>
      <c r="O45" s="73" t="str">
        <f>IF(N45="Normal","","Hourly records: "&amp;COUNTIFS(Cleaned_datasetB[Date],"&gt;="&amp;J45,Cleaned_datasetB[Date],"&lt;"&amp;(J45+1)))</f>
        <v/>
      </c>
    </row>
    <row r="46" spans="2:15" ht="15" thickBot="1">
      <c r="J46" s="75">
        <f>Forecast!B46</f>
        <v>40581</v>
      </c>
      <c r="K46" s="76">
        <f>Forecast!C46</f>
        <v>120</v>
      </c>
      <c r="L46" s="76">
        <f>Forecast!D46</f>
        <v>1592</v>
      </c>
      <c r="M46" s="76">
        <f>Forecast!E46</f>
        <v>1712</v>
      </c>
      <c r="N46" s="73" t="str">
        <f t="shared" si="0"/>
        <v>Normal</v>
      </c>
      <c r="O46" s="73" t="str">
        <f>IF(N46="Normal","","Hourly records: "&amp;COUNTIFS(Cleaned_datasetB[Date],"&gt;="&amp;J46,Cleaned_datasetB[Date],"&lt;"&amp;(J46+1)))</f>
        <v/>
      </c>
    </row>
    <row r="47" spans="2:15" ht="15" thickBot="1">
      <c r="J47" s="75">
        <f>Forecast!B47</f>
        <v>40582</v>
      </c>
      <c r="K47" s="76">
        <f>Forecast!C47</f>
        <v>64</v>
      </c>
      <c r="L47" s="76">
        <f>Forecast!D47</f>
        <v>1466</v>
      </c>
      <c r="M47" s="76">
        <f>Forecast!E47</f>
        <v>1530</v>
      </c>
      <c r="N47" s="73" t="str">
        <f t="shared" si="0"/>
        <v>Normal</v>
      </c>
      <c r="O47" s="73" t="str">
        <f>IF(N47="Normal","","Hourly records: "&amp;COUNTIFS(Cleaned_datasetB[Date],"&gt;="&amp;J47,Cleaned_datasetB[Date],"&lt;"&amp;(J47+1)))</f>
        <v/>
      </c>
    </row>
    <row r="48" spans="2:15" ht="15" thickBot="1">
      <c r="J48" s="75">
        <f>Forecast!B48</f>
        <v>40583</v>
      </c>
      <c r="K48" s="76">
        <f>Forecast!C48</f>
        <v>53</v>
      </c>
      <c r="L48" s="76">
        <f>Forecast!D48</f>
        <v>1552</v>
      </c>
      <c r="M48" s="76">
        <f>Forecast!E48</f>
        <v>1605</v>
      </c>
      <c r="N48" s="73" t="str">
        <f t="shared" si="0"/>
        <v>Normal</v>
      </c>
      <c r="O48" s="73" t="str">
        <f>IF(N48="Normal","","Hourly records: "&amp;COUNTIFS(Cleaned_datasetB[Date],"&gt;="&amp;J48,Cleaned_datasetB[Date],"&lt;"&amp;(J48+1)))</f>
        <v/>
      </c>
    </row>
    <row r="49" spans="10:15" ht="15" thickBot="1">
      <c r="J49" s="75">
        <f>Forecast!B49</f>
        <v>40584</v>
      </c>
      <c r="K49" s="76">
        <f>Forecast!C49</f>
        <v>47</v>
      </c>
      <c r="L49" s="76">
        <f>Forecast!D49</f>
        <v>1491</v>
      </c>
      <c r="M49" s="76">
        <f>Forecast!E49</f>
        <v>1538</v>
      </c>
      <c r="N49" s="73" t="str">
        <f t="shared" si="0"/>
        <v>Normal</v>
      </c>
      <c r="O49" s="73" t="str">
        <f>IF(N49="Normal","","Hourly records: "&amp;COUNTIFS(Cleaned_datasetB[Date],"&gt;="&amp;J49,Cleaned_datasetB[Date],"&lt;"&amp;(J49+1)))</f>
        <v/>
      </c>
    </row>
    <row r="50" spans="10:15" ht="15" thickBot="1">
      <c r="J50" s="75">
        <f>Forecast!B50</f>
        <v>40585</v>
      </c>
      <c r="K50" s="76">
        <f>Forecast!C50</f>
        <v>149</v>
      </c>
      <c r="L50" s="76">
        <f>Forecast!D50</f>
        <v>1597</v>
      </c>
      <c r="M50" s="76">
        <f>Forecast!E50</f>
        <v>1746</v>
      </c>
      <c r="N50" s="73" t="str">
        <f t="shared" si="0"/>
        <v>Normal</v>
      </c>
      <c r="O50" s="73" t="str">
        <f>IF(N50="Normal","","Hourly records: "&amp;COUNTIFS(Cleaned_datasetB[Date],"&gt;="&amp;J50,Cleaned_datasetB[Date],"&lt;"&amp;(J50+1)))</f>
        <v/>
      </c>
    </row>
    <row r="51" spans="10:15" ht="15" thickBot="1">
      <c r="J51" s="75">
        <f>Forecast!B51</f>
        <v>40586</v>
      </c>
      <c r="K51" s="76">
        <f>Forecast!C51</f>
        <v>288</v>
      </c>
      <c r="L51" s="76">
        <f>Forecast!D51</f>
        <v>1184</v>
      </c>
      <c r="M51" s="76">
        <f>Forecast!E51</f>
        <v>1472</v>
      </c>
      <c r="N51" s="73" t="str">
        <f t="shared" si="0"/>
        <v>Normal</v>
      </c>
      <c r="O51" s="73" t="str">
        <f>IF(N51="Normal","","Hourly records: "&amp;COUNTIFS(Cleaned_datasetB[Date],"&gt;="&amp;J51,Cleaned_datasetB[Date],"&lt;"&amp;(J51+1)))</f>
        <v/>
      </c>
    </row>
    <row r="52" spans="10:15" ht="15" thickBot="1">
      <c r="J52" s="75">
        <f>Forecast!B52</f>
        <v>40587</v>
      </c>
      <c r="K52" s="76">
        <f>Forecast!C52</f>
        <v>397</v>
      </c>
      <c r="L52" s="76">
        <f>Forecast!D52</f>
        <v>1192</v>
      </c>
      <c r="M52" s="76">
        <f>Forecast!E52</f>
        <v>1589</v>
      </c>
      <c r="N52" s="73" t="str">
        <f t="shared" si="0"/>
        <v>Normal</v>
      </c>
      <c r="O52" s="73" t="str">
        <f>IF(N52="Normal","","Hourly records: "&amp;COUNTIFS(Cleaned_datasetB[Date],"&gt;="&amp;J52,Cleaned_datasetB[Date],"&lt;"&amp;(J52+1)))</f>
        <v/>
      </c>
    </row>
    <row r="53" spans="10:15" ht="15" thickBot="1">
      <c r="J53" s="75">
        <f>Forecast!B53</f>
        <v>40588</v>
      </c>
      <c r="K53" s="76">
        <f>Forecast!C53</f>
        <v>8</v>
      </c>
      <c r="L53" s="76">
        <f>Forecast!D53</f>
        <v>143</v>
      </c>
      <c r="M53" s="76">
        <f>Forecast!E53</f>
        <v>151</v>
      </c>
      <c r="N53" s="73" t="str">
        <f t="shared" si="0"/>
        <v>Low Anomaly</v>
      </c>
      <c r="O53" s="73" t="str">
        <f>IF(N53="Normal","","Hourly records: "&amp;COUNTIFS(Cleaned_datasetB[Date],"&gt;="&amp;J53,Cleaned_datasetB[Date],"&lt;"&amp;(J53+1)))</f>
        <v>Hourly records: 8</v>
      </c>
    </row>
    <row r="54" spans="10:15">
      <c r="J54" s="74"/>
    </row>
    <row r="55" spans="10:15">
      <c r="J55" s="74"/>
    </row>
    <row r="56" spans="10:15">
      <c r="J56" s="74"/>
    </row>
    <row r="57" spans="10:15">
      <c r="J57" s="74"/>
    </row>
    <row r="58" spans="10:15">
      <c r="J58" s="74"/>
    </row>
    <row r="59" spans="10:15">
      <c r="J59" s="74"/>
    </row>
    <row r="60" spans="10:15">
      <c r="J60" s="74"/>
    </row>
    <row r="61" spans="10:15">
      <c r="J61" s="74"/>
    </row>
    <row r="62" spans="10:15">
      <c r="J62" s="74"/>
    </row>
    <row r="63" spans="10:15">
      <c r="J63" s="74"/>
    </row>
    <row r="64" spans="10:15">
      <c r="J64" s="74"/>
    </row>
  </sheetData>
  <mergeCells count="7">
    <mergeCell ref="B18:C18"/>
    <mergeCell ref="B34:G34"/>
    <mergeCell ref="B42:E43"/>
    <mergeCell ref="C2:N4"/>
    <mergeCell ref="B6:D6"/>
    <mergeCell ref="F6:H6"/>
    <mergeCell ref="J6:L6"/>
  </mergeCells>
  <conditionalFormatting sqref="N9:N53">
    <cfRule type="containsText" dxfId="1" priority="1" operator="containsText" text="low">
      <formula>NOT(ISERROR(SEARCH("low",N9)))</formula>
    </cfRule>
    <cfRule type="containsText" dxfId="0" priority="2" operator="containsText" text="High">
      <formula>NOT(ISERROR(SEARCH("High",N9)))</formula>
    </cfRule>
  </conditionalFormatting>
  <pageMargins left="0.7" right="0.7" top="0.75" bottom="0.75" header="0.3" footer="0.3"/>
  <pageSetup orientation="portrait"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C9409D-2ACF-45C3-9E7E-A4476E4B608D}">
  <dimension ref="A2:W33"/>
  <sheetViews>
    <sheetView zoomScale="92" zoomScaleNormal="83" workbookViewId="0">
      <selection activeCell="C14" sqref="C14"/>
    </sheetView>
  </sheetViews>
  <sheetFormatPr defaultRowHeight="14.6"/>
  <cols>
    <col min="1" max="4" width="9.23046875" style="51"/>
  </cols>
  <sheetData>
    <row r="2" spans="6:23">
      <c r="F2" s="139"/>
      <c r="G2" s="139"/>
      <c r="H2" s="139"/>
      <c r="I2" s="139"/>
      <c r="J2" s="139"/>
      <c r="K2" s="139"/>
      <c r="L2" s="139"/>
      <c r="M2" s="139"/>
      <c r="N2" s="139"/>
      <c r="O2" s="139"/>
      <c r="P2" s="139"/>
      <c r="Q2" s="139"/>
      <c r="R2" s="139"/>
      <c r="S2" s="139"/>
      <c r="T2" s="139"/>
      <c r="U2" s="139"/>
      <c r="V2" s="139"/>
      <c r="W2" s="139"/>
    </row>
    <row r="3" spans="6:23">
      <c r="F3" s="139"/>
      <c r="G3" s="139"/>
      <c r="H3" s="139"/>
      <c r="I3" s="139"/>
      <c r="J3" s="139"/>
      <c r="K3" s="139"/>
      <c r="L3" s="139"/>
      <c r="M3" s="139"/>
      <c r="N3" s="139"/>
      <c r="O3" s="139"/>
      <c r="P3" s="139"/>
      <c r="Q3" s="139"/>
      <c r="R3" s="139"/>
      <c r="S3" s="139"/>
      <c r="T3" s="139"/>
      <c r="U3" s="139"/>
      <c r="V3" s="139"/>
      <c r="W3" s="139"/>
    </row>
    <row r="4" spans="6:23">
      <c r="F4" s="139"/>
      <c r="G4" s="139"/>
      <c r="H4" s="139"/>
      <c r="I4" s="139"/>
      <c r="J4" s="139"/>
      <c r="K4" s="139"/>
      <c r="L4" s="139"/>
      <c r="M4" s="139"/>
      <c r="N4" s="139"/>
      <c r="O4" s="139"/>
      <c r="P4" s="139"/>
      <c r="Q4" s="139"/>
      <c r="R4" s="139"/>
      <c r="S4" s="139"/>
      <c r="T4" s="139"/>
      <c r="U4" s="139"/>
      <c r="V4" s="139"/>
      <c r="W4" s="139"/>
    </row>
    <row r="5" spans="6:23">
      <c r="F5" s="139"/>
      <c r="G5" s="139"/>
      <c r="H5" s="139"/>
      <c r="I5" s="139"/>
      <c r="J5" s="139"/>
      <c r="K5" s="139"/>
      <c r="L5" s="139"/>
      <c r="M5" s="139"/>
      <c r="N5" s="139"/>
      <c r="O5" s="139"/>
      <c r="P5" s="139"/>
      <c r="Q5" s="139"/>
      <c r="R5" s="139"/>
      <c r="S5" s="139"/>
      <c r="T5" s="139"/>
      <c r="U5" s="139"/>
      <c r="V5" s="139"/>
      <c r="W5" s="139"/>
    </row>
    <row r="6" spans="6:23">
      <c r="F6" s="139"/>
      <c r="G6" s="139"/>
      <c r="H6" s="139"/>
      <c r="I6" s="139"/>
      <c r="J6" s="139"/>
      <c r="K6" s="139"/>
      <c r="L6" s="139"/>
      <c r="M6" s="139"/>
      <c r="N6" s="139"/>
      <c r="O6" s="139"/>
      <c r="P6" s="139"/>
      <c r="Q6" s="139"/>
      <c r="R6" s="139"/>
      <c r="S6" s="139"/>
      <c r="T6" s="139"/>
      <c r="U6" s="139"/>
      <c r="V6" s="139"/>
      <c r="W6" s="139"/>
    </row>
    <row r="7" spans="6:23">
      <c r="F7" s="139"/>
      <c r="G7" s="139"/>
      <c r="H7" s="139"/>
      <c r="I7" s="139"/>
      <c r="J7" s="139"/>
      <c r="K7" s="139"/>
      <c r="L7" s="139"/>
      <c r="M7" s="139"/>
      <c r="N7" s="139"/>
      <c r="O7" s="139"/>
      <c r="P7" s="139"/>
      <c r="Q7" s="139"/>
      <c r="R7" s="139"/>
      <c r="S7" s="139"/>
      <c r="T7" s="139"/>
      <c r="U7" s="139"/>
      <c r="V7" s="139"/>
      <c r="W7" s="139"/>
    </row>
    <row r="8" spans="6:23">
      <c r="F8" s="139"/>
      <c r="G8" s="139"/>
      <c r="H8" s="139"/>
      <c r="I8" s="139"/>
      <c r="J8" s="139"/>
      <c r="K8" s="139"/>
      <c r="L8" s="139"/>
      <c r="M8" s="139"/>
      <c r="N8" s="139"/>
      <c r="O8" s="139"/>
      <c r="P8" s="139"/>
      <c r="Q8" s="139"/>
      <c r="R8" s="139"/>
      <c r="S8" s="139"/>
      <c r="T8" s="139"/>
      <c r="U8" s="139"/>
      <c r="V8" s="139"/>
      <c r="W8" s="139"/>
    </row>
    <row r="9" spans="6:23">
      <c r="F9" s="139"/>
      <c r="G9" s="139"/>
      <c r="H9" s="139"/>
      <c r="I9" s="139"/>
      <c r="J9" s="139"/>
      <c r="K9" s="139"/>
      <c r="L9" s="139"/>
      <c r="M9" s="139"/>
      <c r="N9" s="139"/>
      <c r="O9" s="139"/>
      <c r="P9" s="139"/>
      <c r="Q9" s="139"/>
      <c r="R9" s="139"/>
      <c r="S9" s="139"/>
      <c r="T9" s="139"/>
      <c r="U9" s="139"/>
      <c r="V9" s="139"/>
      <c r="W9" s="139"/>
    </row>
    <row r="10" spans="6:23">
      <c r="F10" s="139"/>
      <c r="G10" s="139"/>
      <c r="H10" s="139"/>
      <c r="I10" s="139"/>
      <c r="J10" s="139"/>
      <c r="K10" s="139"/>
      <c r="L10" s="139"/>
      <c r="M10" s="139"/>
      <c r="N10" s="139"/>
      <c r="O10" s="139"/>
      <c r="P10" s="139"/>
      <c r="Q10" s="139"/>
      <c r="R10" s="139"/>
      <c r="S10" s="139"/>
      <c r="T10" s="139"/>
      <c r="U10" s="139"/>
      <c r="V10" s="139"/>
      <c r="W10" s="139"/>
    </row>
    <row r="11" spans="6:23">
      <c r="F11" s="139"/>
      <c r="G11" s="139"/>
      <c r="H11" s="139"/>
      <c r="I11" s="139"/>
      <c r="J11" s="139"/>
      <c r="K11" s="139"/>
      <c r="L11" s="139"/>
      <c r="M11" s="139"/>
      <c r="N11" s="139"/>
      <c r="O11" s="139"/>
      <c r="P11" s="139"/>
      <c r="Q11" s="139"/>
      <c r="R11" s="139"/>
      <c r="S11" s="139"/>
      <c r="T11" s="139"/>
      <c r="U11" s="139"/>
      <c r="V11" s="139"/>
      <c r="W11" s="139"/>
    </row>
    <row r="12" spans="6:23">
      <c r="F12" s="139"/>
      <c r="G12" s="139"/>
      <c r="H12" s="139"/>
      <c r="I12" s="139"/>
      <c r="J12" s="139"/>
      <c r="K12" s="139"/>
      <c r="L12" s="139"/>
      <c r="M12" s="139"/>
      <c r="N12" s="139"/>
      <c r="O12" s="139"/>
      <c r="P12" s="139"/>
      <c r="Q12" s="139"/>
      <c r="R12" s="139"/>
      <c r="S12" s="139"/>
      <c r="T12" s="139"/>
      <c r="U12" s="139"/>
      <c r="V12" s="139"/>
      <c r="W12" s="139"/>
    </row>
    <row r="13" spans="6:23">
      <c r="F13" s="139"/>
      <c r="G13" s="139"/>
      <c r="H13" s="139"/>
      <c r="I13" s="139"/>
      <c r="J13" s="139"/>
      <c r="K13" s="139"/>
      <c r="L13" s="139"/>
      <c r="M13" s="139"/>
      <c r="N13" s="139"/>
      <c r="O13" s="139"/>
      <c r="P13" s="139"/>
      <c r="Q13" s="139"/>
      <c r="R13" s="139"/>
      <c r="S13" s="139"/>
      <c r="T13" s="139"/>
      <c r="U13" s="139"/>
      <c r="V13" s="139"/>
      <c r="W13" s="139"/>
    </row>
    <row r="14" spans="6:23">
      <c r="F14" s="139"/>
      <c r="G14" s="139"/>
      <c r="H14" s="139"/>
      <c r="I14" s="139"/>
      <c r="J14" s="139"/>
      <c r="K14" s="139"/>
      <c r="L14" s="139"/>
      <c r="M14" s="139"/>
      <c r="N14" s="139"/>
      <c r="O14" s="139"/>
      <c r="P14" s="139"/>
      <c r="Q14" s="139"/>
      <c r="R14" s="139"/>
      <c r="S14" s="139"/>
      <c r="T14" s="139"/>
      <c r="U14" s="139"/>
      <c r="V14" s="139"/>
      <c r="W14" s="139"/>
    </row>
    <row r="15" spans="6:23">
      <c r="F15" s="139"/>
      <c r="G15" s="139"/>
      <c r="H15" s="139"/>
      <c r="I15" s="139"/>
      <c r="J15" s="139"/>
      <c r="K15" s="139"/>
      <c r="L15" s="139"/>
      <c r="M15" s="139"/>
      <c r="N15" s="139"/>
      <c r="O15" s="139"/>
      <c r="P15" s="139"/>
      <c r="Q15" s="139"/>
      <c r="R15" s="139"/>
      <c r="S15" s="139"/>
      <c r="T15" s="139"/>
      <c r="U15" s="139"/>
      <c r="V15" s="139"/>
      <c r="W15" s="139"/>
    </row>
    <row r="16" spans="6:23">
      <c r="F16" s="139"/>
      <c r="G16" s="139"/>
      <c r="H16" s="139"/>
      <c r="I16" s="139"/>
      <c r="J16" s="139"/>
      <c r="K16" s="139"/>
      <c r="L16" s="139"/>
      <c r="M16" s="139"/>
      <c r="N16" s="139"/>
      <c r="O16" s="139"/>
      <c r="P16" s="139"/>
      <c r="Q16" s="139"/>
      <c r="R16" s="139"/>
      <c r="S16" s="139"/>
      <c r="T16" s="139"/>
      <c r="U16" s="139"/>
      <c r="V16" s="139"/>
      <c r="W16" s="139"/>
    </row>
    <row r="17" spans="6:23">
      <c r="F17" s="139"/>
      <c r="G17" s="139"/>
      <c r="H17" s="139"/>
      <c r="I17" s="139"/>
      <c r="J17" s="139"/>
      <c r="K17" s="139"/>
      <c r="L17" s="139"/>
      <c r="M17" s="139"/>
      <c r="N17" s="139"/>
      <c r="O17" s="139"/>
      <c r="P17" s="139"/>
      <c r="Q17" s="139"/>
      <c r="R17" s="139"/>
      <c r="S17" s="139"/>
      <c r="T17" s="139"/>
      <c r="U17" s="139"/>
      <c r="V17" s="139"/>
      <c r="W17" s="139"/>
    </row>
    <row r="18" spans="6:23">
      <c r="F18" s="139"/>
      <c r="G18" s="139"/>
      <c r="H18" s="139"/>
      <c r="I18" s="139"/>
      <c r="J18" s="139"/>
      <c r="K18" s="139"/>
      <c r="L18" s="139"/>
      <c r="M18" s="139"/>
      <c r="N18" s="139"/>
      <c r="O18" s="139"/>
      <c r="P18" s="139"/>
      <c r="Q18" s="139"/>
      <c r="R18" s="139"/>
      <c r="S18" s="139"/>
      <c r="T18" s="139"/>
      <c r="U18" s="139"/>
      <c r="V18" s="139"/>
      <c r="W18" s="139"/>
    </row>
    <row r="19" spans="6:23">
      <c r="F19" s="139"/>
      <c r="G19" s="139"/>
      <c r="H19" s="139"/>
      <c r="I19" s="139"/>
      <c r="J19" s="139"/>
      <c r="K19" s="139"/>
      <c r="L19" s="139"/>
      <c r="M19" s="139"/>
      <c r="N19" s="139"/>
      <c r="O19" s="139"/>
      <c r="P19" s="139"/>
      <c r="Q19" s="139"/>
      <c r="R19" s="139"/>
      <c r="S19" s="139"/>
      <c r="T19" s="139"/>
      <c r="U19" s="139"/>
      <c r="V19" s="139"/>
      <c r="W19" s="139"/>
    </row>
    <row r="20" spans="6:23">
      <c r="F20" s="139"/>
      <c r="G20" s="139"/>
      <c r="H20" s="139"/>
      <c r="I20" s="139"/>
      <c r="J20" s="139"/>
      <c r="K20" s="139"/>
      <c r="L20" s="139"/>
      <c r="M20" s="139"/>
      <c r="N20" s="139"/>
      <c r="O20" s="139"/>
      <c r="P20" s="139"/>
      <c r="Q20" s="139"/>
      <c r="R20" s="139"/>
      <c r="S20" s="139"/>
      <c r="T20" s="139"/>
      <c r="U20" s="139"/>
      <c r="V20" s="139"/>
      <c r="W20" s="139"/>
    </row>
    <row r="21" spans="6:23">
      <c r="F21" s="139"/>
      <c r="G21" s="139"/>
      <c r="H21" s="139"/>
      <c r="I21" s="139"/>
      <c r="J21" s="139"/>
      <c r="K21" s="139"/>
      <c r="L21" s="139"/>
      <c r="M21" s="139"/>
      <c r="N21" s="139"/>
      <c r="O21" s="139"/>
      <c r="P21" s="139"/>
      <c r="Q21" s="139"/>
      <c r="R21" s="139"/>
      <c r="S21" s="139"/>
      <c r="T21" s="139"/>
      <c r="U21" s="139"/>
      <c r="V21" s="139"/>
      <c r="W21" s="139"/>
    </row>
    <row r="22" spans="6:23">
      <c r="F22" s="139"/>
      <c r="G22" s="139"/>
      <c r="H22" s="139"/>
      <c r="I22" s="139"/>
      <c r="J22" s="139"/>
      <c r="K22" s="139"/>
      <c r="L22" s="139"/>
      <c r="M22" s="139"/>
      <c r="N22" s="139"/>
      <c r="O22" s="139"/>
      <c r="P22" s="139"/>
      <c r="Q22" s="139"/>
      <c r="R22" s="139"/>
      <c r="S22" s="139"/>
      <c r="T22" s="139"/>
      <c r="U22" s="139"/>
      <c r="V22" s="139"/>
      <c r="W22" s="139"/>
    </row>
    <row r="23" spans="6:23">
      <c r="F23" s="139"/>
      <c r="G23" s="139"/>
      <c r="H23" s="139"/>
      <c r="I23" s="139"/>
      <c r="J23" s="139"/>
      <c r="K23" s="139"/>
      <c r="L23" s="139"/>
      <c r="M23" s="139"/>
      <c r="N23" s="139"/>
      <c r="O23" s="139"/>
      <c r="P23" s="139"/>
      <c r="Q23" s="139"/>
      <c r="R23" s="139"/>
      <c r="S23" s="139"/>
      <c r="T23" s="139"/>
      <c r="U23" s="139"/>
      <c r="V23" s="139"/>
      <c r="W23" s="139"/>
    </row>
    <row r="24" spans="6:23">
      <c r="F24" s="139"/>
      <c r="G24" s="139"/>
      <c r="H24" s="139"/>
      <c r="I24" s="139"/>
      <c r="J24" s="139"/>
      <c r="K24" s="139"/>
      <c r="L24" s="139"/>
      <c r="M24" s="139"/>
      <c r="N24" s="139"/>
      <c r="O24" s="139"/>
      <c r="P24" s="139"/>
      <c r="Q24" s="139"/>
      <c r="R24" s="139"/>
      <c r="S24" s="139"/>
      <c r="T24" s="139"/>
      <c r="U24" s="139"/>
      <c r="V24" s="139"/>
      <c r="W24" s="139"/>
    </row>
    <row r="25" spans="6:23">
      <c r="F25" s="139"/>
      <c r="G25" s="139"/>
      <c r="H25" s="139"/>
      <c r="I25" s="139"/>
      <c r="J25" s="139"/>
      <c r="K25" s="139"/>
      <c r="L25" s="139"/>
      <c r="M25" s="139"/>
      <c r="N25" s="139"/>
      <c r="O25" s="139"/>
      <c r="P25" s="139"/>
      <c r="Q25" s="139"/>
      <c r="R25" s="139"/>
      <c r="S25" s="139"/>
      <c r="T25" s="139"/>
      <c r="U25" s="139"/>
      <c r="V25" s="139"/>
      <c r="W25" s="139"/>
    </row>
    <row r="26" spans="6:23">
      <c r="F26" s="139"/>
      <c r="G26" s="139"/>
      <c r="H26" s="139"/>
      <c r="I26" s="139"/>
      <c r="J26" s="139"/>
      <c r="K26" s="139"/>
      <c r="L26" s="139"/>
      <c r="M26" s="139"/>
      <c r="N26" s="139"/>
      <c r="O26" s="139"/>
      <c r="P26" s="139"/>
      <c r="Q26" s="139"/>
      <c r="R26" s="139"/>
      <c r="S26" s="139"/>
      <c r="T26" s="139"/>
      <c r="U26" s="139"/>
      <c r="V26" s="139"/>
      <c r="W26" s="139"/>
    </row>
    <row r="27" spans="6:23">
      <c r="F27" s="139"/>
      <c r="G27" s="139"/>
      <c r="H27" s="139"/>
      <c r="I27" s="139"/>
      <c r="J27" s="139"/>
      <c r="K27" s="139"/>
      <c r="L27" s="139"/>
      <c r="M27" s="139"/>
      <c r="N27" s="139"/>
      <c r="O27" s="139"/>
      <c r="P27" s="139"/>
      <c r="Q27" s="139"/>
      <c r="R27" s="139"/>
      <c r="S27" s="139"/>
      <c r="T27" s="139"/>
      <c r="U27" s="139"/>
      <c r="V27" s="139"/>
      <c r="W27" s="139"/>
    </row>
    <row r="28" spans="6:23">
      <c r="F28" s="139"/>
      <c r="G28" s="139"/>
      <c r="H28" s="139"/>
      <c r="I28" s="139"/>
      <c r="J28" s="139"/>
      <c r="K28" s="139"/>
      <c r="L28" s="139"/>
      <c r="M28" s="139"/>
      <c r="N28" s="139"/>
      <c r="O28" s="139"/>
      <c r="P28" s="139"/>
      <c r="Q28" s="139"/>
      <c r="R28" s="139"/>
      <c r="S28" s="139"/>
      <c r="T28" s="139"/>
      <c r="U28" s="139"/>
      <c r="V28" s="139"/>
      <c r="W28" s="139"/>
    </row>
    <row r="29" spans="6:23">
      <c r="F29" s="139"/>
      <c r="G29" s="139"/>
      <c r="H29" s="139"/>
      <c r="I29" s="139"/>
      <c r="J29" s="139"/>
      <c r="K29" s="139"/>
      <c r="L29" s="139"/>
      <c r="M29" s="139"/>
      <c r="N29" s="139"/>
      <c r="O29" s="139"/>
      <c r="P29" s="139"/>
      <c r="Q29" s="139"/>
      <c r="R29" s="139"/>
      <c r="S29" s="139"/>
      <c r="T29" s="139"/>
      <c r="U29" s="139"/>
      <c r="V29" s="139"/>
      <c r="W29" s="139"/>
    </row>
    <row r="30" spans="6:23">
      <c r="F30" s="139"/>
      <c r="G30" s="139"/>
      <c r="H30" s="139"/>
      <c r="I30" s="139"/>
      <c r="J30" s="139"/>
      <c r="K30" s="139"/>
      <c r="L30" s="139"/>
      <c r="M30" s="139"/>
      <c r="N30" s="139"/>
      <c r="O30" s="139"/>
      <c r="P30" s="139"/>
      <c r="Q30" s="139"/>
      <c r="R30" s="139"/>
      <c r="S30" s="139"/>
      <c r="T30" s="139"/>
      <c r="U30" s="139"/>
      <c r="V30" s="139"/>
      <c r="W30" s="139"/>
    </row>
    <row r="31" spans="6:23">
      <c r="F31" s="139"/>
      <c r="G31" s="139"/>
      <c r="H31" s="139"/>
      <c r="I31" s="139"/>
      <c r="J31" s="139"/>
      <c r="K31" s="139"/>
      <c r="L31" s="139"/>
      <c r="M31" s="139"/>
      <c r="N31" s="139"/>
      <c r="O31" s="139"/>
      <c r="P31" s="139"/>
      <c r="Q31" s="139"/>
      <c r="R31" s="139"/>
      <c r="S31" s="139"/>
      <c r="T31" s="139"/>
      <c r="U31" s="139"/>
      <c r="V31" s="139"/>
      <c r="W31" s="139"/>
    </row>
    <row r="32" spans="6:23">
      <c r="F32" s="139"/>
      <c r="G32" s="139"/>
      <c r="H32" s="139"/>
      <c r="I32" s="139"/>
      <c r="J32" s="139"/>
      <c r="K32" s="139"/>
      <c r="L32" s="139"/>
      <c r="M32" s="139"/>
      <c r="N32" s="139"/>
      <c r="O32" s="139"/>
      <c r="P32" s="139"/>
      <c r="Q32" s="139"/>
      <c r="R32" s="139"/>
      <c r="S32" s="139"/>
      <c r="T32" s="139"/>
      <c r="U32" s="139"/>
      <c r="V32" s="139"/>
      <c r="W32" s="139"/>
    </row>
    <row r="33" spans="6:23">
      <c r="F33" s="139"/>
      <c r="G33" s="139"/>
      <c r="H33" s="139"/>
      <c r="I33" s="139"/>
      <c r="J33" s="139"/>
      <c r="K33" s="139"/>
      <c r="L33" s="139"/>
      <c r="M33" s="139"/>
      <c r="N33" s="139"/>
      <c r="O33" s="139"/>
      <c r="P33" s="139"/>
      <c r="Q33" s="139"/>
      <c r="R33" s="139"/>
      <c r="S33" s="139"/>
      <c r="T33" s="139"/>
      <c r="U33" s="139"/>
      <c r="V33" s="139"/>
      <c r="W33" s="139"/>
    </row>
  </sheetData>
  <mergeCells count="1">
    <mergeCell ref="F2:W33"/>
  </mergeCells>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18091-573F-4A62-9F70-05D62C4C5113}">
  <dimension ref="A1:E67"/>
  <sheetViews>
    <sheetView topLeftCell="A32" zoomScale="107" workbookViewId="0">
      <selection activeCell="E53" sqref="E53"/>
    </sheetView>
  </sheetViews>
  <sheetFormatPr defaultRowHeight="14.6"/>
  <cols>
    <col min="1" max="1" width="15.15234375" bestFit="1" customWidth="1"/>
    <col min="2" max="2" width="14.3828125" customWidth="1"/>
    <col min="3" max="3" width="22.61328125" customWidth="1"/>
    <col min="4" max="4" width="36.3828125" customWidth="1"/>
    <col min="5" max="5" width="36.4609375" customWidth="1"/>
  </cols>
  <sheetData>
    <row r="1" spans="1:5">
      <c r="A1" t="s">
        <v>55</v>
      </c>
      <c r="B1" t="s">
        <v>176</v>
      </c>
      <c r="C1" t="s">
        <v>179</v>
      </c>
      <c r="D1" t="s">
        <v>180</v>
      </c>
      <c r="E1" t="s">
        <v>181</v>
      </c>
    </row>
    <row r="2" spans="1:5">
      <c r="A2" s="55">
        <v>40544</v>
      </c>
      <c r="B2">
        <v>978.608501415619</v>
      </c>
    </row>
    <row r="3" spans="1:5">
      <c r="A3" s="55">
        <v>40545</v>
      </c>
      <c r="B3">
        <v>1027.8906520549583</v>
      </c>
    </row>
    <row r="4" spans="1:5">
      <c r="A4" s="55">
        <v>40546</v>
      </c>
      <c r="B4">
        <v>1232.4161583754856</v>
      </c>
    </row>
    <row r="5" spans="1:5">
      <c r="A5" s="55">
        <v>40547</v>
      </c>
      <c r="B5">
        <v>1208.5643768611815</v>
      </c>
    </row>
    <row r="6" spans="1:5">
      <c r="A6" s="55">
        <v>40548</v>
      </c>
      <c r="B6">
        <v>1303.4948408367686</v>
      </c>
    </row>
    <row r="7" spans="1:5">
      <c r="A7" s="55">
        <v>40549</v>
      </c>
      <c r="B7">
        <v>1411.2004808512963</v>
      </c>
    </row>
    <row r="8" spans="1:5">
      <c r="A8" s="55">
        <v>40550</v>
      </c>
      <c r="B8">
        <v>1415.8183008278236</v>
      </c>
    </row>
    <row r="9" spans="1:5">
      <c r="A9" s="55">
        <v>40551</v>
      </c>
      <c r="B9">
        <v>1021.3958943788325</v>
      </c>
    </row>
    <row r="10" spans="1:5">
      <c r="A10" s="55">
        <v>40552</v>
      </c>
      <c r="B10">
        <v>1070.678045018172</v>
      </c>
    </row>
    <row r="11" spans="1:5">
      <c r="A11" s="55">
        <v>40553</v>
      </c>
      <c r="B11">
        <v>1275.2035513386993</v>
      </c>
    </row>
    <row r="12" spans="1:5">
      <c r="A12" s="55">
        <v>40554</v>
      </c>
      <c r="B12">
        <v>1251.3517698243952</v>
      </c>
    </row>
    <row r="13" spans="1:5">
      <c r="A13" s="55">
        <v>40555</v>
      </c>
      <c r="B13">
        <v>1346.2822337999821</v>
      </c>
    </row>
    <row r="14" spans="1:5">
      <c r="A14" s="55">
        <v>40556</v>
      </c>
      <c r="B14">
        <v>1453.9878738145098</v>
      </c>
    </row>
    <row r="15" spans="1:5">
      <c r="A15" s="55">
        <v>40557</v>
      </c>
      <c r="B15">
        <v>1458.6056937910371</v>
      </c>
    </row>
    <row r="16" spans="1:5">
      <c r="A16" s="55">
        <v>40558</v>
      </c>
      <c r="B16">
        <v>1064.183287342046</v>
      </c>
    </row>
    <row r="17" spans="1:2">
      <c r="A17" s="55">
        <v>40559</v>
      </c>
      <c r="B17">
        <v>1113.4654379813901</v>
      </c>
    </row>
    <row r="18" spans="1:2">
      <c r="A18" s="55">
        <v>40560</v>
      </c>
      <c r="B18">
        <v>1317.9909443019128</v>
      </c>
    </row>
    <row r="19" spans="1:2">
      <c r="A19" s="55">
        <v>40561</v>
      </c>
      <c r="B19">
        <v>1294.1391627876087</v>
      </c>
    </row>
    <row r="20" spans="1:2">
      <c r="A20" s="55">
        <v>40562</v>
      </c>
      <c r="B20">
        <v>1389.0696267631956</v>
      </c>
    </row>
    <row r="21" spans="1:2">
      <c r="A21" s="55">
        <v>40563</v>
      </c>
      <c r="B21">
        <v>1496.7752667777236</v>
      </c>
    </row>
    <row r="22" spans="1:2">
      <c r="A22" s="55">
        <v>40564</v>
      </c>
      <c r="B22">
        <v>1501.3930867542508</v>
      </c>
    </row>
    <row r="23" spans="1:2">
      <c r="A23" s="55">
        <v>40565</v>
      </c>
      <c r="B23">
        <v>1106.9706803052597</v>
      </c>
    </row>
    <row r="24" spans="1:2">
      <c r="A24" s="55">
        <v>40566</v>
      </c>
      <c r="B24">
        <v>1156.2528309445991</v>
      </c>
    </row>
    <row r="25" spans="1:2">
      <c r="A25" s="55">
        <v>40567</v>
      </c>
      <c r="B25">
        <v>1360.7783372651263</v>
      </c>
    </row>
    <row r="26" spans="1:2">
      <c r="A26" s="55">
        <v>40568</v>
      </c>
      <c r="B26">
        <v>1336.9265557508222</v>
      </c>
    </row>
    <row r="27" spans="1:2">
      <c r="A27" s="55">
        <v>40569</v>
      </c>
      <c r="B27">
        <v>1431.8570197264094</v>
      </c>
    </row>
    <row r="28" spans="1:2">
      <c r="A28" s="55">
        <v>40570</v>
      </c>
      <c r="B28">
        <v>1539.5626597409371</v>
      </c>
    </row>
    <row r="29" spans="1:2">
      <c r="A29" s="55">
        <v>40571</v>
      </c>
      <c r="B29">
        <v>1544.1804797174643</v>
      </c>
    </row>
    <row r="30" spans="1:2">
      <c r="A30" s="55">
        <v>40572</v>
      </c>
      <c r="B30">
        <v>1149.7580732684733</v>
      </c>
    </row>
    <row r="31" spans="1:2">
      <c r="A31" s="55">
        <v>40573</v>
      </c>
      <c r="B31">
        <v>1199.0402239078126</v>
      </c>
    </row>
    <row r="32" spans="1:2">
      <c r="A32" s="55">
        <v>40574</v>
      </c>
      <c r="B32">
        <v>1403.56573022834</v>
      </c>
    </row>
    <row r="33" spans="1:2">
      <c r="A33" s="55">
        <v>40575</v>
      </c>
      <c r="B33">
        <v>1379.713948714036</v>
      </c>
    </row>
    <row r="34" spans="1:2">
      <c r="A34" s="55">
        <v>40576</v>
      </c>
      <c r="B34">
        <v>1474.6444126896229</v>
      </c>
    </row>
    <row r="35" spans="1:2">
      <c r="A35" s="55">
        <v>40577</v>
      </c>
      <c r="B35">
        <v>1582.3500527041506</v>
      </c>
    </row>
    <row r="36" spans="1:2">
      <c r="A36" s="55">
        <v>40578</v>
      </c>
      <c r="B36">
        <v>1586.9678726806778</v>
      </c>
    </row>
    <row r="37" spans="1:2">
      <c r="A37" s="55">
        <v>40579</v>
      </c>
      <c r="B37">
        <v>1192.5454662316868</v>
      </c>
    </row>
    <row r="38" spans="1:2">
      <c r="A38" s="55">
        <v>40580</v>
      </c>
      <c r="B38">
        <v>1241.8276168710263</v>
      </c>
    </row>
    <row r="39" spans="1:2">
      <c r="A39" s="55">
        <v>40581</v>
      </c>
      <c r="B39">
        <v>1446.3531231915535</v>
      </c>
    </row>
    <row r="40" spans="1:2">
      <c r="A40" s="55">
        <v>40582</v>
      </c>
      <c r="B40">
        <v>1422.5013416772495</v>
      </c>
    </row>
    <row r="41" spans="1:2">
      <c r="A41" s="55">
        <v>40583</v>
      </c>
      <c r="B41">
        <v>1517.4318056528364</v>
      </c>
    </row>
    <row r="42" spans="1:2">
      <c r="A42" s="55">
        <v>40584</v>
      </c>
      <c r="B42">
        <v>1625.1374456673641</v>
      </c>
    </row>
    <row r="43" spans="1:2">
      <c r="A43" s="55">
        <v>40585</v>
      </c>
      <c r="B43">
        <v>1629.7552656438916</v>
      </c>
    </row>
    <row r="44" spans="1:2">
      <c r="A44" s="55">
        <v>40586</v>
      </c>
      <c r="B44">
        <v>1235.3328591949005</v>
      </c>
    </row>
    <row r="45" spans="1:2">
      <c r="A45" s="55">
        <v>40587</v>
      </c>
      <c r="B45">
        <v>1284.6150098342398</v>
      </c>
    </row>
    <row r="46" spans="1:2">
      <c r="A46" s="55">
        <v>40588</v>
      </c>
      <c r="B46">
        <v>1489.1405161547671</v>
      </c>
    </row>
    <row r="47" spans="1:2">
      <c r="A47" s="55">
        <v>40589</v>
      </c>
      <c r="B47">
        <v>1465.288734640463</v>
      </c>
    </row>
    <row r="48" spans="1:2">
      <c r="A48" s="55">
        <v>40590</v>
      </c>
      <c r="B48">
        <v>1560.2191986160501</v>
      </c>
    </row>
    <row r="49" spans="1:5">
      <c r="A49" s="55">
        <v>40591</v>
      </c>
      <c r="B49">
        <v>1667.9248386305778</v>
      </c>
    </row>
    <row r="50" spans="1:5">
      <c r="A50" s="55">
        <v>40592</v>
      </c>
      <c r="B50">
        <v>1672.5426586071051</v>
      </c>
    </row>
    <row r="51" spans="1:5">
      <c r="A51" s="55">
        <v>40593</v>
      </c>
      <c r="B51">
        <v>1278.120252158114</v>
      </c>
    </row>
    <row r="52" spans="1:5">
      <c r="A52" s="55">
        <v>40594</v>
      </c>
      <c r="B52">
        <v>1327.4024027974533</v>
      </c>
    </row>
    <row r="53" spans="1:5">
      <c r="A53" s="55">
        <v>40595</v>
      </c>
      <c r="B53">
        <v>1531.9279091179808</v>
      </c>
      <c r="C53">
        <f>_xlfn.FORECAST.ETS(A53,$B$2:$B$53,$A$2:$A$53,1,1)</f>
        <v>1531.9279091179806</v>
      </c>
      <c r="D53" s="56">
        <v>1531.9279091179808</v>
      </c>
      <c r="E53" s="56">
        <v>1531.9279091179808</v>
      </c>
    </row>
    <row r="54" spans="1:5">
      <c r="A54" s="55">
        <v>40596</v>
      </c>
      <c r="C54">
        <f t="shared" ref="C54:C67" si="0">_xlfn.FORECAST.ETS(A54,$B$2:$B$53,$A$2:$A$53,1,1)</f>
        <v>1508.0761276036765</v>
      </c>
      <c r="D54" s="56">
        <f t="shared" ref="D54:D67" si="1">C54-_xlfn.FORECAST.ETS.CONFINT(A54,$B$2:$B$53,$A$2:$A$53,0.95,1,1)</f>
        <v>1508.0761276036749</v>
      </c>
      <c r="E54" s="56">
        <f t="shared" ref="E54:E67" si="2">C54+_xlfn.FORECAST.ETS.CONFINT(A54,$B$2:$B$53,$A$2:$A$53,0.95,1,1)</f>
        <v>1508.0761276036781</v>
      </c>
    </row>
    <row r="55" spans="1:5">
      <c r="A55" s="55">
        <v>40597</v>
      </c>
      <c r="C55">
        <f t="shared" si="0"/>
        <v>1603.0065915792634</v>
      </c>
      <c r="D55" s="56">
        <f t="shared" si="1"/>
        <v>1603.0065915792618</v>
      </c>
      <c r="E55" s="56">
        <f t="shared" si="2"/>
        <v>1603.006591579265</v>
      </c>
    </row>
    <row r="56" spans="1:5">
      <c r="A56" s="55">
        <v>40598</v>
      </c>
      <c r="C56">
        <f t="shared" si="0"/>
        <v>1710.7122315937911</v>
      </c>
      <c r="D56" s="56">
        <f t="shared" si="1"/>
        <v>1710.7122315937895</v>
      </c>
      <c r="E56" s="56">
        <f t="shared" si="2"/>
        <v>1710.7122315937927</v>
      </c>
    </row>
    <row r="57" spans="1:5">
      <c r="A57" s="55">
        <v>40599</v>
      </c>
      <c r="C57">
        <f t="shared" si="0"/>
        <v>1715.3300515703186</v>
      </c>
      <c r="D57" s="56">
        <f t="shared" si="1"/>
        <v>1715.330051570317</v>
      </c>
      <c r="E57" s="56">
        <f t="shared" si="2"/>
        <v>1715.3300515703202</v>
      </c>
    </row>
    <row r="58" spans="1:5">
      <c r="A58" s="55">
        <v>40600</v>
      </c>
      <c r="C58">
        <f t="shared" si="0"/>
        <v>1320.9076451213273</v>
      </c>
      <c r="D58" s="56">
        <f t="shared" si="1"/>
        <v>1320.9076451213257</v>
      </c>
      <c r="E58" s="56">
        <f t="shared" si="2"/>
        <v>1320.9076451213289</v>
      </c>
    </row>
    <row r="59" spans="1:5">
      <c r="A59" s="55">
        <v>40601</v>
      </c>
      <c r="C59">
        <f t="shared" si="0"/>
        <v>1370.1897957606684</v>
      </c>
      <c r="D59" s="56">
        <f t="shared" si="1"/>
        <v>1370.1897957606666</v>
      </c>
      <c r="E59" s="56">
        <f t="shared" si="2"/>
        <v>1370.1897957606702</v>
      </c>
    </row>
    <row r="60" spans="1:5">
      <c r="A60" s="55">
        <v>40602</v>
      </c>
      <c r="C60">
        <f t="shared" si="0"/>
        <v>1574.7153020811941</v>
      </c>
      <c r="D60" s="56">
        <f t="shared" si="1"/>
        <v>1574.7153020811922</v>
      </c>
      <c r="E60" s="56">
        <f t="shared" si="2"/>
        <v>1574.7153020811959</v>
      </c>
    </row>
    <row r="61" spans="1:5">
      <c r="A61" s="55">
        <v>40603</v>
      </c>
      <c r="C61">
        <f t="shared" si="0"/>
        <v>1550.86352056689</v>
      </c>
      <c r="D61" s="56">
        <f t="shared" si="1"/>
        <v>1550.8635205668882</v>
      </c>
      <c r="E61" s="56">
        <f t="shared" si="2"/>
        <v>1550.8635205668918</v>
      </c>
    </row>
    <row r="62" spans="1:5">
      <c r="A62" s="55">
        <v>40604</v>
      </c>
      <c r="C62">
        <f t="shared" si="0"/>
        <v>1645.7939845424769</v>
      </c>
      <c r="D62" s="56">
        <f t="shared" si="1"/>
        <v>1645.7939845424751</v>
      </c>
      <c r="E62" s="56">
        <f t="shared" si="2"/>
        <v>1645.7939845424787</v>
      </c>
    </row>
    <row r="63" spans="1:5">
      <c r="A63" s="55">
        <v>40605</v>
      </c>
      <c r="C63">
        <f t="shared" si="0"/>
        <v>1753.4996245570046</v>
      </c>
      <c r="D63" s="56">
        <f t="shared" si="1"/>
        <v>1753.4996245570028</v>
      </c>
      <c r="E63" s="56">
        <f t="shared" si="2"/>
        <v>1753.4996245570064</v>
      </c>
    </row>
    <row r="64" spans="1:5">
      <c r="A64" s="55">
        <v>40606</v>
      </c>
      <c r="C64">
        <f t="shared" si="0"/>
        <v>1758.1174445335319</v>
      </c>
      <c r="D64" s="56">
        <f t="shared" si="1"/>
        <v>1758.11744453353</v>
      </c>
      <c r="E64" s="56">
        <f t="shared" si="2"/>
        <v>1758.1174445335337</v>
      </c>
    </row>
    <row r="65" spans="1:5">
      <c r="A65" s="55">
        <v>40607</v>
      </c>
      <c r="C65">
        <f t="shared" si="0"/>
        <v>1363.6950380845408</v>
      </c>
      <c r="D65" s="56">
        <f t="shared" si="1"/>
        <v>1363.6950380845387</v>
      </c>
      <c r="E65" s="56">
        <f t="shared" si="2"/>
        <v>1363.6950380845428</v>
      </c>
    </row>
    <row r="66" spans="1:5">
      <c r="A66" s="55">
        <v>40608</v>
      </c>
      <c r="C66">
        <f t="shared" si="0"/>
        <v>1412.9771887238817</v>
      </c>
      <c r="D66" s="56">
        <f t="shared" si="1"/>
        <v>1412.9771887238796</v>
      </c>
      <c r="E66" s="56">
        <f t="shared" si="2"/>
        <v>1412.9771887238837</v>
      </c>
    </row>
    <row r="67" spans="1:5">
      <c r="A67" s="55">
        <v>40609</v>
      </c>
      <c r="C67">
        <f t="shared" si="0"/>
        <v>1617.5026950444076</v>
      </c>
      <c r="D67" s="56">
        <f t="shared" si="1"/>
        <v>1617.5026950444055</v>
      </c>
      <c r="E67" s="56">
        <f t="shared" si="2"/>
        <v>1617.5026950444096</v>
      </c>
    </row>
  </sheetData>
  <pageMargins left="0.7" right="0.7" top="0.75" bottom="0.75" header="0.3" footer="0.3"/>
  <ignoredErrors>
    <ignoredError sqref="D53:E53" calculatedColumn="1"/>
  </ignoredErrors>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DB6287D2-3AA5-4B67-A889-3AD1DA24877E}">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Readme</vt:lpstr>
      <vt:lpstr>Clean_Dataset1</vt:lpstr>
      <vt:lpstr>Cleaned_Dataset2</vt:lpstr>
      <vt:lpstr>Cleaned_Dataset3</vt:lpstr>
      <vt:lpstr>Cleaned_DatasetA</vt:lpstr>
      <vt:lpstr>Cleaned_DatasetB</vt:lpstr>
      <vt:lpstr>Lookup_Tables</vt:lpstr>
      <vt:lpstr>Calculations</vt:lpstr>
      <vt:lpstr>Pivot_Analysis</vt:lpstr>
      <vt:lpstr>Charts and Analysis</vt:lpstr>
      <vt:lpstr>Forecast</vt:lpstr>
      <vt:lpstr>Anomaly</vt:lpstr>
      <vt:lpstr>Dashboard</vt:lpstr>
      <vt:lpstr>Forecast_Table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ADITI KUMAR</dc:creator>
  <cp:lastModifiedBy>ADITI KUMAR</cp:lastModifiedBy>
  <dcterms:created xsi:type="dcterms:W3CDTF">2015-06-05T18:17:20Z</dcterms:created>
  <dcterms:modified xsi:type="dcterms:W3CDTF">2026-10-02T14:19:07Z</dcterms:modified>
</cp:coreProperties>
</file>